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eehur.sharepoint.com/sites/Tenders/Testing/4.Apr.2026/CAG Dormitory/Master BQ/"/>
    </mc:Choice>
  </mc:AlternateContent>
  <xr:revisionPtr revIDLastSave="15308" documentId="13_ncr:1_{B654ED2D-4B98-470C-89DF-886D757BA2A1}" xr6:coauthVersionLast="47" xr6:coauthVersionMax="47" xr10:uidLastSave="{C18906C5-5288-49D0-A773-4CCFF581A043}"/>
  <bookViews>
    <workbookView xWindow="28680" yWindow="-120" windowWidth="29040" windowHeight="15720" firstSheet="1" activeTab="4" xr2:uid="{CD46DC4F-5622-4AD0-A5E4-C206E7EEB968}"/>
  </bookViews>
  <sheets>
    <sheet name="Cost Build-up" sheetId="1" state="hidden" r:id="rId1"/>
    <sheet name="FS" sheetId="2" r:id="rId2"/>
    <sheet name="1_Prelim" sheetId="3" r:id="rId3"/>
    <sheet name="2_Professional Fees" sheetId="4" r:id="rId4"/>
    <sheet name="Sec 3 - Building Works" sheetId="5" r:id="rId5"/>
    <sheet name="Sec 4 - External Works" sheetId="6" r:id="rId6"/>
    <sheet name="Sec 5 - M&amp;E Works" sheetId="7" state="hidden" r:id="rId7"/>
  </sheets>
  <definedNames>
    <definedName name="_________xlfn.ROUNDBAHTUP" hidden="1">#NAME?</definedName>
    <definedName name="________xlfn.ROUNDBAHTUP" hidden="1">#NAME?</definedName>
    <definedName name="_______xlfn.ROUNDBAHTUP" hidden="1">#NAME?</definedName>
    <definedName name="______xlfn.ROUNDBAHTUP" hidden="1">#NAME?</definedName>
    <definedName name="_____xlfn.ROUNDBAHTUP" hidden="1">#NAME?</definedName>
    <definedName name="____xlfn.ROUNDBAHTUP" hidden="1">#NAME?</definedName>
    <definedName name="___xlfn.ROUNDBAHTUP" hidden="1">#NAME?</definedName>
    <definedName name="__123Graph_B" hidden="1">#REF!</definedName>
    <definedName name="__123Graph_E" hidden="1">#REF!</definedName>
    <definedName name="__IntlFixup" hidden="1">TRUE()</definedName>
    <definedName name="__xlfn.ROUNDBAHTUP" hidden="1">#NAME?</definedName>
    <definedName name="_12_0_Dist_" hidden="1">#REF!</definedName>
    <definedName name="_14_0_0__123Grap" hidden="1">#REF!</definedName>
    <definedName name="_20_0_0_F" hidden="1">#REF!</definedName>
    <definedName name="_22_0_0코아공" hidden="1">#REF!</definedName>
    <definedName name="_28_0공통비" hidden="1">#REF!</definedName>
    <definedName name="_30_0현대코아공" hidden="1">#REF!</definedName>
    <definedName name="_6_0__123Grap" hidden="1">#REF!</definedName>
    <definedName name="_Dist_Bin" hidden="1">#REF!</definedName>
    <definedName name="_Fill" hidden="1">#N/A</definedName>
    <definedName name="_xlnm._FilterDatabase" localSheetId="4" hidden="1">'Sec 3 - Building Works'!$A$6:$AC$502</definedName>
    <definedName name="_Key1" hidden="1">#REF!</definedName>
    <definedName name="_Key2" hidden="1">#REF!</definedName>
    <definedName name="_Order1" hidden="1">0</definedName>
    <definedName name="_Order2" hidden="1">0</definedName>
    <definedName name="_Parse_In" hidden="1">#REF!</definedName>
    <definedName name="_Parse_Out" hidden="1">#REF!</definedName>
    <definedName name="_Regression_Int" hidden="1">1</definedName>
    <definedName name="_Sort" hidden="1">#REF!</definedName>
    <definedName name="_Table1_In1" hidden="1">#REF!</definedName>
    <definedName name="_Table1_Out" hidden="1">#REF!</definedName>
    <definedName name="´cAE°eE¹" hidden="1">#REF!</definedName>
    <definedName name="￠￥cAE¡ÆeEⓒo" hidden="1">#REF!</definedName>
    <definedName name="AccessDatabase" hidden="1">"C:\My Documents\MRTA\COST\VO\BS\L_subway.mdb"</definedName>
    <definedName name="AJ" hidden="1">{#N/A,#N/A,FALSE,"이태원철근"}</definedName>
    <definedName name="ay" hidden="1">#REF!</definedName>
    <definedName name="BB" hidden="1">{#N/A,#N/A,FALSE,"이태원철근"}</definedName>
    <definedName name="BC" hidden="1">{#N/A,#N/A,FALSE,"이태원철근"}</definedName>
    <definedName name="BI" hidden="1">{#N/A,#N/A,FALSE,"이태원철근"}</definedName>
    <definedName name="book" hidden="1">{"SUM",#N/A,FALSE,"summary";"BOOK11-1",#N/A,FALSE,"1CityGarden";"BOOK11-2",#N/A,FALSE,"2CountryGarden";"BOOK11-3",#N/A,FALSE,"3JUNGLE";"BOOK11-4CIVIL",#N/A,FALSE,"CIVIL"}</definedName>
    <definedName name="bq" hidden="1">#REF!</definedName>
    <definedName name="BQResidentialBlkC4" hidden="1">#REF!</definedName>
    <definedName name="DpFKDL" hidden="1">{#N/A,#N/A,FALSE,"이태원철근"}</definedName>
    <definedName name="g" hidden="1">#REF!</definedName>
    <definedName name="GFA" hidden="1">#REF!</definedName>
    <definedName name="HJK" hidden="1">{#N/A,#N/A,FALSE,"이태원철근"}</definedName>
    <definedName name="HTML_CodePage" hidden="1">1252</definedName>
    <definedName name="HTML_Control" hidden="1">{"'CPA Sum'!$A$1:$X$30","'CPA'!$A$1:$K$187","'Infra Cost'!$A$1:$Q$30","'Dev't Cost'!$A$1:$AH$40","'Cashflow'!$A$1:$DG$82"}</definedName>
    <definedName name="HTML_Description" hidden="1">""</definedName>
    <definedName name="HTML_Email" hidden="1">"chanjh@nasionet.net.my"</definedName>
    <definedName name="HTML_Header" hidden="1">""</definedName>
    <definedName name="HTML_LastUpdate" hidden="1">"2/23/98"</definedName>
    <definedName name="HTML_LineAfter" hidden="1">FALSE()</definedName>
    <definedName name="HTML_LineBefore" hidden="1">FALSE()</definedName>
    <definedName name="HTML_Name" hidden="1">"SB Wong"</definedName>
    <definedName name="HTML_OBDlg2" hidden="1">TRUE()</definedName>
    <definedName name="HTML_OBDlg4" hidden="1">TRUE()</definedName>
    <definedName name="HTML_OS" hidden="1">0</definedName>
    <definedName name="HTML_PathFile" hidden="1">"C:\My Documents\$inti1.htm"</definedName>
    <definedName name="HTML_Title" hidden="1">"$inti1"</definedName>
    <definedName name="HTR" hidden="1">{#N/A,#N/A,FALSE,"이태원철근"}</definedName>
    <definedName name="kj" hidden="1">#REF!</definedName>
    <definedName name="MM" hidden="1">#REF!</definedName>
    <definedName name="passwordN4C30" hidden="1">#REF!</definedName>
    <definedName name="_xlnm.Print_Area" localSheetId="1">FS!$A$1:$I$30</definedName>
    <definedName name="Q" hidden="1">{#N/A,#N/A,FALSE,"이태원철근"}</definedName>
    <definedName name="QW" hidden="1">{#N/A,#N/A,FALSE,"이태원철근"}</definedName>
    <definedName name="QWE" hidden="1">{#N/A,#N/A,FALSE,"이태원철근"}</definedName>
    <definedName name="QWER" hidden="1">{#N/A,#N/A,FALSE,"이태원철근"}</definedName>
    <definedName name="RHDK" hidden="1">{#N/A,#N/A,FALSE,"이태원철근"}</definedName>
    <definedName name="rss" hidden="1">#REF!</definedName>
    <definedName name="RT" hidden="1">{#N/A,#N/A,FALSE,"이태원철근"}</definedName>
    <definedName name="SC" hidden="1">#REF!</definedName>
    <definedName name="SDF" hidden="1">{#N/A,#N/A,FALSE,"이태원철근"}</definedName>
    <definedName name="Seat" hidden="1">#REF!</definedName>
    <definedName name="SERVICE" hidden="1">{#N/A,#N/A,FALSE,"이태원철근"}</definedName>
    <definedName name="ssssss" hidden="1">#REF!</definedName>
    <definedName name="SSSSSSSSSSS" hidden="1">{#N/A,#N/A,FALSE,"이태원철근"}</definedName>
    <definedName name="Tend_Box" hidden="1">#REF!</definedName>
    <definedName name="typ" hidden="1">#REF!</definedName>
    <definedName name="VB" hidden="1">{#N/A,#N/A,FALSE,"이태원철근"}</definedName>
    <definedName name="VBN" hidden="1">{#N/A,#N/A,FALSE,"이태원철근"}</definedName>
    <definedName name="wrn.BOOK11." hidden="1">{"SUM",#N/A,FALSE,"summary";"BOOK11-1",#N/A,FALSE,"1CityGarden";"BOOK11-2",#N/A,FALSE,"2CountryGarden";"BOOK11-3",#N/A,FALSE,"3JUNGLE";"BOOK11-4CIVIL",#N/A,FALSE,"CIVIL"}</definedName>
    <definedName name="wrn.BOOK11._1" hidden="1">{"SUM",#N/A,FALSE,"summary";"BOOK11-1",#N/A,FALSE,"1CityGarden";"BOOK11-2",#N/A,FALSE,"2CountryGarden";"BOOK11-3",#N/A,FALSE,"3JUNGLE";"BOOK11-4CIVIL",#N/A,FALSE,"CIVIL"}</definedName>
    <definedName name="wrn.BOOK11._2" hidden="1">{"SUM",#N/A,FALSE,"summary";"BOOK11-1",#N/A,FALSE,"1CityGarden";"BOOK11-2",#N/A,FALSE,"2CountryGarden";"BOOK11-3",#N/A,FALSE,"3JUNGLE";"BOOK11-4CIVIL",#N/A,FALSE,"CIVIL"}</definedName>
    <definedName name="wrn.Residential." hidden="1">{"ECA Qtrs C",#N/A,TRUE,"ECA_Qtrs_C";"ECA Qtrs D",#N/A,TRUE,"ECA_Qtrs_D";"ECA Qtrs F",#N/A,TRUE,"ECA_Qtrs_F";"ECA Qtrs G",#N/A,TRUE,"ECA_Qtrs_G";"ECA SisterApt",#N/A,TRUE,"ECA_SisterApt";"ECA Nurses",#N/A,TRUE,"ECA_NursesHostel"}</definedName>
    <definedName name="wrn.이태원._.철근." hidden="1">{#N/A,#N/A,FALSE,"이태원철근"}</definedName>
    <definedName name="ZXC" hidden="1">{#N/A,#N/A,FALSE,"이태원철근"}</definedName>
    <definedName name="ㄱㄱㄱ" hidden="1">{#N/A,#N/A,FALSE,"이태원철근"}</definedName>
    <definedName name="ㄱ셔" hidden="1">{#N/A,#N/A,FALSE,"이태원철근"}</definedName>
    <definedName name="ㄱ쇽숏교" hidden="1">{#N/A,#N/A,FALSE,"이태원철근"}</definedName>
    <definedName name="ㄱ숏ㄱ요오헐" hidden="1">{#N/A,#N/A,FALSE,"이태원철근"}</definedName>
    <definedName name="ㄱㅎㄱ" hidden="1">{#N/A,#N/A,FALSE,"이태원철근"}</definedName>
    <definedName name="가" hidden="1">#REF!</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거제" hidden="1">{#N/A,#N/A,FALSE,"이태원철근"}</definedName>
    <definedName name="거제2" hidden="1">{#N/A,#N/A,FALSE,"이태원철근"}</definedName>
    <definedName name="거제현장" hidden="1">{#N/A,#N/A,FALSE,"이태원철근"}</definedName>
    <definedName name="공사" hidden="1">{#N/A,#N/A,FALSE,"이태원철근"}</definedName>
    <definedName name="공사개요최종" hidden="1">{#N/A,#N/A,FALSE,"이태원철근"}</definedName>
    <definedName name="공정계획" hidden="1">{#N/A,#N/A,FALSE,"이태원철근"}</definedName>
    <definedName name="공통비" hidden="1">#REF!</definedName>
    <definedName name="공통비코아" hidden="1">#REF!</definedName>
    <definedName name="교동토" hidden="1">#REF!</definedName>
    <definedName name="교동토목공사" hidden="1">{#N/A,#N/A,FALSE,"이태원철근"}</definedName>
    <definedName name="김중규" hidden="1">{#N/A,#N/A,FALSE,"이태원철근"}</definedName>
    <definedName name="끝에삽입" hidden="1">{#N/A,#N/A,FALSE,"이태원철근"}</definedName>
    <definedName name="ㄴㅁ논ㄹ홍" hidden="1">{#N/A,#N/A,FALSE,"이태원철근"}</definedName>
    <definedName name="ㄴㅁㅁㅁㅁㅁㅁ" hidden="1">{#N/A,#N/A,FALSE,"이태원철근"}</definedName>
    <definedName name="ㄴㅁㅇㅂㅈㄷㅁㄴㅂㅈㄷ" hidden="1">{#N/A,#N/A,FALSE,"이태원철근"}</definedName>
    <definedName name="ㄴㅁㅇㅎㅁㄴㅇㄻㄴㄷㅈㄹㄴㅇ" hidden="1">{#N/A,#N/A,FALSE,"이태원철근"}</definedName>
    <definedName name="ㄴㅇㄹㄴㅇㄹㄴㅇㅁㄹㄴㄷㅈㄱㄹ" hidden="1">{#N/A,#N/A,FALSE,"이태원철근"}</definedName>
    <definedName name="ㄴㅇㄹㄴㅇㄻㄴㅇㄹ" hidden="1">{#N/A,#N/A,FALSE,"이태원철근"}</definedName>
    <definedName name="ㄴㅇㄻㄴㅇㄹ" hidden="1">{#N/A,#N/A,FALSE,"이태원철근"}</definedName>
    <definedName name="ㄴㅇㄻㄴㅇㄻㄴㅇㄻㄴㅇ" hidden="1">{#N/A,#N/A,FALSE,"이태원철근"}</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ㅎㄻㄴㄻㄴㅇ" hidden="1">{#N/A,#N/A,FALSE,"이태원철근"}</definedName>
    <definedName name="나" hidden="1">#REF!</definedName>
    <definedName name="놀ㄴ홀옿ㅇ" hidden="1">{#N/A,#N/A,FALSE,"이태원철근"}</definedName>
    <definedName name="놓롢론ㄹ" hidden="1">{#N/A,#N/A,FALSE,"이태원철근"}</definedName>
    <definedName name="ㄶㅇㅁㄶㅇㅎㅇㅁㄶㅁㄶㅇ" hidden="1">{#N/A,#N/A,FALSE,"이태원철근"}</definedName>
    <definedName name="ㄷㄱㅈㄱㄷㅈ" hidden="1">{#N/A,#N/A,FALSE,"이태원철근"}</definedName>
    <definedName name="ㄷ굦ㄷ굗ㄱㅈ" hidden="1">{#N/A,#N/A,FALSE,"이태원철근"}</definedName>
    <definedName name="ㄷㄳㅎ" hidden="1">{#N/A,#N/A,FALSE,"이태원철근"}</definedName>
    <definedName name="ㄷㄷㄷㄷㄷ" hidden="1">{#N/A,#N/A,FALSE,"이태원철근"}</definedName>
    <definedName name="ㄷㅈㄱㅈㄷㄱㅈㄱ주" hidden="1">{#N/A,#N/A,FALSE,"이태원철근"}</definedName>
    <definedName name="다" hidden="1">#REF!</definedName>
    <definedName name="당초계획" hidden="1">#REF!</definedName>
    <definedName name="들" hidden="1">{#N/A,#N/A,FALSE,"이태원철근"}</definedName>
    <definedName name="ㄹ" hidden="1">{#N/A,#N/A,FALSE,"이태원철근"}</definedName>
    <definedName name="라" hidden="1">#REF!</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롷럻" hidden="1">{#N/A,#N/A,FALSE,"이태원철근"}</definedName>
    <definedName name="ㅀ" hidden="1">#REF!</definedName>
    <definedName name="ㅁ" hidden="1">{#N/A,#N/A,FALSE,"이태원철근"}</definedName>
    <definedName name="ㅁㄴㅁㅇ" hidden="1">#REF!</definedName>
    <definedName name="ㅁㄴㅇㄷㅂㅈㄷㅇㅂㅈㄷ" hidden="1">{#N/A,#N/A,FALSE,"이태원철근"}</definedName>
    <definedName name="ㅁㄴㅇㄹ" hidden="1">{#N/A,#N/A,FALSE,"이태원철근"}</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ㄻㄴㄹㄴㅁㅇ" hidden="1">{#N/A,#N/A,FALSE,"이태원철근"}</definedName>
    <definedName name="ㅁㄴㅇㄻㄴㅇㄹ" hidden="1">{#N/A,#N/A,FALSE,"이태원철근"}</definedName>
    <definedName name="ㅁㄴㅇㄻㄴㅇㄹㄴㅁㅇㄹ" hidden="1">{#N/A,#N/A,FALSE,"이태원철근"}</definedName>
    <definedName name="ㅁㄴㅇㄻㄴㅇㄻㄴㅇ" hidden="1">{#N/A,#N/A,FALSE,"이태원철근"}</definedName>
    <definedName name="ㅁㄴㅇㄻㄹ" hidden="1">{#N/A,#N/A,FALSE,"이태원철근"}</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뇬ㄱ쇿ㄴ" hidden="1">{#N/A,#N/A,FALSE,"이태원철근"}</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ㄹㅇㄴ" hidden="1">{#N/A,#N/A,FALSE,"이태원철근"}</definedName>
    <definedName name="ㅁㅁ" hidden="1">{#N/A,#N/A,FALSE,"이태원철근"}</definedName>
    <definedName name="ㅁㅁㅁㅁㅁ" hidden="1">{#N/A,#N/A,FALSE,"이태원철근"}</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hidden="1">{#N/A,#N/A,FALSE,"이태원철근"}</definedName>
    <definedName name="ㅁㅇㄴㄻㄴㅇㄻㄴㅇㄹ" hidden="1">{#N/A,#N/A,FALSE,"이태원철근"}</definedName>
    <definedName name="ㅁㅇㄻㄴㄻ" hidden="1">{#N/A,#N/A,FALSE,"이태원철근"}</definedName>
    <definedName name="ㅁㅇㅂㅈㄷㅇㅂㅈㄷㅁㄴ" hidden="1">{#N/A,#N/A,FALSE,"이태원철근"}</definedName>
    <definedName name="ㅁㅇㅎㅁㄴㅇㅎㅇㅁㄶㄻㅇㄴ" hidden="1">{#N/A,#N/A,FALSE,"이태원철근"}</definedName>
    <definedName name="ㅁㅇㅎㅁㄶㅇㅁㅎㅇㄶㅇ" hidden="1">{#N/A,#N/A,FALSE,"이태원철근"}</definedName>
    <definedName name="목차9" hidden="1">{#N/A,#N/A,FALSE,"이태원철근"}</definedName>
    <definedName name="뫃ㄹ놓ㄴ오" hidden="1">{#N/A,#N/A,FALSE,"이태원철근"}</definedName>
    <definedName name="물" hidden="1">{#N/A,#N/A,FALSE,"이태원철근"}</definedName>
    <definedName name="물가" hidden="1">{#N/A,#N/A,FALSE,"이태원철근"}</definedName>
    <definedName name="물가2" hidden="1">{#N/A,#N/A,FALSE,"이태원철근"}</definedName>
    <definedName name="뭐" hidden="1">{#N/A,#N/A,FALSE,"이태원철근"}</definedName>
    <definedName name="뭐가이태원이야" hidden="1">{#N/A,#N/A,FALSE,"이태원철근"}</definedName>
    <definedName name="ㅂ" hidden="1">{#N/A,#N/A,FALSE,"이태원철근"}</definedName>
    <definedName name="ㅂㅂ" hidden="1">{#N/A,#N/A,FALSE,"이태원철근"}</definedName>
    <definedName name="ㅂㅂㅂㅂㅂㅂㅂ" hidden="1">{#N/A,#N/A,FALSE,"이태원철근"}</definedName>
    <definedName name="ㅂㅂㅂㅂㅂㅂㅂㅂ" hidden="1">{#N/A,#N/A,FALSE,"이태원철근"}</definedName>
    <definedName name="ㅂㅂㅂㅂㅂㅂㅂㅂㅂ" hidden="1">{#N/A,#N/A,FALSE,"이태원철근"}</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ㄱㅂㅈㄱㅂㅈ" hidden="1">{#N/A,#N/A,FALSE,"이태원철근"}</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보충" hidden="1">#REF!</definedName>
    <definedName name="보할" hidden="1">{#N/A,#N/A,FALSE,"이태원철근"}</definedName>
    <definedName name="보할푬_2000년" hidden="1">{#N/A,#N/A,FALSE,"이태원철근"}</definedName>
    <definedName name="보활공정" hidden="1">{#N/A,#N/A,FALSE,"이태원철근"}</definedName>
    <definedName name="부대건축2" hidden="1">#REF!</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사업부양식2" hidden="1">#REF!</definedName>
    <definedName name="새공통" hidden="1">{#N/A,#N/A,FALSE,"이태원철근"}</definedName>
    <definedName name="설비" hidden="1">{#N/A,#N/A,FALSE,"이태원철근"}</definedName>
    <definedName name="소요계획" hidden="1">{#N/A,#N/A,FALSE,"이태원철근"}</definedName>
    <definedName name="손익계산서" hidden="1">#REF!</definedName>
    <definedName name="시" hidden="1">{#N/A,#N/A,FALSE,"이태원철근"}</definedName>
    <definedName name="시행" hidden="1">{#N/A,#N/A,FALSE,"이태원철근"}</definedName>
    <definedName name="신재점" hidden="1">{#N/A,#N/A,FALSE,"이태원철근"}</definedName>
    <definedName name="ㅇㄶㄹ" hidden="1">{#N/A,#N/A,FALSE,"이태원철근"}</definedName>
    <definedName name="ㅇㄹㄴㄻㄴㅇㄹ" hidden="1">{#N/A,#N/A,FALSE,"이태원철근"}</definedName>
    <definedName name="ㅇㅁㅎㅁㅇㄶㄻㅇㄶㄹ" hidden="1">{#N/A,#N/A,FALSE,"이태원철근"}</definedName>
    <definedName name="ㅇㅂㄴㅇㄴㅁㅇㄷㅂㅈ" hidden="1">{#N/A,#N/A,FALSE,"이태원철근"}</definedName>
    <definedName name="ㅇㅅ굓요" hidden="1">{#N/A,#N/A,FALSE,"이태원철근"}</definedName>
    <definedName name="ㅇ호ㅓㅗ허" hidden="1">{#N/A,#N/A,FALSE,"이태원철근"}</definedName>
    <definedName name="안양현대" hidden="1">{#N/A,#N/A,FALSE,"이태원철근"}</definedName>
    <definedName name="예산내역" hidden="1">{#N/A,#N/A,FALSE,"이태원철근"}</definedName>
    <definedName name="옥외공사" hidden="1">{#N/A,#N/A,FALSE,"이태원철근"}</definedName>
    <definedName name="옥외대비" hidden="1">{#N/A,#N/A,FALSE,"이태원철근"}</definedName>
    <definedName name="우가" hidden="1">{#N/A,#N/A,FALSE,"이태원철근"}</definedName>
    <definedName name="일정표" hidden="1">{#N/A,#N/A,FALSE,"이태원철근"}</definedName>
    <definedName name="일정표0124" hidden="1">{#N/A,#N/A,FALSE,"이태원철근"}</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교죠ㅜ" hidden="1">{#N/A,#N/A,FALSE,"이태원철근"}</definedName>
    <definedName name="ㅈㄷ굗ㄱ죠죠" hidden="1">{#N/A,#N/A,FALSE,"이태원철근"}</definedName>
    <definedName name="ㅈㄷ굦ㄷ굑ㅈ됴죧ㄱ" hidden="1">{#N/A,#N/A,FALSE,"이태원철근"}</definedName>
    <definedName name="ㅈㄷㅅㅅㅈㅅㅈㄷ" hidden="1">{#N/A,#N/A,FALSE,"이태원철근"}</definedName>
    <definedName name="ㅈㄷㅅㅈㅅ" hidden="1">{#N/A,#N/A,FALSE,"이태원철근"}</definedName>
    <definedName name="ㅈㄷ쇼ㅛㅈㄱ" hidden="1">{#N/A,#N/A,FALSE,"이태원철근"}</definedName>
    <definedName name="ㅈㅂㅇㄴㅁㅇㅈㅇㅂ" hidden="1">{#N/A,#N/A,FALSE,"이태원철근"}</definedName>
    <definedName name="ㅈㅇㅁㄴㅇㅂㄴㄷㅇㅁ" hidden="1">{#N/A,#N/A,FALSE,"이태원철근"}</definedName>
    <definedName name="자" hidden="1">{#N/A,#N/A,FALSE,"이태원철근"}</definedName>
    <definedName name="자양" hidden="1">{#N/A,#N/A,FALSE,"이태원철근"}</definedName>
    <definedName name="자양공사개요" hidden="1">{#N/A,#N/A,FALSE,"이태원철근"}</definedName>
    <definedName name="절" hidden="1">#REF!</definedName>
    <definedName name="정명영" hidden="1">{#N/A,#N/A,FALSE,"이태원철근"}</definedName>
    <definedName name="죽전5차" hidden="1">{#N/A,#N/A,FALSE,"이태원철근"}</definedName>
    <definedName name="직원소요철수계획" hidden="1">{#N/A,#N/A,FALSE,"이태원철근"}</definedName>
    <definedName name="직원조직" hidden="1">{#N/A,#N/A,FALSE,"이태원철근"}</definedName>
    <definedName name="직원조직표" hidden="1">{#N/A,#N/A,FALSE,"이태원철근"}</definedName>
    <definedName name="초기예산서보고" hidden="1">{#N/A,#N/A,FALSE,"이태원철근"}</definedName>
    <definedName name="취하" hidden="1">{#N/A,#N/A,FALSE,"이태원철근"}</definedName>
    <definedName name="취하실적1." hidden="1">{#N/A,#N/A,FALSE,"이태원철근"}</definedName>
    <definedName name="토목공사" hidden="1">{#N/A,#N/A,FALSE,"이태원철근"}</definedName>
    <definedName name="토목공사강릉" hidden="1">#REF!</definedName>
    <definedName name="토목실견적" hidden="1">{#N/A,#N/A,FALSE,"이태원철근"}</definedName>
    <definedName name="풍납동" hidden="1">#REF!</definedName>
    <definedName name="풍납동아파트" hidden="1">#REF!</definedName>
    <definedName name="피로티" hidden="1">{#N/A,#N/A,FALSE,"이태원철근"}</definedName>
    <definedName name="피로티1" hidden="1">{#N/A,#N/A,FALSE,"이태원철근"}</definedName>
    <definedName name="ㅎ" hidden="1">{#N/A,#N/A,FALSE,"이태원철근"}</definedName>
    <definedName name="ㅎ라ㅓㅓㅗㅎ라러" hidden="1">{#N/A,#N/A,FALSE,"이태원철근"}</definedName>
    <definedName name="ㅎ러ㅗ엉ㅎ러ㅗㅎㄹㅇ" hidden="1">{#N/A,#N/A,FALSE,"이태원철근"}</definedName>
    <definedName name="ㅎㅇㅀ" hidden="1">{#N/A,#N/A,FALSE,"이태원철근"}</definedName>
    <definedName name="하이얀" hidden="1">{#N/A,#N/A,FALSE,"이태원철근"}</definedName>
    <definedName name="현대코아공통비" hidden="1">#REF!</definedName>
    <definedName name="현장주변사진" hidden="1">{#N/A,#N/A,FALSE,"이태원철근"}</definedName>
    <definedName name="협조전" hidden="1">#REF!</definedName>
    <definedName name="호ㅓ" hidden="1">#REF!</definedName>
    <definedName name="홍범표" hidden="1">{#N/A,#N/A,FALSE,"이태원철근"}</definedName>
    <definedName name="화ㅓㅗ허ㅏㅎ" hidden="1">{#N/A,#N/A,FALSE,"이태원철근"}</definedName>
    <definedName name="ㅏㅓㅏㅓㅣ" hidden="1">{#N/A,#N/A,FALSE,"이태원철근"}</definedName>
    <definedName name="ㅏㅓㅣㅏㅓㅣㅏㅓㅣ" hidden="1">{#N/A,#N/A,FALSE,"이태원철근"}</definedName>
    <definedName name="ㅏㅓㅣㅏㅓㅣㅏㅓㅣㅓ" hidden="1">{#N/A,#N/A,FALSE,"이태원철근"}</definedName>
    <definedName name="ㅐ" hidden="1">{#N/A,#N/A,FALSE,"이태원철근"}</definedName>
    <definedName name="ㅑ" hidden="1">{#N/A,#N/A,FALSE,"이태원철근"}</definedName>
    <definedName name="ㅓㅏㅣㅓㅣㅓㅣㅓㅏ" hidden="1">{#N/A,#N/A,FALSE,"이태원철근"}</definedName>
    <definedName name="ㅓㅛ서ㅛ서ㅑ쇼ㅕ" hidden="1">{#N/A,#N/A,FALSE,"이태원철근"}</definedName>
    <definedName name="ㅔㅔㅔㅔㅔㅔㅔㅔㅔㅔㅔㅔㅔㅔ" hidden="1">{#N/A,#N/A,FALSE,"이태원철근"}</definedName>
    <definedName name="ㅕ" hidden="1">{#N/A,#N/A,FALSE,"이태원철근"}</definedName>
    <definedName name="ㅕㅑ" hidden="1">{#N/A,#N/A,FALSE,"이태원철근"}</definedName>
    <definedName name="ㅕㅑㅐㅕㅑ" hidden="1">{#N/A,#N/A,FALSE,"이태원철근"}</definedName>
    <definedName name="ㅕㅑㅐㅕㅑㅐ" hidden="1">{#N/A,#N/A,FALSE,"이태원철근"}</definedName>
    <definedName name="ㅕㅑㅜㅐㅑ" hidden="1">{#N/A,#N/A,FALSE,"이태원철근"}</definedName>
    <definedName name="ㅗㅎ러ㅗㅎ럴호" hidden="1">{#N/A,#N/A,FALSE,"이태원철근"}</definedName>
    <definedName name="ㅗㅓㅏㅣㅗㅓㅏㅣ" hidden="1">{#N/A,#N/A,FALSE,"이태원철근"}</definedName>
    <definedName name="ㅛ셔쇼려ㅛ셔" hidden="1">{#N/A,#N/A,FALSE,"이태원철근"}</definedName>
    <definedName name="ㅛ셔ㅛ셔ㅛ쇼ㅕ" hidden="1">{#N/A,#N/A,FALSE,"이태원철근"}</definedName>
    <definedName name="ㅜㅂㅂㅂㅂㅂㅂ" hidden="1">{#N/A,#N/A,FALSE,"이태원철근"}</definedName>
    <definedName name="ㅜㅂㅂㅂㅂㅂㅂㅂㅂㅂㅂㅂ" hidden="1">{#N/A,#N/A,FALSE,"이태원철근"}</definedName>
    <definedName name="ㅜㅍ츄ㅜㅠㅍ춫ㅍ" hidden="1">{#N/A,#N/A,FALSE,"이태원철근"}</definedName>
    <definedName name="ㅣ" hidden="1">{#N/A,#N/A,FALSE,"이태원철근"}</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147" i="5" l="1"/>
  <c r="Q147" i="5"/>
  <c r="L147" i="5"/>
  <c r="J147" i="5"/>
  <c r="H147" i="5"/>
  <c r="S146" i="5"/>
  <c r="Q146" i="5"/>
  <c r="L146" i="5"/>
  <c r="J146" i="5"/>
  <c r="H146" i="5"/>
  <c r="S129" i="5"/>
  <c r="Q129" i="5"/>
  <c r="L129" i="5"/>
  <c r="J129" i="5"/>
  <c r="H129" i="5"/>
  <c r="S130" i="5"/>
  <c r="Q130" i="5"/>
  <c r="L130" i="5"/>
  <c r="J130" i="5"/>
  <c r="H130" i="5"/>
  <c r="S128" i="5"/>
  <c r="Q128" i="5"/>
  <c r="L128" i="5"/>
  <c r="J128" i="5"/>
  <c r="H128" i="5"/>
  <c r="S127" i="5"/>
  <c r="Q127" i="5"/>
  <c r="L127" i="5"/>
  <c r="J127" i="5"/>
  <c r="H127" i="5"/>
  <c r="S126" i="5"/>
  <c r="Q126" i="5"/>
  <c r="L126" i="5"/>
  <c r="J126" i="5"/>
  <c r="H126" i="5"/>
  <c r="S125" i="5"/>
  <c r="Q125" i="5"/>
  <c r="L125" i="5"/>
  <c r="J125" i="5"/>
  <c r="H125" i="5"/>
  <c r="S124" i="5"/>
  <c r="Q124" i="5"/>
  <c r="L124" i="5"/>
  <c r="J124" i="5"/>
  <c r="H124" i="5"/>
  <c r="S123" i="5"/>
  <c r="Q123" i="5"/>
  <c r="L123" i="5"/>
  <c r="J123" i="5"/>
  <c r="H123" i="5"/>
  <c r="S136" i="5"/>
  <c r="Q136" i="5"/>
  <c r="L136" i="5"/>
  <c r="J136" i="5"/>
  <c r="H136" i="5"/>
  <c r="S135" i="5"/>
  <c r="Q135" i="5"/>
  <c r="L135" i="5"/>
  <c r="J135" i="5"/>
  <c r="H135" i="5"/>
  <c r="S134" i="5"/>
  <c r="Q134" i="5"/>
  <c r="L134" i="5"/>
  <c r="J134" i="5"/>
  <c r="H134" i="5"/>
  <c r="S109" i="5"/>
  <c r="Q109" i="5"/>
  <c r="L109" i="5"/>
  <c r="J109" i="5"/>
  <c r="H109" i="5"/>
  <c r="S108" i="5"/>
  <c r="Q108" i="5"/>
  <c r="L108" i="5"/>
  <c r="J108" i="5"/>
  <c r="H108" i="5"/>
  <c r="S103" i="5"/>
  <c r="Q103" i="5"/>
  <c r="L103" i="5"/>
  <c r="J103" i="5"/>
  <c r="H103" i="5"/>
  <c r="S102" i="5"/>
  <c r="Q102" i="5"/>
  <c r="L102" i="5"/>
  <c r="J102" i="5"/>
  <c r="H102" i="5"/>
  <c r="S100" i="5"/>
  <c r="Q100" i="5"/>
  <c r="L100" i="5"/>
  <c r="J100" i="5"/>
  <c r="H100" i="5"/>
  <c r="S99" i="5"/>
  <c r="Q99" i="5"/>
  <c r="L99" i="5"/>
  <c r="J99" i="5"/>
  <c r="H99" i="5"/>
  <c r="S97" i="5"/>
  <c r="Q97" i="5"/>
  <c r="L97" i="5"/>
  <c r="J97" i="5"/>
  <c r="H97" i="5"/>
  <c r="S96" i="5"/>
  <c r="Q96" i="5"/>
  <c r="L96" i="5"/>
  <c r="J96" i="5"/>
  <c r="H96" i="5"/>
  <c r="S95" i="5"/>
  <c r="Q95" i="5"/>
  <c r="L95" i="5"/>
  <c r="J95" i="5"/>
  <c r="H95" i="5"/>
  <c r="S89" i="5"/>
  <c r="Q89" i="5"/>
  <c r="L89" i="5"/>
  <c r="J89" i="5"/>
  <c r="H89" i="5"/>
  <c r="S90" i="5"/>
  <c r="Q90" i="5"/>
  <c r="L90" i="5"/>
  <c r="J90" i="5"/>
  <c r="H90" i="5"/>
  <c r="S85" i="5"/>
  <c r="Q85" i="5"/>
  <c r="H85" i="5"/>
  <c r="S84" i="5"/>
  <c r="Q84" i="5"/>
  <c r="L84" i="5"/>
  <c r="J84" i="5"/>
  <c r="H84" i="5"/>
  <c r="S81" i="5"/>
  <c r="Q81" i="5"/>
  <c r="L81" i="5"/>
  <c r="J81" i="5"/>
  <c r="H81" i="5"/>
  <c r="S79" i="5"/>
  <c r="Q79" i="5"/>
  <c r="L79" i="5"/>
  <c r="J79" i="5"/>
  <c r="H79" i="5"/>
  <c r="K69" i="5"/>
  <c r="I69" i="5"/>
  <c r="S69" i="5"/>
  <c r="Q69" i="5"/>
  <c r="L69" i="5"/>
  <c r="J69" i="5"/>
  <c r="H69" i="5"/>
  <c r="S68" i="5"/>
  <c r="Q68" i="5"/>
  <c r="L68" i="5"/>
  <c r="J68" i="5"/>
  <c r="H68" i="5"/>
  <c r="S67" i="5"/>
  <c r="Q67" i="5"/>
  <c r="L67" i="5"/>
  <c r="J67" i="5"/>
  <c r="H67" i="5"/>
  <c r="S57" i="5"/>
  <c r="Q57" i="5"/>
  <c r="L57" i="5"/>
  <c r="J57" i="5"/>
  <c r="H57" i="5"/>
  <c r="S56" i="5"/>
  <c r="Q56" i="5"/>
  <c r="L56" i="5"/>
  <c r="J56" i="5"/>
  <c r="H56" i="5"/>
  <c r="S55" i="5"/>
  <c r="Q55" i="5"/>
  <c r="L55" i="5"/>
  <c r="J55" i="5"/>
  <c r="H55" i="5"/>
  <c r="S53" i="5"/>
  <c r="Q53" i="5"/>
  <c r="L53" i="5"/>
  <c r="J53" i="5"/>
  <c r="H53" i="5"/>
  <c r="S52" i="5"/>
  <c r="Q52" i="5"/>
  <c r="L52" i="5"/>
  <c r="J52" i="5"/>
  <c r="H52" i="5"/>
  <c r="S51" i="5"/>
  <c r="Q51" i="5"/>
  <c r="L51" i="5"/>
  <c r="J51" i="5"/>
  <c r="H51" i="5"/>
  <c r="S32" i="5"/>
  <c r="Q32" i="5"/>
  <c r="L32" i="5"/>
  <c r="J32" i="5"/>
  <c r="H32" i="5"/>
  <c r="S31" i="5"/>
  <c r="Q31" i="5"/>
  <c r="L31" i="5"/>
  <c r="J31" i="5"/>
  <c r="H31" i="5"/>
  <c r="S30" i="5"/>
  <c r="Q30" i="5"/>
  <c r="L30" i="5"/>
  <c r="J30" i="5"/>
  <c r="H30" i="5"/>
  <c r="S16" i="5"/>
  <c r="Q16" i="5"/>
  <c r="L16" i="5"/>
  <c r="J16" i="5"/>
  <c r="H16" i="5"/>
  <c r="S15" i="5"/>
  <c r="Q15" i="5"/>
  <c r="L15" i="5"/>
  <c r="J15" i="5"/>
  <c r="H15" i="5"/>
  <c r="S14" i="5"/>
  <c r="Q14" i="5"/>
  <c r="L14" i="5"/>
  <c r="J14" i="5"/>
  <c r="H14" i="5"/>
  <c r="S496" i="5"/>
  <c r="Q496" i="5"/>
  <c r="S495" i="5"/>
  <c r="Q495" i="5"/>
  <c r="S494" i="5"/>
  <c r="Q494" i="5"/>
  <c r="S493" i="5"/>
  <c r="Q493" i="5"/>
  <c r="S492" i="5"/>
  <c r="Q492" i="5"/>
  <c r="S491" i="5"/>
  <c r="Q491" i="5"/>
  <c r="S490" i="5"/>
  <c r="Q490" i="5"/>
  <c r="S489" i="5"/>
  <c r="Q489" i="5"/>
  <c r="S488" i="5"/>
  <c r="Q488" i="5"/>
  <c r="S487" i="5"/>
  <c r="Q487" i="5"/>
  <c r="S486" i="5"/>
  <c r="Q486" i="5"/>
  <c r="S485" i="5"/>
  <c r="Q485" i="5"/>
  <c r="S484" i="5"/>
  <c r="Q484" i="5"/>
  <c r="S483" i="5"/>
  <c r="Q483" i="5"/>
  <c r="S482" i="5"/>
  <c r="Q482" i="5"/>
  <c r="S481" i="5"/>
  <c r="Q481" i="5"/>
  <c r="S480" i="5"/>
  <c r="Q480" i="5"/>
  <c r="S479" i="5"/>
  <c r="Q479" i="5"/>
  <c r="S478" i="5"/>
  <c r="Q478" i="5"/>
  <c r="S477" i="5"/>
  <c r="Q477" i="5"/>
  <c r="S476" i="5"/>
  <c r="Q476" i="5"/>
  <c r="S475" i="5"/>
  <c r="Q475" i="5"/>
  <c r="S474" i="5"/>
  <c r="Q474" i="5"/>
  <c r="S473" i="5"/>
  <c r="Q473" i="5"/>
  <c r="S472" i="5"/>
  <c r="Q472" i="5"/>
  <c r="S471" i="5"/>
  <c r="Q471" i="5"/>
  <c r="S470" i="5"/>
  <c r="Q470" i="5"/>
  <c r="S469" i="5"/>
  <c r="Q469" i="5"/>
  <c r="S468" i="5"/>
  <c r="Q468" i="5"/>
  <c r="S467" i="5"/>
  <c r="Q467" i="5"/>
  <c r="S466" i="5"/>
  <c r="Q466" i="5"/>
  <c r="S465" i="5"/>
  <c r="Q465" i="5"/>
  <c r="S464" i="5"/>
  <c r="Q464" i="5"/>
  <c r="S463" i="5"/>
  <c r="Q463" i="5"/>
  <c r="S462" i="5"/>
  <c r="Q462" i="5"/>
  <c r="S461" i="5"/>
  <c r="Q461" i="5"/>
  <c r="S460" i="5"/>
  <c r="Q460" i="5"/>
  <c r="S459" i="5"/>
  <c r="Q459" i="5"/>
  <c r="S458" i="5"/>
  <c r="Q458" i="5"/>
  <c r="S457" i="5"/>
  <c r="Q457" i="5"/>
  <c r="S456" i="5"/>
  <c r="Q456" i="5"/>
  <c r="S455" i="5"/>
  <c r="Q455" i="5"/>
  <c r="S454" i="5"/>
  <c r="Q454" i="5"/>
  <c r="S453" i="5"/>
  <c r="Q453" i="5"/>
  <c r="S452" i="5"/>
  <c r="Q452" i="5"/>
  <c r="S451" i="5"/>
  <c r="Q451" i="5"/>
  <c r="S450" i="5"/>
  <c r="Q450" i="5"/>
  <c r="S449" i="5"/>
  <c r="Q449" i="5"/>
  <c r="S448" i="5"/>
  <c r="Q448" i="5"/>
  <c r="S447" i="5"/>
  <c r="Q447" i="5"/>
  <c r="S446" i="5"/>
  <c r="Q446" i="5"/>
  <c r="S445" i="5"/>
  <c r="Q445" i="5"/>
  <c r="S444" i="5"/>
  <c r="Q444" i="5"/>
  <c r="S443" i="5"/>
  <c r="Q443" i="5"/>
  <c r="S442" i="5"/>
  <c r="Q442" i="5"/>
  <c r="S441" i="5"/>
  <c r="Q441" i="5"/>
  <c r="S440" i="5"/>
  <c r="Q440" i="5"/>
  <c r="S439" i="5"/>
  <c r="Q439" i="5"/>
  <c r="S438" i="5"/>
  <c r="Q438" i="5"/>
  <c r="S437" i="5"/>
  <c r="Q437" i="5"/>
  <c r="S436" i="5"/>
  <c r="Q436" i="5"/>
  <c r="S435" i="5"/>
  <c r="Q435" i="5"/>
  <c r="S434" i="5"/>
  <c r="Q434" i="5"/>
  <c r="S433" i="5"/>
  <c r="Q433" i="5"/>
  <c r="S432" i="5"/>
  <c r="Q432" i="5"/>
  <c r="S431" i="5"/>
  <c r="Q431" i="5"/>
  <c r="S430" i="5"/>
  <c r="Q430" i="5"/>
  <c r="S429" i="5"/>
  <c r="Q429" i="5"/>
  <c r="S428" i="5"/>
  <c r="Q428" i="5"/>
  <c r="S427" i="5"/>
  <c r="Q427" i="5"/>
  <c r="S426" i="5"/>
  <c r="Q426" i="5"/>
  <c r="S425" i="5"/>
  <c r="Q425" i="5"/>
  <c r="S424" i="5"/>
  <c r="Q424" i="5"/>
  <c r="S423" i="5"/>
  <c r="Q423" i="5"/>
  <c r="S422" i="5"/>
  <c r="Q422" i="5"/>
  <c r="S421" i="5"/>
  <c r="Q421" i="5"/>
  <c r="S420" i="5"/>
  <c r="Q420" i="5"/>
  <c r="S419" i="5"/>
  <c r="Q419" i="5"/>
  <c r="S418" i="5"/>
  <c r="Q418" i="5"/>
  <c r="S417" i="5"/>
  <c r="Q417" i="5"/>
  <c r="S416" i="5"/>
  <c r="Q416" i="5"/>
  <c r="S415" i="5"/>
  <c r="Q415" i="5"/>
  <c r="S414" i="5"/>
  <c r="Q414" i="5"/>
  <c r="S413" i="5"/>
  <c r="Q413" i="5"/>
  <c r="S412" i="5"/>
  <c r="Q412" i="5"/>
  <c r="S411" i="5"/>
  <c r="Q411" i="5"/>
  <c r="S410" i="5"/>
  <c r="Q410" i="5"/>
  <c r="S409" i="5"/>
  <c r="Q409" i="5"/>
  <c r="S408" i="5"/>
  <c r="Q408" i="5"/>
  <c r="S407" i="5"/>
  <c r="Q407" i="5"/>
  <c r="S406" i="5"/>
  <c r="Q406" i="5"/>
  <c r="S405" i="5"/>
  <c r="Q405" i="5"/>
  <c r="S404" i="5"/>
  <c r="Q404" i="5"/>
  <c r="S403" i="5"/>
  <c r="Q403" i="5"/>
  <c r="S402" i="5"/>
  <c r="Q402" i="5"/>
  <c r="S401" i="5"/>
  <c r="Q401" i="5"/>
  <c r="S400" i="5"/>
  <c r="Q400" i="5"/>
  <c r="S399" i="5"/>
  <c r="Q399" i="5"/>
  <c r="S398" i="5"/>
  <c r="Q398" i="5"/>
  <c r="S397" i="5"/>
  <c r="Q397" i="5"/>
  <c r="S396" i="5"/>
  <c r="Q396" i="5"/>
  <c r="S395" i="5"/>
  <c r="Q395" i="5"/>
  <c r="S394" i="5"/>
  <c r="Q394" i="5"/>
  <c r="S393" i="5"/>
  <c r="Q393" i="5"/>
  <c r="S392" i="5"/>
  <c r="Q392" i="5"/>
  <c r="S391" i="5"/>
  <c r="Q391" i="5"/>
  <c r="S390" i="5"/>
  <c r="Q390" i="5"/>
  <c r="S389" i="5"/>
  <c r="Q389" i="5"/>
  <c r="S388" i="5"/>
  <c r="Q388" i="5"/>
  <c r="S387" i="5"/>
  <c r="Q387" i="5"/>
  <c r="S386" i="5"/>
  <c r="Q386" i="5"/>
  <c r="S385" i="5"/>
  <c r="Q385" i="5"/>
  <c r="S384" i="5"/>
  <c r="Q384" i="5"/>
  <c r="S383" i="5"/>
  <c r="Q383" i="5"/>
  <c r="S382" i="5"/>
  <c r="Q382" i="5"/>
  <c r="S381" i="5"/>
  <c r="Q381" i="5"/>
  <c r="S380" i="5"/>
  <c r="Q380" i="5"/>
  <c r="S379" i="5"/>
  <c r="Q379" i="5"/>
  <c r="S378" i="5"/>
  <c r="Q378" i="5"/>
  <c r="S377" i="5"/>
  <c r="Q377" i="5"/>
  <c r="S376" i="5"/>
  <c r="Q376" i="5"/>
  <c r="S375" i="5"/>
  <c r="Q375" i="5"/>
  <c r="S374" i="5"/>
  <c r="Q374" i="5"/>
  <c r="S373" i="5"/>
  <c r="Q373" i="5"/>
  <c r="S372" i="5"/>
  <c r="Q372" i="5"/>
  <c r="S371" i="5"/>
  <c r="Q371" i="5"/>
  <c r="S370" i="5"/>
  <c r="Q370" i="5"/>
  <c r="S369" i="5"/>
  <c r="Q369" i="5"/>
  <c r="S368" i="5"/>
  <c r="Q368" i="5"/>
  <c r="S367" i="5"/>
  <c r="Q367" i="5"/>
  <c r="S366" i="5"/>
  <c r="Q366" i="5"/>
  <c r="S365" i="5"/>
  <c r="Q365" i="5"/>
  <c r="S364" i="5"/>
  <c r="Q364" i="5"/>
  <c r="S363" i="5"/>
  <c r="Q363" i="5"/>
  <c r="S362" i="5"/>
  <c r="Q362" i="5"/>
  <c r="S361" i="5"/>
  <c r="Q361" i="5"/>
  <c r="S360" i="5"/>
  <c r="Q360" i="5"/>
  <c r="S359" i="5"/>
  <c r="Q359" i="5"/>
  <c r="S358" i="5"/>
  <c r="Q358" i="5"/>
  <c r="S357" i="5"/>
  <c r="Q357" i="5"/>
  <c r="S356" i="5"/>
  <c r="Q356" i="5"/>
  <c r="S355" i="5"/>
  <c r="Q355" i="5"/>
  <c r="S354" i="5"/>
  <c r="Q354" i="5"/>
  <c r="S353" i="5"/>
  <c r="Q353" i="5"/>
  <c r="S352" i="5"/>
  <c r="Q352" i="5"/>
  <c r="S351" i="5"/>
  <c r="Q351" i="5"/>
  <c r="S350" i="5"/>
  <c r="Q350" i="5"/>
  <c r="S349" i="5"/>
  <c r="Q349" i="5"/>
  <c r="S348" i="5"/>
  <c r="Q348" i="5"/>
  <c r="S347" i="5"/>
  <c r="Q347" i="5"/>
  <c r="S346" i="5"/>
  <c r="Q346" i="5"/>
  <c r="S345" i="5"/>
  <c r="Q345" i="5"/>
  <c r="S344" i="5"/>
  <c r="Q344" i="5"/>
  <c r="S343" i="5"/>
  <c r="Q343" i="5"/>
  <c r="S342" i="5"/>
  <c r="Q342" i="5"/>
  <c r="S341" i="5"/>
  <c r="Q341" i="5"/>
  <c r="S340" i="5"/>
  <c r="Q340" i="5"/>
  <c r="S339" i="5"/>
  <c r="Q339" i="5"/>
  <c r="S338" i="5"/>
  <c r="Q338" i="5"/>
  <c r="S337" i="5"/>
  <c r="Q337" i="5"/>
  <c r="S336" i="5"/>
  <c r="Q336" i="5"/>
  <c r="S335" i="5"/>
  <c r="Q335" i="5"/>
  <c r="S334" i="5"/>
  <c r="Q334" i="5"/>
  <c r="S333" i="5"/>
  <c r="Q333" i="5"/>
  <c r="S332" i="5"/>
  <c r="Q332" i="5"/>
  <c r="S331" i="5"/>
  <c r="Q331" i="5"/>
  <c r="S330" i="5"/>
  <c r="Q330" i="5"/>
  <c r="S329" i="5"/>
  <c r="Q329" i="5"/>
  <c r="S328" i="5"/>
  <c r="Q328" i="5"/>
  <c r="S327" i="5"/>
  <c r="Q327" i="5"/>
  <c r="S326" i="5"/>
  <c r="Q326" i="5"/>
  <c r="S325" i="5"/>
  <c r="Q325" i="5"/>
  <c r="S324" i="5"/>
  <c r="Q324" i="5"/>
  <c r="S323" i="5"/>
  <c r="Q323" i="5"/>
  <c r="S322" i="5"/>
  <c r="Q322" i="5"/>
  <c r="S321" i="5"/>
  <c r="Q321" i="5"/>
  <c r="S320" i="5"/>
  <c r="Q320" i="5"/>
  <c r="S319" i="5"/>
  <c r="Q319" i="5"/>
  <c r="S318" i="5"/>
  <c r="Q318" i="5"/>
  <c r="S317" i="5"/>
  <c r="Q317" i="5"/>
  <c r="S316" i="5"/>
  <c r="Q316" i="5"/>
  <c r="S315" i="5"/>
  <c r="Q315" i="5"/>
  <c r="S314" i="5"/>
  <c r="Q314" i="5"/>
  <c r="S313" i="5"/>
  <c r="Q313" i="5"/>
  <c r="S312" i="5"/>
  <c r="Q312" i="5"/>
  <c r="S311" i="5"/>
  <c r="Q311" i="5"/>
  <c r="S310" i="5"/>
  <c r="Q310" i="5"/>
  <c r="S309" i="5"/>
  <c r="Q309" i="5"/>
  <c r="S308" i="5"/>
  <c r="Q308" i="5"/>
  <c r="S307" i="5"/>
  <c r="Q307" i="5"/>
  <c r="S306" i="5"/>
  <c r="Q306" i="5"/>
  <c r="S305" i="5"/>
  <c r="Q305" i="5"/>
  <c r="S304" i="5"/>
  <c r="Q304" i="5"/>
  <c r="S303" i="5"/>
  <c r="Q303" i="5"/>
  <c r="S302" i="5"/>
  <c r="Q302" i="5"/>
  <c r="S301" i="5"/>
  <c r="Q301" i="5"/>
  <c r="S300" i="5"/>
  <c r="Q300" i="5"/>
  <c r="S299" i="5"/>
  <c r="Q299" i="5"/>
  <c r="S298" i="5"/>
  <c r="Q298" i="5"/>
  <c r="S297" i="5"/>
  <c r="Q297" i="5"/>
  <c r="S296" i="5"/>
  <c r="Q296" i="5"/>
  <c r="S295" i="5"/>
  <c r="Q295" i="5"/>
  <c r="S294" i="5"/>
  <c r="Q294" i="5"/>
  <c r="S293" i="5"/>
  <c r="Q293" i="5"/>
  <c r="S292" i="5"/>
  <c r="Q292" i="5"/>
  <c r="S291" i="5"/>
  <c r="Q291" i="5"/>
  <c r="S290" i="5"/>
  <c r="Q290" i="5"/>
  <c r="S289" i="5"/>
  <c r="Q289" i="5"/>
  <c r="S288" i="5"/>
  <c r="Q288" i="5"/>
  <c r="S287" i="5"/>
  <c r="Q287" i="5"/>
  <c r="S286" i="5"/>
  <c r="Q286" i="5"/>
  <c r="S285" i="5"/>
  <c r="Q285" i="5"/>
  <c r="S284" i="5"/>
  <c r="Q284" i="5"/>
  <c r="S283" i="5"/>
  <c r="Q283" i="5"/>
  <c r="S282" i="5"/>
  <c r="Q282" i="5"/>
  <c r="S281" i="5"/>
  <c r="Q281" i="5"/>
  <c r="S280" i="5"/>
  <c r="Q280" i="5"/>
  <c r="S279" i="5"/>
  <c r="Q279" i="5"/>
  <c r="S278" i="5"/>
  <c r="Q278" i="5"/>
  <c r="S277" i="5"/>
  <c r="Q277" i="5"/>
  <c r="S276" i="5"/>
  <c r="Q276" i="5"/>
  <c r="S275" i="5"/>
  <c r="Q275" i="5"/>
  <c r="S274" i="5"/>
  <c r="Q274" i="5"/>
  <c r="S273" i="5"/>
  <c r="Q273" i="5"/>
  <c r="S272" i="5"/>
  <c r="Q272" i="5"/>
  <c r="S271" i="5"/>
  <c r="Q271" i="5"/>
  <c r="S270" i="5"/>
  <c r="Q270" i="5"/>
  <c r="S269" i="5"/>
  <c r="Q269" i="5"/>
  <c r="S268" i="5"/>
  <c r="Q268" i="5"/>
  <c r="S267" i="5"/>
  <c r="Q267" i="5"/>
  <c r="S266" i="5"/>
  <c r="Q266" i="5"/>
  <c r="S265" i="5"/>
  <c r="Q265" i="5"/>
  <c r="S264" i="5"/>
  <c r="Q264" i="5"/>
  <c r="S263" i="5"/>
  <c r="Q263" i="5"/>
  <c r="S262" i="5"/>
  <c r="Q262" i="5"/>
  <c r="S261" i="5"/>
  <c r="Q261" i="5"/>
  <c r="S260" i="5"/>
  <c r="Q260" i="5"/>
  <c r="S259" i="5"/>
  <c r="Q259" i="5"/>
  <c r="S258" i="5"/>
  <c r="Q258" i="5"/>
  <c r="S257" i="5"/>
  <c r="Q257" i="5"/>
  <c r="S256" i="5"/>
  <c r="Q256" i="5"/>
  <c r="S255" i="5"/>
  <c r="Q255" i="5"/>
  <c r="S254" i="5"/>
  <c r="Q254" i="5"/>
  <c r="S253" i="5"/>
  <c r="Q253" i="5"/>
  <c r="S252" i="5"/>
  <c r="Q252" i="5"/>
  <c r="S251" i="5"/>
  <c r="Q251" i="5"/>
  <c r="S250" i="5"/>
  <c r="Q250" i="5"/>
  <c r="S249" i="5"/>
  <c r="Q249" i="5"/>
  <c r="S248" i="5"/>
  <c r="Q248" i="5"/>
  <c r="S247" i="5"/>
  <c r="Q247" i="5"/>
  <c r="S246" i="5"/>
  <c r="Q246" i="5"/>
  <c r="S245" i="5"/>
  <c r="Q245" i="5"/>
  <c r="S244" i="5"/>
  <c r="Q244" i="5"/>
  <c r="S243" i="5"/>
  <c r="Q243" i="5"/>
  <c r="S242" i="5"/>
  <c r="Q242" i="5"/>
  <c r="S241" i="5"/>
  <c r="Q241" i="5"/>
  <c r="S240" i="5"/>
  <c r="Q240" i="5"/>
  <c r="S239" i="5"/>
  <c r="Q239" i="5"/>
  <c r="S238" i="5"/>
  <c r="Q238" i="5"/>
  <c r="S237" i="5"/>
  <c r="Q237" i="5"/>
  <c r="S236" i="5"/>
  <c r="Q236" i="5"/>
  <c r="S235" i="5"/>
  <c r="Q235" i="5"/>
  <c r="S234" i="5"/>
  <c r="Q234" i="5"/>
  <c r="S233" i="5"/>
  <c r="Q233" i="5"/>
  <c r="S232" i="5"/>
  <c r="Q232" i="5"/>
  <c r="S231" i="5"/>
  <c r="Q231" i="5"/>
  <c r="S230" i="5"/>
  <c r="Q230" i="5"/>
  <c r="S229" i="5"/>
  <c r="Q229" i="5"/>
  <c r="S228" i="5"/>
  <c r="Q228" i="5"/>
  <c r="S227" i="5"/>
  <c r="Q227" i="5"/>
  <c r="S226" i="5"/>
  <c r="Q226" i="5"/>
  <c r="S225" i="5"/>
  <c r="Q225" i="5"/>
  <c r="S224" i="5"/>
  <c r="Q224" i="5"/>
  <c r="S223" i="5"/>
  <c r="Q223" i="5"/>
  <c r="S222" i="5"/>
  <c r="Q222" i="5"/>
  <c r="S221" i="5"/>
  <c r="Q221" i="5"/>
  <c r="S220" i="5"/>
  <c r="Q220" i="5"/>
  <c r="S219" i="5"/>
  <c r="Q219" i="5"/>
  <c r="S218" i="5"/>
  <c r="Q218" i="5"/>
  <c r="S217" i="5"/>
  <c r="Q217" i="5"/>
  <c r="S216" i="5"/>
  <c r="Q216" i="5"/>
  <c r="S215" i="5"/>
  <c r="Q215" i="5"/>
  <c r="S214" i="5"/>
  <c r="Q214" i="5"/>
  <c r="S213" i="5"/>
  <c r="Q213" i="5"/>
  <c r="S212" i="5"/>
  <c r="Q212" i="5"/>
  <c r="S211" i="5"/>
  <c r="Q211" i="5"/>
  <c r="S210" i="5"/>
  <c r="Q210" i="5"/>
  <c r="S209" i="5"/>
  <c r="Q209" i="5"/>
  <c r="S208" i="5"/>
  <c r="Q208" i="5"/>
  <c r="S207" i="5"/>
  <c r="Q207" i="5"/>
  <c r="S206" i="5"/>
  <c r="Q206" i="5"/>
  <c r="S205" i="5"/>
  <c r="Q205" i="5"/>
  <c r="S204" i="5"/>
  <c r="Q204" i="5"/>
  <c r="S203" i="5"/>
  <c r="Q203" i="5"/>
  <c r="S202" i="5"/>
  <c r="Q202" i="5"/>
  <c r="S201" i="5"/>
  <c r="Q201" i="5"/>
  <c r="S200" i="5"/>
  <c r="Q200" i="5"/>
  <c r="S199" i="5"/>
  <c r="Q199" i="5"/>
  <c r="S198" i="5"/>
  <c r="Q198" i="5"/>
  <c r="S197" i="5"/>
  <c r="Q197" i="5"/>
  <c r="S196" i="5"/>
  <c r="Q196" i="5"/>
  <c r="S195" i="5"/>
  <c r="Q195" i="5"/>
  <c r="S194" i="5"/>
  <c r="Q194" i="5"/>
  <c r="S193" i="5"/>
  <c r="Q193" i="5"/>
  <c r="S192" i="5"/>
  <c r="Q192" i="5"/>
  <c r="S191" i="5"/>
  <c r="Q191" i="5"/>
  <c r="S190" i="5"/>
  <c r="Q190" i="5"/>
  <c r="S189" i="5"/>
  <c r="Q189" i="5"/>
  <c r="S188" i="5"/>
  <c r="Q188" i="5"/>
  <c r="S187" i="5"/>
  <c r="Q187" i="5"/>
  <c r="S186" i="5"/>
  <c r="Q186" i="5"/>
  <c r="S185" i="5"/>
  <c r="Q185" i="5"/>
  <c r="S184" i="5"/>
  <c r="Q184" i="5"/>
  <c r="S183" i="5"/>
  <c r="Q183" i="5"/>
  <c r="S182" i="5"/>
  <c r="Q182" i="5"/>
  <c r="S181" i="5"/>
  <c r="Q181" i="5"/>
  <c r="S180" i="5"/>
  <c r="Q180" i="5"/>
  <c r="S179" i="5"/>
  <c r="Q179" i="5"/>
  <c r="S178" i="5"/>
  <c r="Q178" i="5"/>
  <c r="S177" i="5"/>
  <c r="Q177" i="5"/>
  <c r="S176" i="5"/>
  <c r="Q176" i="5"/>
  <c r="S175" i="5"/>
  <c r="Q175" i="5"/>
  <c r="S174" i="5"/>
  <c r="Q174" i="5"/>
  <c r="S173" i="5"/>
  <c r="Q173" i="5"/>
  <c r="S172" i="5"/>
  <c r="Q172" i="5"/>
  <c r="S171" i="5"/>
  <c r="Q171" i="5"/>
  <c r="S170" i="5"/>
  <c r="Q170" i="5"/>
  <c r="S169" i="5"/>
  <c r="Q169" i="5"/>
  <c r="S168" i="5"/>
  <c r="Q168" i="5"/>
  <c r="S167" i="5"/>
  <c r="Q167" i="5"/>
  <c r="S166" i="5"/>
  <c r="Q166" i="5"/>
  <c r="S165" i="5"/>
  <c r="Q165" i="5"/>
  <c r="S164" i="5"/>
  <c r="Q164" i="5"/>
  <c r="S163" i="5"/>
  <c r="Q163" i="5"/>
  <c r="S162" i="5"/>
  <c r="Q162" i="5"/>
  <c r="S161" i="5"/>
  <c r="Q161" i="5"/>
  <c r="S160" i="5"/>
  <c r="Q160" i="5"/>
  <c r="S159" i="5"/>
  <c r="Q159" i="5"/>
  <c r="S158" i="5"/>
  <c r="Q158" i="5"/>
  <c r="S157" i="5"/>
  <c r="Q157" i="5"/>
  <c r="S156" i="5"/>
  <c r="Q156" i="5"/>
  <c r="S155" i="5"/>
  <c r="Q155" i="5"/>
  <c r="S154" i="5"/>
  <c r="Q154" i="5"/>
  <c r="S153" i="5"/>
  <c r="Q153" i="5"/>
  <c r="S152" i="5"/>
  <c r="Q152" i="5"/>
  <c r="S151" i="5"/>
  <c r="Q151" i="5"/>
  <c r="S150" i="5"/>
  <c r="Q150" i="5"/>
  <c r="S149" i="5"/>
  <c r="Q149" i="5"/>
  <c r="S148" i="5"/>
  <c r="Q148" i="5"/>
  <c r="S145" i="5"/>
  <c r="Q145" i="5"/>
  <c r="S144" i="5"/>
  <c r="Q144" i="5"/>
  <c r="S143" i="5"/>
  <c r="Q143" i="5"/>
  <c r="S142" i="5"/>
  <c r="Q142" i="5"/>
  <c r="S141" i="5"/>
  <c r="Q141" i="5"/>
  <c r="S140" i="5"/>
  <c r="Q140" i="5"/>
  <c r="S139" i="5"/>
  <c r="Q139" i="5"/>
  <c r="S138" i="5"/>
  <c r="Q138" i="5"/>
  <c r="S137" i="5"/>
  <c r="Q137" i="5"/>
  <c r="S133" i="5"/>
  <c r="Q133" i="5"/>
  <c r="S132" i="5"/>
  <c r="Q132" i="5"/>
  <c r="S131" i="5"/>
  <c r="Q131" i="5"/>
  <c r="S122" i="5"/>
  <c r="Q122" i="5"/>
  <c r="S121" i="5"/>
  <c r="Q121" i="5"/>
  <c r="S120" i="5"/>
  <c r="Q120" i="5"/>
  <c r="S119" i="5"/>
  <c r="Q119" i="5"/>
  <c r="S118" i="5"/>
  <c r="Q118" i="5"/>
  <c r="S117" i="5"/>
  <c r="Q117" i="5"/>
  <c r="S116" i="5"/>
  <c r="Q116" i="5"/>
  <c r="S115" i="5"/>
  <c r="Q115" i="5"/>
  <c r="S114" i="5"/>
  <c r="Q114" i="5"/>
  <c r="S113" i="5"/>
  <c r="Q113" i="5"/>
  <c r="S112" i="5"/>
  <c r="Q112" i="5"/>
  <c r="S111" i="5"/>
  <c r="Q111" i="5"/>
  <c r="S110" i="5"/>
  <c r="Q110" i="5"/>
  <c r="S107" i="5"/>
  <c r="Q107" i="5"/>
  <c r="S106" i="5"/>
  <c r="Q106" i="5"/>
  <c r="S105" i="5"/>
  <c r="Q105" i="5"/>
  <c r="S104" i="5"/>
  <c r="Q104" i="5"/>
  <c r="S101" i="5"/>
  <c r="Q101" i="5"/>
  <c r="S98" i="5"/>
  <c r="Q98" i="5"/>
  <c r="S94" i="5"/>
  <c r="Q94" i="5"/>
  <c r="S93" i="5"/>
  <c r="Q93" i="5"/>
  <c r="S92" i="5"/>
  <c r="Q92" i="5"/>
  <c r="S91" i="5"/>
  <c r="Q91" i="5"/>
  <c r="S88" i="5"/>
  <c r="Q88" i="5"/>
  <c r="S87" i="5"/>
  <c r="Q87" i="5"/>
  <c r="S86" i="5"/>
  <c r="Q86" i="5"/>
  <c r="S83" i="5"/>
  <c r="Q83" i="5"/>
  <c r="S82" i="5"/>
  <c r="Q82" i="5"/>
  <c r="S80" i="5"/>
  <c r="Q80" i="5"/>
  <c r="S78" i="5"/>
  <c r="Q78" i="5"/>
  <c r="S77" i="5"/>
  <c r="Q77" i="5"/>
  <c r="S76" i="5"/>
  <c r="Q76" i="5"/>
  <c r="S75" i="5"/>
  <c r="Q75" i="5"/>
  <c r="S74" i="5"/>
  <c r="Q74" i="5"/>
  <c r="S73" i="5"/>
  <c r="Q73" i="5"/>
  <c r="S72" i="5"/>
  <c r="Q72" i="5"/>
  <c r="S71" i="5"/>
  <c r="Q71" i="5"/>
  <c r="S70" i="5"/>
  <c r="Q70" i="5"/>
  <c r="S66" i="5"/>
  <c r="Q66" i="5"/>
  <c r="S65" i="5"/>
  <c r="Q65" i="5"/>
  <c r="S64" i="5"/>
  <c r="Q64" i="5"/>
  <c r="S63" i="5"/>
  <c r="Q63" i="5"/>
  <c r="S62" i="5"/>
  <c r="Q62" i="5"/>
  <c r="S61" i="5"/>
  <c r="Q61" i="5"/>
  <c r="S60" i="5"/>
  <c r="Q60" i="5"/>
  <c r="S59" i="5"/>
  <c r="Q59" i="5"/>
  <c r="S58" i="5"/>
  <c r="Q58" i="5"/>
  <c r="S54" i="5"/>
  <c r="Q54" i="5"/>
  <c r="S50" i="5"/>
  <c r="Q50" i="5"/>
  <c r="S49" i="5"/>
  <c r="Q49" i="5"/>
  <c r="S48" i="5"/>
  <c r="Q48" i="5"/>
  <c r="S47" i="5"/>
  <c r="Q47" i="5"/>
  <c r="S46" i="5"/>
  <c r="Q46" i="5"/>
  <c r="S45" i="5"/>
  <c r="Q45" i="5"/>
  <c r="S44" i="5"/>
  <c r="Q44" i="5"/>
  <c r="S43" i="5"/>
  <c r="Q43" i="5"/>
  <c r="S42" i="5"/>
  <c r="Q42" i="5"/>
  <c r="S41" i="5"/>
  <c r="Q41" i="5"/>
  <c r="S40" i="5"/>
  <c r="Q40" i="5"/>
  <c r="S39" i="5"/>
  <c r="Q39" i="5"/>
  <c r="S38" i="5"/>
  <c r="Q38" i="5"/>
  <c r="S37" i="5"/>
  <c r="Q37" i="5"/>
  <c r="S36" i="5"/>
  <c r="Q36" i="5"/>
  <c r="S35" i="5"/>
  <c r="Q35" i="5"/>
  <c r="S34" i="5"/>
  <c r="Q34" i="5"/>
  <c r="S33" i="5"/>
  <c r="Q33" i="5"/>
  <c r="S29" i="5"/>
  <c r="Q29" i="5"/>
  <c r="S28" i="5"/>
  <c r="Q28" i="5"/>
  <c r="S27" i="5"/>
  <c r="Q27" i="5"/>
  <c r="S26" i="5"/>
  <c r="Q26" i="5"/>
  <c r="S25" i="5"/>
  <c r="Q25" i="5"/>
  <c r="S24" i="5"/>
  <c r="Q24" i="5"/>
  <c r="S23" i="5"/>
  <c r="Q23" i="5"/>
  <c r="S22" i="5"/>
  <c r="Q22" i="5"/>
  <c r="S21" i="5"/>
  <c r="Q21" i="5"/>
  <c r="S20" i="5"/>
  <c r="Q20" i="5"/>
  <c r="S19" i="5"/>
  <c r="Q19" i="5"/>
  <c r="S18" i="5"/>
  <c r="Q18" i="5"/>
  <c r="S17" i="5"/>
  <c r="Q17" i="5"/>
  <c r="S13" i="5"/>
  <c r="Q13" i="5"/>
  <c r="S12" i="5"/>
  <c r="Q12" i="5"/>
  <c r="S11" i="5"/>
  <c r="Q11" i="5"/>
  <c r="S10" i="5"/>
  <c r="Q10" i="5"/>
  <c r="S9" i="5"/>
  <c r="Q9" i="5"/>
  <c r="S8" i="5"/>
  <c r="Q8" i="5"/>
  <c r="S7" i="5"/>
  <c r="Q7" i="5"/>
  <c r="L496" i="5"/>
  <c r="L495" i="5"/>
  <c r="L494" i="5"/>
  <c r="L493" i="5"/>
  <c r="L492" i="5"/>
  <c r="L491" i="5"/>
  <c r="L490" i="5"/>
  <c r="L489" i="5"/>
  <c r="L488" i="5"/>
  <c r="L487" i="5"/>
  <c r="L486" i="5"/>
  <c r="L485" i="5"/>
  <c r="L484" i="5"/>
  <c r="L483" i="5"/>
  <c r="L482" i="5"/>
  <c r="L481" i="5"/>
  <c r="L480" i="5"/>
  <c r="L479" i="5"/>
  <c r="L478" i="5"/>
  <c r="L477" i="5"/>
  <c r="L476" i="5"/>
  <c r="L475" i="5"/>
  <c r="L474" i="5"/>
  <c r="L473" i="5"/>
  <c r="L472" i="5"/>
  <c r="L471" i="5"/>
  <c r="L470" i="5"/>
  <c r="L469" i="5"/>
  <c r="L468" i="5"/>
  <c r="L467" i="5"/>
  <c r="L466" i="5"/>
  <c r="L465" i="5"/>
  <c r="L464" i="5"/>
  <c r="L463" i="5"/>
  <c r="L462" i="5"/>
  <c r="L461" i="5"/>
  <c r="L460" i="5"/>
  <c r="L459" i="5"/>
  <c r="L458" i="5"/>
  <c r="L457" i="5"/>
  <c r="L456" i="5"/>
  <c r="L455" i="5"/>
  <c r="L454" i="5"/>
  <c r="L453" i="5"/>
  <c r="L452" i="5"/>
  <c r="L451" i="5"/>
  <c r="L450" i="5"/>
  <c r="L449" i="5"/>
  <c r="L448" i="5"/>
  <c r="L447" i="5"/>
  <c r="L446" i="5"/>
  <c r="L445" i="5"/>
  <c r="L444" i="5"/>
  <c r="L443" i="5"/>
  <c r="L442" i="5"/>
  <c r="L441" i="5"/>
  <c r="L440" i="5"/>
  <c r="L439" i="5"/>
  <c r="L438" i="5"/>
  <c r="L437" i="5"/>
  <c r="L436" i="5"/>
  <c r="L435" i="5"/>
  <c r="L434" i="5"/>
  <c r="L433" i="5"/>
  <c r="L432" i="5"/>
  <c r="L431" i="5"/>
  <c r="L430" i="5"/>
  <c r="L429" i="5"/>
  <c r="L428" i="5"/>
  <c r="L427" i="5"/>
  <c r="L426" i="5"/>
  <c r="L425" i="5"/>
  <c r="L424" i="5"/>
  <c r="L423" i="5"/>
  <c r="L422" i="5"/>
  <c r="L421" i="5"/>
  <c r="L420" i="5"/>
  <c r="L419" i="5"/>
  <c r="L418" i="5"/>
  <c r="L417" i="5"/>
  <c r="L416" i="5"/>
  <c r="L415" i="5"/>
  <c r="L414" i="5"/>
  <c r="L413" i="5"/>
  <c r="L412" i="5"/>
  <c r="L411" i="5"/>
  <c r="L410" i="5"/>
  <c r="L409" i="5"/>
  <c r="L408" i="5"/>
  <c r="L407" i="5"/>
  <c r="L406" i="5"/>
  <c r="L405" i="5"/>
  <c r="L404" i="5"/>
  <c r="L403" i="5"/>
  <c r="L402" i="5"/>
  <c r="L401" i="5"/>
  <c r="L400" i="5"/>
  <c r="L399" i="5"/>
  <c r="L398" i="5"/>
  <c r="L397" i="5"/>
  <c r="L396" i="5"/>
  <c r="L395" i="5"/>
  <c r="L394" i="5"/>
  <c r="L393" i="5"/>
  <c r="L392" i="5"/>
  <c r="L391" i="5"/>
  <c r="L390" i="5"/>
  <c r="L389" i="5"/>
  <c r="L388" i="5"/>
  <c r="L387" i="5"/>
  <c r="L386" i="5"/>
  <c r="L385" i="5"/>
  <c r="L384" i="5"/>
  <c r="L383" i="5"/>
  <c r="L382" i="5"/>
  <c r="L381" i="5"/>
  <c r="L380" i="5"/>
  <c r="L379" i="5"/>
  <c r="L378" i="5"/>
  <c r="L377" i="5"/>
  <c r="L376" i="5"/>
  <c r="L375" i="5"/>
  <c r="L374" i="5"/>
  <c r="L373" i="5"/>
  <c r="L372" i="5"/>
  <c r="L371" i="5"/>
  <c r="L370" i="5"/>
  <c r="L369" i="5"/>
  <c r="L368" i="5"/>
  <c r="L367" i="5"/>
  <c r="L366" i="5"/>
  <c r="L365" i="5"/>
  <c r="L364" i="5"/>
  <c r="L363" i="5"/>
  <c r="L362" i="5"/>
  <c r="L361" i="5"/>
  <c r="L360" i="5"/>
  <c r="L359" i="5"/>
  <c r="L358" i="5"/>
  <c r="L357" i="5"/>
  <c r="L356" i="5"/>
  <c r="L355" i="5"/>
  <c r="L354" i="5"/>
  <c r="L353" i="5"/>
  <c r="L352" i="5"/>
  <c r="L351" i="5"/>
  <c r="L350" i="5"/>
  <c r="L349" i="5"/>
  <c r="L348" i="5"/>
  <c r="L347" i="5"/>
  <c r="L346" i="5"/>
  <c r="L345" i="5"/>
  <c r="L344" i="5"/>
  <c r="L343" i="5"/>
  <c r="L342" i="5"/>
  <c r="L341" i="5"/>
  <c r="L340" i="5"/>
  <c r="L339" i="5"/>
  <c r="L338" i="5"/>
  <c r="L337" i="5"/>
  <c r="L336" i="5"/>
  <c r="L335" i="5"/>
  <c r="L334" i="5"/>
  <c r="L333" i="5"/>
  <c r="L332" i="5"/>
  <c r="L331" i="5"/>
  <c r="L330" i="5"/>
  <c r="L329" i="5"/>
  <c r="L328" i="5"/>
  <c r="L327" i="5"/>
  <c r="L326" i="5"/>
  <c r="L325" i="5"/>
  <c r="L324" i="5"/>
  <c r="L323" i="5"/>
  <c r="L322" i="5"/>
  <c r="L321" i="5"/>
  <c r="L320" i="5"/>
  <c r="L319" i="5"/>
  <c r="L318" i="5"/>
  <c r="L317" i="5"/>
  <c r="L316" i="5"/>
  <c r="L315" i="5"/>
  <c r="L314" i="5"/>
  <c r="L313" i="5"/>
  <c r="L312" i="5"/>
  <c r="L311" i="5"/>
  <c r="L310" i="5"/>
  <c r="L309" i="5"/>
  <c r="L308" i="5"/>
  <c r="L307" i="5"/>
  <c r="L306" i="5"/>
  <c r="L305" i="5"/>
  <c r="L304" i="5"/>
  <c r="L303" i="5"/>
  <c r="L302" i="5"/>
  <c r="L301" i="5"/>
  <c r="L300" i="5"/>
  <c r="L299" i="5"/>
  <c r="L298" i="5"/>
  <c r="L297" i="5"/>
  <c r="L296" i="5"/>
  <c r="L295" i="5"/>
  <c r="L294" i="5"/>
  <c r="L293" i="5"/>
  <c r="L292" i="5"/>
  <c r="L291" i="5"/>
  <c r="L290" i="5"/>
  <c r="L289" i="5"/>
  <c r="L288" i="5"/>
  <c r="L287" i="5"/>
  <c r="L286" i="5"/>
  <c r="L285" i="5"/>
  <c r="L284" i="5"/>
  <c r="L283" i="5"/>
  <c r="L282" i="5"/>
  <c r="L281" i="5"/>
  <c r="L280" i="5"/>
  <c r="L279" i="5"/>
  <c r="L278" i="5"/>
  <c r="L277" i="5"/>
  <c r="L276" i="5"/>
  <c r="L275" i="5"/>
  <c r="L274" i="5"/>
  <c r="L273" i="5"/>
  <c r="L272" i="5"/>
  <c r="L271" i="5"/>
  <c r="L270" i="5"/>
  <c r="L269" i="5"/>
  <c r="L268" i="5"/>
  <c r="L267" i="5"/>
  <c r="L266" i="5"/>
  <c r="L265" i="5"/>
  <c r="L264" i="5"/>
  <c r="L263" i="5"/>
  <c r="L262" i="5"/>
  <c r="L261" i="5"/>
  <c r="L260" i="5"/>
  <c r="L259" i="5"/>
  <c r="L258" i="5"/>
  <c r="L257" i="5"/>
  <c r="L256" i="5"/>
  <c r="L255" i="5"/>
  <c r="L254" i="5"/>
  <c r="L253" i="5"/>
  <c r="L252" i="5"/>
  <c r="L251" i="5"/>
  <c r="L250" i="5"/>
  <c r="L249" i="5"/>
  <c r="L248" i="5"/>
  <c r="L247" i="5"/>
  <c r="L246" i="5"/>
  <c r="L245" i="5"/>
  <c r="L244" i="5"/>
  <c r="L243" i="5"/>
  <c r="L242" i="5"/>
  <c r="L241" i="5"/>
  <c r="L240" i="5"/>
  <c r="L239" i="5"/>
  <c r="L238" i="5"/>
  <c r="L237" i="5"/>
  <c r="L236" i="5"/>
  <c r="L235" i="5"/>
  <c r="L234" i="5"/>
  <c r="L233" i="5"/>
  <c r="L232" i="5"/>
  <c r="L231" i="5"/>
  <c r="L230" i="5"/>
  <c r="L229" i="5"/>
  <c r="L228" i="5"/>
  <c r="L227" i="5"/>
  <c r="L226" i="5"/>
  <c r="L225" i="5"/>
  <c r="L224" i="5"/>
  <c r="L223" i="5"/>
  <c r="L222" i="5"/>
  <c r="L221" i="5"/>
  <c r="L220" i="5"/>
  <c r="L219" i="5"/>
  <c r="L218" i="5"/>
  <c r="L217" i="5"/>
  <c r="L216" i="5"/>
  <c r="L215" i="5"/>
  <c r="L214" i="5"/>
  <c r="L213" i="5"/>
  <c r="L212" i="5"/>
  <c r="L211" i="5"/>
  <c r="L210" i="5"/>
  <c r="L209" i="5"/>
  <c r="L208" i="5"/>
  <c r="L207" i="5"/>
  <c r="L206" i="5"/>
  <c r="L205" i="5"/>
  <c r="L204" i="5"/>
  <c r="L203" i="5"/>
  <c r="L202" i="5"/>
  <c r="L201" i="5"/>
  <c r="L200" i="5"/>
  <c r="L199" i="5"/>
  <c r="L198" i="5"/>
  <c r="L197" i="5"/>
  <c r="L196" i="5"/>
  <c r="L195" i="5"/>
  <c r="L194" i="5"/>
  <c r="L193" i="5"/>
  <c r="L192" i="5"/>
  <c r="L191" i="5"/>
  <c r="L190" i="5"/>
  <c r="L189" i="5"/>
  <c r="L188" i="5"/>
  <c r="L187" i="5"/>
  <c r="L186" i="5"/>
  <c r="L185" i="5"/>
  <c r="L184" i="5"/>
  <c r="L183" i="5"/>
  <c r="L182" i="5"/>
  <c r="L181" i="5"/>
  <c r="L180" i="5"/>
  <c r="L179" i="5"/>
  <c r="L178" i="5"/>
  <c r="L177" i="5"/>
  <c r="L176" i="5"/>
  <c r="L175" i="5"/>
  <c r="L174" i="5"/>
  <c r="L173" i="5"/>
  <c r="L172" i="5"/>
  <c r="L171" i="5"/>
  <c r="L170" i="5"/>
  <c r="L169" i="5"/>
  <c r="L168" i="5"/>
  <c r="L167" i="5"/>
  <c r="L166" i="5"/>
  <c r="L165" i="5"/>
  <c r="L164" i="5"/>
  <c r="L163" i="5"/>
  <c r="L162" i="5"/>
  <c r="L161" i="5"/>
  <c r="L160" i="5"/>
  <c r="L159" i="5"/>
  <c r="L158" i="5"/>
  <c r="L157" i="5"/>
  <c r="L156" i="5"/>
  <c r="L155" i="5"/>
  <c r="L154" i="5"/>
  <c r="L153" i="5"/>
  <c r="L152" i="5"/>
  <c r="L151" i="5"/>
  <c r="L150" i="5"/>
  <c r="L149" i="5"/>
  <c r="L148" i="5"/>
  <c r="L145" i="5"/>
  <c r="L144" i="5"/>
  <c r="L143" i="5"/>
  <c r="L142" i="5"/>
  <c r="L141" i="5"/>
  <c r="L140" i="5"/>
  <c r="L139" i="5"/>
  <c r="L138" i="5"/>
  <c r="L137" i="5"/>
  <c r="L133" i="5"/>
  <c r="L132" i="5"/>
  <c r="L131" i="5"/>
  <c r="L122" i="5"/>
  <c r="L121" i="5"/>
  <c r="L120" i="5"/>
  <c r="L119" i="5"/>
  <c r="L118" i="5"/>
  <c r="L117" i="5"/>
  <c r="L116" i="5"/>
  <c r="L115" i="5"/>
  <c r="L114" i="5"/>
  <c r="L113" i="5"/>
  <c r="L112" i="5"/>
  <c r="L111" i="5"/>
  <c r="L110" i="5"/>
  <c r="L107" i="5"/>
  <c r="L106" i="5"/>
  <c r="L105" i="5"/>
  <c r="L104" i="5"/>
  <c r="L101" i="5"/>
  <c r="L98" i="5"/>
  <c r="L94" i="5"/>
  <c r="L93" i="5"/>
  <c r="L92" i="5"/>
  <c r="L91" i="5"/>
  <c r="L88" i="5"/>
  <c r="L87" i="5"/>
  <c r="L86" i="5"/>
  <c r="L83" i="5"/>
  <c r="L82" i="5"/>
  <c r="L80" i="5"/>
  <c r="L78" i="5"/>
  <c r="L77" i="5"/>
  <c r="L76" i="5"/>
  <c r="L75" i="5"/>
  <c r="L74" i="5"/>
  <c r="L73" i="5"/>
  <c r="L72" i="5"/>
  <c r="L71" i="5"/>
  <c r="L70" i="5"/>
  <c r="L66" i="5"/>
  <c r="L65" i="5"/>
  <c r="L64" i="5"/>
  <c r="L63" i="5"/>
  <c r="L62" i="5"/>
  <c r="L61" i="5"/>
  <c r="L60" i="5"/>
  <c r="L59" i="5"/>
  <c r="L58" i="5"/>
  <c r="L54" i="5"/>
  <c r="L50" i="5"/>
  <c r="L49" i="5"/>
  <c r="L48" i="5"/>
  <c r="L47" i="5"/>
  <c r="L46" i="5"/>
  <c r="L45" i="5"/>
  <c r="L44" i="5"/>
  <c r="L43" i="5"/>
  <c r="L42" i="5"/>
  <c r="L41" i="5"/>
  <c r="L40" i="5"/>
  <c r="L39" i="5"/>
  <c r="L38" i="5"/>
  <c r="L37" i="5"/>
  <c r="L36" i="5"/>
  <c r="L35" i="5"/>
  <c r="L34" i="5"/>
  <c r="L33" i="5"/>
  <c r="L29" i="5"/>
  <c r="L28" i="5"/>
  <c r="L27" i="5"/>
  <c r="L26" i="5"/>
  <c r="L25" i="5"/>
  <c r="L24" i="5"/>
  <c r="L23" i="5"/>
  <c r="L22" i="5"/>
  <c r="L21" i="5"/>
  <c r="L20" i="5"/>
  <c r="L19" i="5"/>
  <c r="L18" i="5"/>
  <c r="L17" i="5"/>
  <c r="L13" i="5"/>
  <c r="L12" i="5"/>
  <c r="L11" i="5"/>
  <c r="L10" i="5"/>
  <c r="L9" i="5"/>
  <c r="L8" i="5"/>
  <c r="L7" i="5"/>
  <c r="J496" i="5"/>
  <c r="J495" i="5"/>
  <c r="J494" i="5"/>
  <c r="J493" i="5"/>
  <c r="J492" i="5"/>
  <c r="J491" i="5"/>
  <c r="J490" i="5"/>
  <c r="J489" i="5"/>
  <c r="J488" i="5"/>
  <c r="J487" i="5"/>
  <c r="J486" i="5"/>
  <c r="J485"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36" i="5"/>
  <c r="J335" i="5"/>
  <c r="J334" i="5"/>
  <c r="J333" i="5"/>
  <c r="J332" i="5"/>
  <c r="J331" i="5"/>
  <c r="J330" i="5"/>
  <c r="J329" i="5"/>
  <c r="J328" i="5"/>
  <c r="J327" i="5"/>
  <c r="J326" i="5"/>
  <c r="J325" i="5"/>
  <c r="J324" i="5"/>
  <c r="J323" i="5"/>
  <c r="J322" i="5"/>
  <c r="J321" i="5"/>
  <c r="J320" i="5"/>
  <c r="J319" i="5"/>
  <c r="J318" i="5"/>
  <c r="J317" i="5"/>
  <c r="J316" i="5"/>
  <c r="J315" i="5"/>
  <c r="J314" i="5"/>
  <c r="J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5" i="5"/>
  <c r="J244" i="5"/>
  <c r="J243" i="5"/>
  <c r="J242" i="5"/>
  <c r="J241"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J186" i="5"/>
  <c r="J185" i="5"/>
  <c r="J184" i="5"/>
  <c r="J183" i="5"/>
  <c r="J182" i="5"/>
  <c r="J181" i="5"/>
  <c r="J180" i="5"/>
  <c r="J179" i="5"/>
  <c r="J178" i="5"/>
  <c r="J177" i="5"/>
  <c r="J176" i="5"/>
  <c r="J175" i="5"/>
  <c r="J174" i="5"/>
  <c r="J173"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5" i="5"/>
  <c r="J144" i="5"/>
  <c r="J143" i="5"/>
  <c r="J142" i="5"/>
  <c r="J141" i="5"/>
  <c r="J140" i="5"/>
  <c r="J139" i="5"/>
  <c r="J138" i="5"/>
  <c r="J137" i="5"/>
  <c r="J133" i="5"/>
  <c r="J132" i="5"/>
  <c r="J131" i="5"/>
  <c r="J122" i="5"/>
  <c r="J121" i="5"/>
  <c r="J120" i="5"/>
  <c r="J119" i="5"/>
  <c r="J118" i="5"/>
  <c r="J117" i="5"/>
  <c r="J116" i="5"/>
  <c r="J115" i="5"/>
  <c r="J114" i="5"/>
  <c r="J113" i="5"/>
  <c r="J112" i="5"/>
  <c r="J111" i="5"/>
  <c r="J110" i="5"/>
  <c r="J107" i="5"/>
  <c r="J106" i="5"/>
  <c r="J105" i="5"/>
  <c r="J104" i="5"/>
  <c r="J101" i="5"/>
  <c r="J98" i="5"/>
  <c r="J94" i="5"/>
  <c r="J93" i="5"/>
  <c r="J92" i="5"/>
  <c r="J91" i="5"/>
  <c r="J88" i="5"/>
  <c r="J87" i="5"/>
  <c r="J86" i="5"/>
  <c r="J83" i="5"/>
  <c r="J82" i="5"/>
  <c r="J80" i="5"/>
  <c r="J78" i="5"/>
  <c r="J77" i="5"/>
  <c r="J76" i="5"/>
  <c r="J75" i="5"/>
  <c r="J74" i="5"/>
  <c r="J73" i="5"/>
  <c r="J72" i="5"/>
  <c r="J71" i="5"/>
  <c r="J70" i="5"/>
  <c r="J66" i="5"/>
  <c r="J65" i="5"/>
  <c r="J64" i="5"/>
  <c r="J63" i="5"/>
  <c r="J62" i="5"/>
  <c r="J61" i="5"/>
  <c r="J60" i="5"/>
  <c r="J59" i="5"/>
  <c r="J58" i="5"/>
  <c r="J54" i="5"/>
  <c r="J50" i="5"/>
  <c r="J49" i="5"/>
  <c r="J48" i="5"/>
  <c r="J47" i="5"/>
  <c r="J46" i="5"/>
  <c r="J45" i="5"/>
  <c r="J44" i="5"/>
  <c r="J43" i="5"/>
  <c r="J42" i="5"/>
  <c r="J41" i="5"/>
  <c r="J40" i="5"/>
  <c r="J39" i="5"/>
  <c r="J38" i="5"/>
  <c r="J37" i="5"/>
  <c r="J36" i="5"/>
  <c r="J35" i="5"/>
  <c r="J34" i="5"/>
  <c r="J33" i="5"/>
  <c r="J29" i="5"/>
  <c r="J28" i="5"/>
  <c r="J27" i="5"/>
  <c r="J26" i="5"/>
  <c r="J25" i="5"/>
  <c r="J24" i="5"/>
  <c r="J23" i="5"/>
  <c r="J22" i="5"/>
  <c r="J21" i="5"/>
  <c r="J20" i="5"/>
  <c r="J19" i="5"/>
  <c r="J18" i="5"/>
  <c r="J17" i="5"/>
  <c r="J13" i="5"/>
  <c r="J12" i="5"/>
  <c r="J11" i="5"/>
  <c r="J10" i="5"/>
  <c r="J9" i="5"/>
  <c r="J8" i="5"/>
  <c r="J7" i="5"/>
  <c r="R58" i="4"/>
  <c r="H58" i="4"/>
  <c r="S32" i="4"/>
  <c r="R32" i="4"/>
  <c r="H32" i="4"/>
  <c r="J15" i="3"/>
  <c r="G559" i="3"/>
  <c r="G554" i="3"/>
  <c r="G547" i="3"/>
  <c r="I10" i="2"/>
  <c r="H10" i="2"/>
  <c r="H42" i="6"/>
  <c r="H22" i="6"/>
  <c r="S56" i="4"/>
  <c r="R56" i="4"/>
  <c r="S54" i="4"/>
  <c r="R54" i="4"/>
  <c r="S52" i="4"/>
  <c r="R52" i="4"/>
  <c r="S51" i="4"/>
  <c r="R51" i="4"/>
  <c r="S50" i="4"/>
  <c r="R50" i="4"/>
  <c r="S48" i="4"/>
  <c r="R48" i="4"/>
  <c r="S47" i="4"/>
  <c r="R47" i="4"/>
  <c r="S46" i="4"/>
  <c r="R46" i="4"/>
  <c r="S44" i="4"/>
  <c r="R44" i="4"/>
  <c r="S42" i="4"/>
  <c r="R42" i="4"/>
  <c r="S40" i="4"/>
  <c r="R40" i="4"/>
  <c r="S38" i="4"/>
  <c r="R38" i="4"/>
  <c r="S36" i="4"/>
  <c r="R36" i="4"/>
  <c r="S35" i="4"/>
  <c r="R35" i="4"/>
  <c r="S34" i="4"/>
  <c r="R34" i="4"/>
  <c r="S33" i="4"/>
  <c r="R33" i="4"/>
  <c r="R8" i="4"/>
  <c r="S8" i="4"/>
  <c r="R9" i="4"/>
  <c r="S9" i="4"/>
  <c r="R10" i="4"/>
  <c r="S10" i="4"/>
  <c r="R11" i="4"/>
  <c r="S11" i="4"/>
  <c r="R12" i="4"/>
  <c r="S12" i="4"/>
  <c r="R14" i="4"/>
  <c r="S14" i="4"/>
  <c r="R16" i="4"/>
  <c r="S16" i="4"/>
  <c r="R18" i="4"/>
  <c r="S18" i="4"/>
  <c r="R19" i="4"/>
  <c r="S19" i="4"/>
  <c r="R20" i="4"/>
  <c r="S20" i="4"/>
  <c r="R22" i="4"/>
  <c r="S22" i="4"/>
  <c r="R23" i="4"/>
  <c r="S23" i="4"/>
  <c r="R24" i="4"/>
  <c r="S24" i="4"/>
  <c r="R26" i="4"/>
  <c r="S26" i="4"/>
  <c r="R28" i="4"/>
  <c r="S28" i="4"/>
  <c r="R30" i="4"/>
  <c r="S30" i="4"/>
  <c r="S7" i="4"/>
  <c r="R7" i="4"/>
  <c r="N380" i="7"/>
  <c r="K380" i="7"/>
  <c r="K542" i="7"/>
  <c r="O378" i="7"/>
  <c r="L378" i="7"/>
  <c r="K373" i="7"/>
  <c r="K374" i="7"/>
  <c r="K375" i="7"/>
  <c r="K376" i="7"/>
  <c r="R376" i="7"/>
  <c r="Q376" i="7"/>
  <c r="N376" i="7"/>
  <c r="R375" i="7"/>
  <c r="Q375" i="7"/>
  <c r="N375" i="7"/>
  <c r="R374" i="7"/>
  <c r="Q374" i="7"/>
  <c r="N374" i="7"/>
  <c r="R373" i="7"/>
  <c r="Q373" i="7"/>
  <c r="N373" i="7"/>
  <c r="D376" i="7"/>
  <c r="D375" i="7"/>
  <c r="D374" i="7"/>
  <c r="D373" i="7"/>
  <c r="B372" i="7"/>
  <c r="B373" i="7" s="1"/>
  <c r="B374" i="7" s="1"/>
  <c r="B375" i="7" s="1"/>
  <c r="B376" i="7" s="1"/>
  <c r="B377" i="7" s="1"/>
  <c r="B291" i="7"/>
  <c r="B193" i="7"/>
  <c r="B93" i="7"/>
  <c r="B94" i="7" s="1"/>
  <c r="B95" i="7" s="1"/>
  <c r="B96" i="7" s="1"/>
  <c r="B97" i="7" s="1"/>
  <c r="B98" i="7" s="1"/>
  <c r="B99" i="7" s="1"/>
  <c r="B100" i="7" s="1"/>
  <c r="B101" i="7" s="1"/>
  <c r="B102" i="7" s="1"/>
  <c r="H7" i="7"/>
  <c r="H363" i="7"/>
  <c r="H362" i="7"/>
  <c r="H361" i="7"/>
  <c r="H360" i="7"/>
  <c r="H359" i="7"/>
  <c r="H358" i="7"/>
  <c r="H356" i="7"/>
  <c r="H355" i="7"/>
  <c r="H354" i="7"/>
  <c r="H353" i="7"/>
  <c r="H352" i="7"/>
  <c r="H351" i="7"/>
  <c r="H350" i="7"/>
  <c r="H349" i="7"/>
  <c r="H348" i="7"/>
  <c r="H347" i="7"/>
  <c r="H345" i="7"/>
  <c r="H344" i="7"/>
  <c r="H343" i="7"/>
  <c r="H342" i="7"/>
  <c r="H340" i="7"/>
  <c r="H339" i="7"/>
  <c r="H338" i="7"/>
  <c r="H337" i="7"/>
  <c r="H336" i="7"/>
  <c r="H335" i="7"/>
  <c r="H334" i="7"/>
  <c r="H333" i="7"/>
  <c r="H332" i="7"/>
  <c r="H331" i="7"/>
  <c r="H330" i="7"/>
  <c r="H329" i="7"/>
  <c r="H328" i="7"/>
  <c r="H327" i="7"/>
  <c r="H326" i="7"/>
  <c r="H325" i="7"/>
  <c r="H324" i="7"/>
  <c r="H323" i="7"/>
  <c r="H322" i="7"/>
  <c r="H321" i="7"/>
  <c r="H320" i="7"/>
  <c r="H319" i="7"/>
  <c r="H318" i="7"/>
  <c r="H317" i="7"/>
  <c r="H316" i="7"/>
  <c r="H315" i="7"/>
  <c r="H314" i="7"/>
  <c r="H313" i="7"/>
  <c r="H312" i="7"/>
  <c r="H311" i="7"/>
  <c r="H310" i="7"/>
  <c r="H309" i="7"/>
  <c r="H308" i="7"/>
  <c r="H306" i="7"/>
  <c r="H305" i="7"/>
  <c r="H304" i="7"/>
  <c r="H303" i="7"/>
  <c r="H302" i="7"/>
  <c r="H301" i="7"/>
  <c r="H300" i="7"/>
  <c r="H299" i="7"/>
  <c r="H298" i="7"/>
  <c r="H297" i="7"/>
  <c r="H296" i="7"/>
  <c r="H295" i="7"/>
  <c r="H294" i="7"/>
  <c r="H293" i="7"/>
  <c r="H292" i="7"/>
  <c r="H291" i="7"/>
  <c r="H290" i="7"/>
  <c r="H281" i="7"/>
  <c r="H280" i="7"/>
  <c r="H279" i="7"/>
  <c r="H278" i="7"/>
  <c r="H277" i="7"/>
  <c r="H276" i="7"/>
  <c r="H275" i="7"/>
  <c r="H274" i="7"/>
  <c r="H273" i="7"/>
  <c r="H272" i="7"/>
  <c r="H271" i="7"/>
  <c r="H270" i="7"/>
  <c r="H269" i="7"/>
  <c r="H268" i="7"/>
  <c r="H266" i="7"/>
  <c r="H265" i="7"/>
  <c r="H264" i="7"/>
  <c r="H263" i="7"/>
  <c r="H262" i="7"/>
  <c r="H261" i="7"/>
  <c r="H260" i="7"/>
  <c r="H259" i="7"/>
  <c r="H258" i="7"/>
  <c r="H256" i="7"/>
  <c r="H255" i="7"/>
  <c r="H254" i="7"/>
  <c r="H253" i="7"/>
  <c r="H252" i="7"/>
  <c r="H251" i="7"/>
  <c r="H250" i="7"/>
  <c r="H249" i="7"/>
  <c r="H248" i="7"/>
  <c r="H247" i="7"/>
  <c r="H246" i="7"/>
  <c r="H245" i="7"/>
  <c r="H244" i="7"/>
  <c r="H243" i="7"/>
  <c r="H242" i="7"/>
  <c r="H241" i="7"/>
  <c r="H240" i="7"/>
  <c r="H239" i="7"/>
  <c r="H238" i="7"/>
  <c r="H237" i="7"/>
  <c r="H236" i="7"/>
  <c r="H235" i="7"/>
  <c r="H234" i="7"/>
  <c r="H233" i="7"/>
  <c r="H232" i="7"/>
  <c r="H231" i="7"/>
  <c r="H230" i="7"/>
  <c r="H229" i="7"/>
  <c r="H228" i="7"/>
  <c r="H227" i="7"/>
  <c r="H226" i="7"/>
  <c r="H225" i="7"/>
  <c r="H224" i="7"/>
  <c r="H223" i="7"/>
  <c r="H222" i="7"/>
  <c r="H221" i="7"/>
  <c r="H220" i="7"/>
  <c r="H219" i="7"/>
  <c r="H218" i="7"/>
  <c r="H217" i="7"/>
  <c r="H216" i="7"/>
  <c r="H215" i="7"/>
  <c r="H214" i="7"/>
  <c r="H212" i="7"/>
  <c r="H211" i="7"/>
  <c r="H210" i="7"/>
  <c r="H209" i="7"/>
  <c r="H208" i="7"/>
  <c r="H207" i="7"/>
  <c r="H206" i="7"/>
  <c r="H204" i="7"/>
  <c r="H203" i="7"/>
  <c r="H202" i="7"/>
  <c r="H201" i="7"/>
  <c r="H200" i="7"/>
  <c r="H199" i="7"/>
  <c r="H198" i="7"/>
  <c r="H197" i="7"/>
  <c r="H196" i="7"/>
  <c r="H195" i="7"/>
  <c r="H194" i="7"/>
  <c r="H193" i="7"/>
  <c r="H192" i="7"/>
  <c r="H183" i="7"/>
  <c r="H182" i="7"/>
  <c r="H181" i="7"/>
  <c r="H180" i="7"/>
  <c r="H179" i="7"/>
  <c r="H178" i="7"/>
  <c r="H177" i="7"/>
  <c r="H176" i="7"/>
  <c r="H175" i="7"/>
  <c r="H174" i="7"/>
  <c r="H173" i="7"/>
  <c r="H172" i="7"/>
  <c r="H171" i="7"/>
  <c r="H170" i="7"/>
  <c r="H168" i="7"/>
  <c r="H167" i="7"/>
  <c r="H166" i="7"/>
  <c r="H165" i="7"/>
  <c r="H164" i="7"/>
  <c r="H163" i="7"/>
  <c r="H162" i="7"/>
  <c r="H161" i="7"/>
  <c r="H160" i="7"/>
  <c r="H159" i="7"/>
  <c r="H157" i="7"/>
  <c r="H156" i="7"/>
  <c r="H155" i="7"/>
  <c r="H154" i="7"/>
  <c r="H153" i="7"/>
  <c r="H152" i="7"/>
  <c r="H151" i="7"/>
  <c r="H150" i="7"/>
  <c r="H149" i="7"/>
  <c r="H148" i="7"/>
  <c r="H147" i="7"/>
  <c r="H146" i="7"/>
  <c r="H145" i="7"/>
  <c r="H144" i="7"/>
  <c r="H143" i="7"/>
  <c r="H142" i="7"/>
  <c r="H141" i="7"/>
  <c r="H140" i="7"/>
  <c r="H139" i="7"/>
  <c r="H138" i="7"/>
  <c r="H137" i="7"/>
  <c r="H136" i="7"/>
  <c r="H135" i="7"/>
  <c r="H134" i="7"/>
  <c r="H133" i="7"/>
  <c r="H132" i="7"/>
  <c r="H131" i="7"/>
  <c r="H130" i="7"/>
  <c r="H129" i="7"/>
  <c r="H128" i="7"/>
  <c r="H127" i="7"/>
  <c r="H126" i="7"/>
  <c r="H125" i="7"/>
  <c r="H124" i="7"/>
  <c r="H123" i="7"/>
  <c r="H122" i="7"/>
  <c r="H121" i="7"/>
  <c r="H120" i="7"/>
  <c r="H119" i="7"/>
  <c r="H118" i="7"/>
  <c r="H117" i="7"/>
  <c r="H116" i="7"/>
  <c r="H115" i="7"/>
  <c r="H114" i="7"/>
  <c r="H112" i="7"/>
  <c r="H111" i="7"/>
  <c r="H110" i="7"/>
  <c r="H109" i="7"/>
  <c r="H108" i="7"/>
  <c r="H107" i="7"/>
  <c r="H106" i="7"/>
  <c r="H104" i="7"/>
  <c r="H103" i="7"/>
  <c r="H102" i="7"/>
  <c r="H101" i="7"/>
  <c r="H100" i="7"/>
  <c r="H99" i="7"/>
  <c r="H98" i="7"/>
  <c r="H97" i="7"/>
  <c r="H96" i="7"/>
  <c r="H95" i="7"/>
  <c r="H94" i="7"/>
  <c r="H93" i="7"/>
  <c r="H92" i="7"/>
  <c r="H84" i="7"/>
  <c r="H83" i="7"/>
  <c r="H82" i="7"/>
  <c r="H81" i="7"/>
  <c r="H80" i="7"/>
  <c r="H79" i="7"/>
  <c r="H78" i="7"/>
  <c r="H77" i="7"/>
  <c r="H76" i="7"/>
  <c r="H75" i="7"/>
  <c r="H74" i="7"/>
  <c r="H73" i="7"/>
  <c r="H72" i="7"/>
  <c r="H71"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8" i="7"/>
  <c r="J8" i="7"/>
  <c r="K8" i="7" s="1"/>
  <c r="Q8" i="7" s="1"/>
  <c r="M8" i="7"/>
  <c r="N8" i="7" s="1"/>
  <c r="R8" i="7" s="1"/>
  <c r="H9" i="7"/>
  <c r="H10" i="7"/>
  <c r="J10" i="7"/>
  <c r="K10" i="7" s="1"/>
  <c r="Q10" i="7" s="1"/>
  <c r="M10" i="7"/>
  <c r="N10" i="7" s="1"/>
  <c r="R10" i="7" s="1"/>
  <c r="H11" i="7"/>
  <c r="J11" i="7"/>
  <c r="K11" i="7" s="1"/>
  <c r="Q11" i="7" s="1"/>
  <c r="M11" i="7"/>
  <c r="N11" i="7" s="1"/>
  <c r="R11" i="7" s="1"/>
  <c r="H12" i="7"/>
  <c r="J12" i="7"/>
  <c r="K12" i="7"/>
  <c r="M12" i="7"/>
  <c r="N12" i="7"/>
  <c r="H37" i="7"/>
  <c r="H36" i="7"/>
  <c r="H35" i="7"/>
  <c r="H34" i="7"/>
  <c r="H33" i="7"/>
  <c r="H32" i="7"/>
  <c r="H31" i="7"/>
  <c r="H30" i="7"/>
  <c r="H29" i="7"/>
  <c r="H27" i="7"/>
  <c r="H26" i="7"/>
  <c r="H25" i="7"/>
  <c r="H24" i="7"/>
  <c r="H23" i="7"/>
  <c r="H22" i="7"/>
  <c r="H20" i="7"/>
  <c r="H19" i="7"/>
  <c r="H18" i="7"/>
  <c r="H17" i="7"/>
  <c r="H16" i="7"/>
  <c r="H15" i="7"/>
  <c r="H14" i="7"/>
  <c r="H13" i="7"/>
  <c r="R12" i="7"/>
  <c r="Q12" i="7"/>
  <c r="B9" i="7"/>
  <c r="B10" i="7" s="1"/>
  <c r="B11" i="7" s="1"/>
  <c r="B12" i="7" s="1"/>
  <c r="B13" i="7" s="1"/>
  <c r="B14" i="7" s="1"/>
  <c r="K383" i="7"/>
  <c r="N383" i="7"/>
  <c r="K384" i="7"/>
  <c r="N384" i="7"/>
  <c r="K385" i="7"/>
  <c r="N385" i="7"/>
  <c r="K386" i="7"/>
  <c r="N386" i="7"/>
  <c r="K387" i="7"/>
  <c r="N387" i="7"/>
  <c r="K388" i="7"/>
  <c r="N388" i="7"/>
  <c r="K389" i="7"/>
  <c r="N389" i="7"/>
  <c r="K390" i="7"/>
  <c r="N390" i="7"/>
  <c r="K391" i="7"/>
  <c r="N391" i="7"/>
  <c r="K392" i="7"/>
  <c r="N392" i="7"/>
  <c r="K393" i="7"/>
  <c r="N393" i="7"/>
  <c r="K394" i="7"/>
  <c r="N394" i="7"/>
  <c r="K395" i="7"/>
  <c r="N395" i="7"/>
  <c r="K396" i="7"/>
  <c r="N396" i="7"/>
  <c r="K397" i="7"/>
  <c r="N397" i="7"/>
  <c r="K398" i="7"/>
  <c r="N398" i="7"/>
  <c r="K399" i="7"/>
  <c r="N399" i="7"/>
  <c r="K400" i="7"/>
  <c r="N400" i="7"/>
  <c r="K401" i="7"/>
  <c r="N401" i="7"/>
  <c r="K402" i="7"/>
  <c r="N402" i="7"/>
  <c r="K403" i="7"/>
  <c r="N403" i="7"/>
  <c r="K404" i="7"/>
  <c r="N404" i="7"/>
  <c r="K405" i="7"/>
  <c r="N405" i="7"/>
  <c r="K406" i="7"/>
  <c r="N406" i="7"/>
  <c r="K407" i="7"/>
  <c r="N407" i="7"/>
  <c r="K408" i="7"/>
  <c r="N408" i="7"/>
  <c r="K409" i="7"/>
  <c r="N409" i="7"/>
  <c r="K410" i="7"/>
  <c r="N410" i="7"/>
  <c r="K411" i="7"/>
  <c r="N411" i="7"/>
  <c r="K412" i="7"/>
  <c r="N412" i="7"/>
  <c r="K413" i="7"/>
  <c r="N413" i="7"/>
  <c r="K414" i="7"/>
  <c r="N414" i="7"/>
  <c r="K415" i="7"/>
  <c r="N415" i="7"/>
  <c r="K416" i="7"/>
  <c r="N416" i="7"/>
  <c r="K417" i="7"/>
  <c r="N417" i="7"/>
  <c r="K418" i="7"/>
  <c r="N418" i="7"/>
  <c r="K419" i="7"/>
  <c r="N419" i="7"/>
  <c r="K420" i="7"/>
  <c r="N420" i="7"/>
  <c r="K421" i="7"/>
  <c r="N421" i="7"/>
  <c r="K422" i="7"/>
  <c r="N422" i="7"/>
  <c r="K423" i="7"/>
  <c r="N423" i="7"/>
  <c r="K424" i="7"/>
  <c r="N424" i="7"/>
  <c r="K425" i="7"/>
  <c r="N425" i="7"/>
  <c r="K426" i="7"/>
  <c r="N426" i="7"/>
  <c r="K427" i="7"/>
  <c r="N427" i="7"/>
  <c r="K428" i="7"/>
  <c r="N428" i="7"/>
  <c r="K429" i="7"/>
  <c r="N429" i="7"/>
  <c r="K430" i="7"/>
  <c r="N430" i="7"/>
  <c r="K431" i="7"/>
  <c r="N431" i="7"/>
  <c r="K432" i="7"/>
  <c r="N432" i="7"/>
  <c r="K433" i="7"/>
  <c r="N433" i="7"/>
  <c r="K434" i="7"/>
  <c r="N434" i="7"/>
  <c r="K435" i="7"/>
  <c r="N435" i="7"/>
  <c r="K436" i="7"/>
  <c r="N436" i="7"/>
  <c r="K437" i="7"/>
  <c r="N437" i="7"/>
  <c r="K438" i="7"/>
  <c r="N438" i="7"/>
  <c r="K439" i="7"/>
  <c r="N439" i="7"/>
  <c r="K440" i="7"/>
  <c r="N440" i="7"/>
  <c r="K441" i="7"/>
  <c r="N441" i="7"/>
  <c r="K442" i="7"/>
  <c r="N442" i="7"/>
  <c r="K443" i="7"/>
  <c r="N443" i="7"/>
  <c r="K444" i="7"/>
  <c r="N444" i="7"/>
  <c r="K445" i="7"/>
  <c r="N445" i="7"/>
  <c r="K446" i="7"/>
  <c r="N446" i="7"/>
  <c r="K447" i="7"/>
  <c r="N447" i="7"/>
  <c r="K448" i="7"/>
  <c r="N448" i="7"/>
  <c r="K449" i="7"/>
  <c r="N449" i="7"/>
  <c r="K450" i="7"/>
  <c r="N450" i="7"/>
  <c r="K451" i="7"/>
  <c r="N451" i="7"/>
  <c r="K452" i="7"/>
  <c r="N452" i="7"/>
  <c r="K453" i="7"/>
  <c r="N453" i="7"/>
  <c r="K454" i="7"/>
  <c r="N454" i="7"/>
  <c r="K455" i="7"/>
  <c r="N455" i="7"/>
  <c r="K456" i="7"/>
  <c r="N456" i="7"/>
  <c r="K457" i="7"/>
  <c r="N457" i="7"/>
  <c r="K458" i="7"/>
  <c r="N458" i="7"/>
  <c r="K459" i="7"/>
  <c r="N459" i="7"/>
  <c r="K460" i="7"/>
  <c r="N460" i="7"/>
  <c r="K461" i="7"/>
  <c r="N461" i="7"/>
  <c r="K462" i="7"/>
  <c r="N462" i="7"/>
  <c r="K463" i="7"/>
  <c r="N463" i="7"/>
  <c r="K464" i="7"/>
  <c r="N464" i="7"/>
  <c r="K465" i="7"/>
  <c r="N465" i="7"/>
  <c r="K466" i="7"/>
  <c r="N466" i="7"/>
  <c r="K467" i="7"/>
  <c r="N467" i="7"/>
  <c r="K468" i="7"/>
  <c r="N468" i="7"/>
  <c r="K469" i="7"/>
  <c r="N469" i="7"/>
  <c r="K470" i="7"/>
  <c r="N470" i="7"/>
  <c r="K471" i="7"/>
  <c r="N471" i="7"/>
  <c r="K472" i="7"/>
  <c r="N472" i="7"/>
  <c r="K473" i="7"/>
  <c r="N473" i="7"/>
  <c r="K474" i="7"/>
  <c r="N474" i="7"/>
  <c r="K475" i="7"/>
  <c r="N475" i="7"/>
  <c r="K476" i="7"/>
  <c r="N476" i="7"/>
  <c r="K477" i="7"/>
  <c r="N477" i="7"/>
  <c r="K478" i="7"/>
  <c r="N478" i="7"/>
  <c r="K479" i="7"/>
  <c r="N479" i="7"/>
  <c r="K480" i="7"/>
  <c r="N480" i="7"/>
  <c r="K481" i="7"/>
  <c r="N481" i="7"/>
  <c r="K482" i="7"/>
  <c r="N482" i="7"/>
  <c r="K483" i="7"/>
  <c r="N483" i="7"/>
  <c r="K484" i="7"/>
  <c r="N484" i="7"/>
  <c r="K485" i="7"/>
  <c r="N485" i="7"/>
  <c r="K486" i="7"/>
  <c r="N486" i="7"/>
  <c r="K487" i="7"/>
  <c r="N487" i="7"/>
  <c r="K488" i="7"/>
  <c r="N488" i="7"/>
  <c r="K489" i="7"/>
  <c r="N489" i="7"/>
  <c r="K490" i="7"/>
  <c r="N490" i="7"/>
  <c r="K491" i="7"/>
  <c r="N491" i="7"/>
  <c r="K492" i="7"/>
  <c r="N492" i="7"/>
  <c r="K493" i="7"/>
  <c r="N493" i="7"/>
  <c r="K494" i="7"/>
  <c r="N494" i="7"/>
  <c r="K495" i="7"/>
  <c r="N495" i="7"/>
  <c r="K496" i="7"/>
  <c r="N496" i="7"/>
  <c r="K497" i="7"/>
  <c r="N497" i="7"/>
  <c r="K498" i="7"/>
  <c r="N498" i="7"/>
  <c r="K499" i="7"/>
  <c r="N499" i="7"/>
  <c r="K500" i="7"/>
  <c r="N500" i="7"/>
  <c r="K501" i="7"/>
  <c r="N501" i="7"/>
  <c r="K503" i="7"/>
  <c r="N503" i="7"/>
  <c r="K504" i="7"/>
  <c r="N504" i="7"/>
  <c r="K505" i="7"/>
  <c r="N505" i="7"/>
  <c r="K506" i="7"/>
  <c r="N506" i="7"/>
  <c r="K507" i="7"/>
  <c r="N507" i="7"/>
  <c r="K508" i="7"/>
  <c r="N508" i="7"/>
  <c r="K509" i="7"/>
  <c r="N509" i="7"/>
  <c r="K510" i="7"/>
  <c r="N510" i="7"/>
  <c r="K511" i="7"/>
  <c r="N511" i="7"/>
  <c r="K512" i="7"/>
  <c r="N512" i="7"/>
  <c r="K513" i="7"/>
  <c r="N513" i="7"/>
  <c r="K514" i="7"/>
  <c r="N514" i="7"/>
  <c r="K515" i="7"/>
  <c r="N515" i="7"/>
  <c r="K516" i="7"/>
  <c r="N516" i="7"/>
  <c r="K521" i="7"/>
  <c r="N521" i="7"/>
  <c r="K525" i="7"/>
  <c r="N525" i="7"/>
  <c r="K526" i="7"/>
  <c r="N526" i="7"/>
  <c r="K527" i="7"/>
  <c r="N527" i="7"/>
  <c r="K528" i="7"/>
  <c r="N528" i="7"/>
  <c r="K529" i="7"/>
  <c r="N529" i="7"/>
  <c r="K532" i="7"/>
  <c r="N532" i="7"/>
  <c r="K533" i="7"/>
  <c r="N533" i="7"/>
  <c r="K534" i="7"/>
  <c r="N534" i="7"/>
  <c r="K535" i="7"/>
  <c r="N535" i="7"/>
  <c r="K536" i="7"/>
  <c r="N536" i="7"/>
  <c r="K537" i="7"/>
  <c r="N537" i="7"/>
  <c r="K538" i="7"/>
  <c r="N538" i="7"/>
  <c r="K539" i="7"/>
  <c r="N539" i="7"/>
  <c r="K540" i="7"/>
  <c r="N540" i="7"/>
  <c r="K541" i="7"/>
  <c r="N541" i="7"/>
  <c r="Z116" i="5"/>
  <c r="Y116" i="5"/>
  <c r="Z92" i="5"/>
  <c r="Y92" i="5"/>
  <c r="Z73" i="5"/>
  <c r="Y73" i="5"/>
  <c r="Z47" i="5"/>
  <c r="Y47" i="5"/>
  <c r="Z25" i="5"/>
  <c r="Y25" i="5"/>
  <c r="Z17" i="5"/>
  <c r="Y17" i="5"/>
  <c r="Z10" i="5"/>
  <c r="Y10" i="5"/>
  <c r="Z9" i="5"/>
  <c r="Y9" i="5"/>
  <c r="Z8" i="5"/>
  <c r="Y8" i="5"/>
  <c r="Z399" i="5"/>
  <c r="Z397" i="5"/>
  <c r="Z390" i="5"/>
  <c r="Z389" i="5"/>
  <c r="Z288" i="5"/>
  <c r="Z287" i="5"/>
  <c r="Z231" i="5"/>
  <c r="Z228" i="5"/>
  <c r="Z225" i="5"/>
  <c r="Z218" i="5"/>
  <c r="Z217" i="5"/>
  <c r="Z212" i="5"/>
  <c r="Z201" i="5"/>
  <c r="Z200" i="5"/>
  <c r="Z189" i="5"/>
  <c r="Z184" i="5"/>
  <c r="Z182" i="5"/>
  <c r="Z181" i="5"/>
  <c r="Z173" i="5"/>
  <c r="Z169" i="5"/>
  <c r="Z168" i="5"/>
  <c r="Z167" i="5"/>
  <c r="Z166" i="5"/>
  <c r="Z165" i="5"/>
  <c r="Z155" i="5"/>
  <c r="Z154" i="5"/>
  <c r="Z148" i="5"/>
  <c r="Z144" i="5"/>
  <c r="Z143" i="5"/>
  <c r="Z7" i="5"/>
  <c r="Y399" i="5"/>
  <c r="Y397" i="5"/>
  <c r="Y390" i="5"/>
  <c r="Y389" i="5"/>
  <c r="Y288" i="5"/>
  <c r="Y287" i="5"/>
  <c r="Y231" i="5"/>
  <c r="Y228" i="5"/>
  <c r="Y225" i="5"/>
  <c r="Y218" i="5"/>
  <c r="Y217" i="5"/>
  <c r="Y212" i="5"/>
  <c r="Y201" i="5"/>
  <c r="Y200" i="5"/>
  <c r="Y189" i="5"/>
  <c r="Y184" i="5"/>
  <c r="Y182" i="5"/>
  <c r="Y181" i="5"/>
  <c r="Y173" i="5"/>
  <c r="Y169" i="5"/>
  <c r="Y168" i="5"/>
  <c r="Y167" i="5"/>
  <c r="Y166" i="5"/>
  <c r="Y165" i="5"/>
  <c r="Y155" i="5"/>
  <c r="Y154" i="5"/>
  <c r="Y148" i="5"/>
  <c r="Y144" i="5"/>
  <c r="Y143" i="5"/>
  <c r="Y7" i="5"/>
  <c r="K157" i="6"/>
  <c r="Q157" i="6" s="1"/>
  <c r="N157" i="6"/>
  <c r="R157" i="6" s="1"/>
  <c r="K158" i="6"/>
  <c r="Q158" i="6" s="1"/>
  <c r="N158" i="6"/>
  <c r="R158" i="6" s="1"/>
  <c r="K159" i="6"/>
  <c r="Q159" i="6" s="1"/>
  <c r="N159" i="6"/>
  <c r="R159" i="6" s="1"/>
  <c r="K160" i="6"/>
  <c r="Q160" i="6" s="1"/>
  <c r="N160" i="6"/>
  <c r="R160" i="6" s="1"/>
  <c r="K161" i="6"/>
  <c r="Q161" i="6" s="1"/>
  <c r="N161" i="6"/>
  <c r="R161" i="6" s="1"/>
  <c r="K162" i="6"/>
  <c r="Q162" i="6" s="1"/>
  <c r="N162" i="6"/>
  <c r="R162" i="6" s="1"/>
  <c r="K163" i="6"/>
  <c r="Q163" i="6" s="1"/>
  <c r="N163" i="6"/>
  <c r="R163" i="6" s="1"/>
  <c r="K164" i="6"/>
  <c r="Q164" i="6" s="1"/>
  <c r="N164" i="6"/>
  <c r="R164" i="6" s="1"/>
  <c r="K165" i="6"/>
  <c r="Q165" i="6" s="1"/>
  <c r="N165" i="6"/>
  <c r="R165" i="6" s="1"/>
  <c r="K166" i="6"/>
  <c r="Q166" i="6" s="1"/>
  <c r="N166" i="6"/>
  <c r="R166" i="6" s="1"/>
  <c r="K167" i="6"/>
  <c r="Q167" i="6" s="1"/>
  <c r="N167" i="6"/>
  <c r="R167" i="6" s="1"/>
  <c r="K168" i="6"/>
  <c r="Q168" i="6" s="1"/>
  <c r="N168" i="6"/>
  <c r="R168" i="6" s="1"/>
  <c r="K169" i="6"/>
  <c r="Q169" i="6" s="1"/>
  <c r="N169" i="6"/>
  <c r="R169" i="6" s="1"/>
  <c r="K170" i="6"/>
  <c r="Q170" i="6" s="1"/>
  <c r="N170" i="6"/>
  <c r="R170" i="6" s="1"/>
  <c r="K171" i="6"/>
  <c r="Q171" i="6" s="1"/>
  <c r="N171" i="6"/>
  <c r="R171" i="6" s="1"/>
  <c r="K172" i="6"/>
  <c r="Q172" i="6" s="1"/>
  <c r="N172" i="6"/>
  <c r="R172" i="6" s="1"/>
  <c r="K173" i="6"/>
  <c r="Q173" i="6" s="1"/>
  <c r="N173" i="6"/>
  <c r="R173" i="6" s="1"/>
  <c r="K174" i="6"/>
  <c r="Q174" i="6" s="1"/>
  <c r="N174" i="6"/>
  <c r="R174" i="6" s="1"/>
  <c r="K175" i="6"/>
  <c r="Q175" i="6" s="1"/>
  <c r="N175" i="6"/>
  <c r="R175" i="6" s="1"/>
  <c r="K176" i="6"/>
  <c r="Q176" i="6" s="1"/>
  <c r="N176" i="6"/>
  <c r="R176" i="6" s="1"/>
  <c r="K177" i="6"/>
  <c r="Q177" i="6" s="1"/>
  <c r="N177" i="6"/>
  <c r="R177" i="6" s="1"/>
  <c r="K178" i="6"/>
  <c r="Q178" i="6" s="1"/>
  <c r="N178" i="6"/>
  <c r="R178" i="6" s="1"/>
  <c r="K179" i="6"/>
  <c r="Q179" i="6" s="1"/>
  <c r="N179" i="6"/>
  <c r="R179" i="6" s="1"/>
  <c r="K180" i="6"/>
  <c r="Q180" i="6" s="1"/>
  <c r="N180" i="6"/>
  <c r="R180" i="6" s="1"/>
  <c r="K182" i="6"/>
  <c r="Q182" i="6" s="1"/>
  <c r="N182" i="6"/>
  <c r="R182" i="6" s="1"/>
  <c r="K183" i="6"/>
  <c r="Q183" i="6" s="1"/>
  <c r="N183" i="6"/>
  <c r="R183" i="6" s="1"/>
  <c r="K184" i="6"/>
  <c r="Q184" i="6" s="1"/>
  <c r="N184" i="6"/>
  <c r="R184" i="6" s="1"/>
  <c r="K185" i="6"/>
  <c r="Q185" i="6" s="1"/>
  <c r="N185" i="6"/>
  <c r="R185" i="6" s="1"/>
  <c r="K186" i="6"/>
  <c r="Q186" i="6" s="1"/>
  <c r="N186" i="6"/>
  <c r="R186" i="6" s="1"/>
  <c r="K190" i="6"/>
  <c r="Q190" i="6" s="1"/>
  <c r="N190" i="6"/>
  <c r="R190" i="6" s="1"/>
  <c r="K192" i="6"/>
  <c r="Q192" i="6" s="1"/>
  <c r="N192" i="6"/>
  <c r="R192" i="6" s="1"/>
  <c r="K193" i="6"/>
  <c r="Q193" i="6" s="1"/>
  <c r="N193" i="6"/>
  <c r="R193" i="6" s="1"/>
  <c r="K194" i="6"/>
  <c r="Q194" i="6" s="1"/>
  <c r="N194" i="6"/>
  <c r="R194" i="6" s="1"/>
  <c r="K196" i="6"/>
  <c r="Q196" i="6" s="1"/>
  <c r="N196" i="6"/>
  <c r="R196" i="6" s="1"/>
  <c r="K197" i="6"/>
  <c r="Q197" i="6" s="1"/>
  <c r="N197" i="6"/>
  <c r="R197" i="6" s="1"/>
  <c r="K199" i="6"/>
  <c r="Q199" i="6" s="1"/>
  <c r="N199" i="6"/>
  <c r="R199" i="6" s="1"/>
  <c r="K201" i="6"/>
  <c r="Q201" i="6" s="1"/>
  <c r="N201" i="6"/>
  <c r="R201" i="6" s="1"/>
  <c r="K202" i="6"/>
  <c r="Q202" i="6" s="1"/>
  <c r="N202" i="6"/>
  <c r="R202" i="6" s="1"/>
  <c r="K203" i="6"/>
  <c r="Q203" i="6" s="1"/>
  <c r="N203" i="6"/>
  <c r="R203" i="6" s="1"/>
  <c r="K205" i="6"/>
  <c r="Q205" i="6" s="1"/>
  <c r="N205" i="6"/>
  <c r="R205" i="6" s="1"/>
  <c r="K206" i="6"/>
  <c r="Q206" i="6" s="1"/>
  <c r="N206" i="6"/>
  <c r="R206" i="6" s="1"/>
  <c r="K207" i="6"/>
  <c r="Q207" i="6" s="1"/>
  <c r="N207" i="6"/>
  <c r="R207" i="6" s="1"/>
  <c r="K208" i="6"/>
  <c r="Q208" i="6" s="1"/>
  <c r="N208" i="6"/>
  <c r="R208" i="6" s="1"/>
  <c r="K209" i="6"/>
  <c r="Q209" i="6" s="1"/>
  <c r="N209" i="6"/>
  <c r="R209" i="6" s="1"/>
  <c r="K210" i="6"/>
  <c r="Q210" i="6" s="1"/>
  <c r="N210" i="6"/>
  <c r="R210" i="6" s="1"/>
  <c r="K211" i="6"/>
  <c r="Q211" i="6" s="1"/>
  <c r="N211" i="6"/>
  <c r="R211" i="6" s="1"/>
  <c r="K212" i="6"/>
  <c r="Q212" i="6" s="1"/>
  <c r="N212" i="6"/>
  <c r="R212" i="6" s="1"/>
  <c r="K213" i="6"/>
  <c r="Q213" i="6" s="1"/>
  <c r="N213" i="6"/>
  <c r="R213" i="6" s="1"/>
  <c r="K214" i="6"/>
  <c r="Q214" i="6" s="1"/>
  <c r="N214" i="6"/>
  <c r="R214" i="6" s="1"/>
  <c r="K215" i="6"/>
  <c r="Q215" i="6" s="1"/>
  <c r="N215" i="6"/>
  <c r="R215" i="6" s="1"/>
  <c r="K216" i="6"/>
  <c r="Q216" i="6" s="1"/>
  <c r="N216" i="6"/>
  <c r="R216" i="6" s="1"/>
  <c r="K217" i="6"/>
  <c r="Q217" i="6" s="1"/>
  <c r="N217" i="6"/>
  <c r="R217" i="6" s="1"/>
  <c r="K218" i="6"/>
  <c r="Q218" i="6" s="1"/>
  <c r="N218" i="6"/>
  <c r="R218" i="6" s="1"/>
  <c r="K219" i="6"/>
  <c r="Q219" i="6" s="1"/>
  <c r="N219" i="6"/>
  <c r="R219" i="6" s="1"/>
  <c r="K220" i="6"/>
  <c r="Q220" i="6" s="1"/>
  <c r="N220" i="6"/>
  <c r="R220" i="6" s="1"/>
  <c r="K221" i="6"/>
  <c r="Q221" i="6" s="1"/>
  <c r="N221" i="6"/>
  <c r="R221" i="6" s="1"/>
  <c r="K222" i="6"/>
  <c r="Q222" i="6" s="1"/>
  <c r="N222" i="6"/>
  <c r="R222" i="6" s="1"/>
  <c r="K223" i="6"/>
  <c r="Q223" i="6" s="1"/>
  <c r="N223" i="6"/>
  <c r="R223" i="6" s="1"/>
  <c r="K224" i="6"/>
  <c r="Q224" i="6" s="1"/>
  <c r="N224" i="6"/>
  <c r="R224" i="6" s="1"/>
  <c r="K225" i="6"/>
  <c r="Q225" i="6" s="1"/>
  <c r="N225" i="6"/>
  <c r="R225" i="6" s="1"/>
  <c r="K226" i="6"/>
  <c r="Q226" i="6" s="1"/>
  <c r="N226" i="6"/>
  <c r="R226" i="6" s="1"/>
  <c r="K227" i="6"/>
  <c r="Q227" i="6" s="1"/>
  <c r="N227" i="6"/>
  <c r="R227" i="6" s="1"/>
  <c r="K228" i="6"/>
  <c r="Q228" i="6" s="1"/>
  <c r="N228" i="6"/>
  <c r="R228" i="6" s="1"/>
  <c r="K229" i="6"/>
  <c r="Q229" i="6" s="1"/>
  <c r="N229" i="6"/>
  <c r="R229" i="6" s="1"/>
  <c r="K230" i="6"/>
  <c r="Q230" i="6" s="1"/>
  <c r="N230" i="6"/>
  <c r="R230" i="6" s="1"/>
  <c r="K231" i="6"/>
  <c r="Q231" i="6" s="1"/>
  <c r="N231" i="6"/>
  <c r="R231" i="6" s="1"/>
  <c r="K232" i="6"/>
  <c r="Q232" i="6" s="1"/>
  <c r="N232" i="6"/>
  <c r="R232" i="6" s="1"/>
  <c r="K233" i="6"/>
  <c r="Q233" i="6" s="1"/>
  <c r="N233" i="6"/>
  <c r="R233" i="6" s="1"/>
  <c r="K234" i="6"/>
  <c r="Q234" i="6" s="1"/>
  <c r="N234" i="6"/>
  <c r="R234" i="6" s="1"/>
  <c r="K76" i="6"/>
  <c r="Q76" i="6" s="1"/>
  <c r="N76" i="6"/>
  <c r="R76" i="6" s="1"/>
  <c r="K77" i="6"/>
  <c r="Q77" i="6" s="1"/>
  <c r="N77" i="6"/>
  <c r="R77" i="6" s="1"/>
  <c r="K78" i="6"/>
  <c r="Q78" i="6" s="1"/>
  <c r="N78" i="6"/>
  <c r="R78" i="6" s="1"/>
  <c r="K80" i="6"/>
  <c r="Q80" i="6" s="1"/>
  <c r="N80" i="6"/>
  <c r="R80" i="6" s="1"/>
  <c r="K81" i="6"/>
  <c r="Q81" i="6" s="1"/>
  <c r="N81" i="6"/>
  <c r="R81" i="6" s="1"/>
  <c r="K82" i="6"/>
  <c r="Q82" i="6" s="1"/>
  <c r="N82" i="6"/>
  <c r="R82" i="6" s="1"/>
  <c r="K83" i="6"/>
  <c r="Q83" i="6" s="1"/>
  <c r="N83" i="6"/>
  <c r="R83" i="6" s="1"/>
  <c r="K84" i="6"/>
  <c r="Q84" i="6" s="1"/>
  <c r="N84" i="6"/>
  <c r="R84" i="6" s="1"/>
  <c r="K85" i="6"/>
  <c r="Q85" i="6" s="1"/>
  <c r="N85" i="6"/>
  <c r="R85" i="6" s="1"/>
  <c r="K86" i="6"/>
  <c r="Q86" i="6" s="1"/>
  <c r="N86" i="6"/>
  <c r="R86" i="6" s="1"/>
  <c r="K87" i="6"/>
  <c r="Q87" i="6" s="1"/>
  <c r="N87" i="6"/>
  <c r="R87" i="6" s="1"/>
  <c r="K88" i="6"/>
  <c r="Q88" i="6" s="1"/>
  <c r="N88" i="6"/>
  <c r="R88" i="6" s="1"/>
  <c r="K90" i="6"/>
  <c r="Q90" i="6" s="1"/>
  <c r="N90" i="6"/>
  <c r="R90" i="6" s="1"/>
  <c r="K91" i="6"/>
  <c r="Q91" i="6" s="1"/>
  <c r="N91" i="6"/>
  <c r="R91" i="6" s="1"/>
  <c r="K92" i="6"/>
  <c r="Q92" i="6" s="1"/>
  <c r="N92" i="6"/>
  <c r="R92" i="6" s="1"/>
  <c r="K93" i="6"/>
  <c r="Q93" i="6" s="1"/>
  <c r="N93" i="6"/>
  <c r="R93" i="6" s="1"/>
  <c r="K94" i="6"/>
  <c r="Q94" i="6" s="1"/>
  <c r="N94" i="6"/>
  <c r="R94" i="6" s="1"/>
  <c r="K95" i="6"/>
  <c r="Q95" i="6" s="1"/>
  <c r="N95" i="6"/>
  <c r="R95" i="6" s="1"/>
  <c r="K96" i="6"/>
  <c r="Q96" i="6" s="1"/>
  <c r="N96" i="6"/>
  <c r="R96" i="6" s="1"/>
  <c r="K97" i="6"/>
  <c r="Q97" i="6" s="1"/>
  <c r="N97" i="6"/>
  <c r="R97" i="6" s="1"/>
  <c r="K98" i="6"/>
  <c r="Q98" i="6" s="1"/>
  <c r="N98" i="6"/>
  <c r="R98" i="6" s="1"/>
  <c r="K99" i="6"/>
  <c r="Q99" i="6" s="1"/>
  <c r="N99" i="6"/>
  <c r="R99" i="6" s="1"/>
  <c r="K100" i="6"/>
  <c r="Q100" i="6" s="1"/>
  <c r="N100" i="6"/>
  <c r="R100" i="6" s="1"/>
  <c r="K101" i="6"/>
  <c r="Q101" i="6" s="1"/>
  <c r="N101" i="6"/>
  <c r="R101" i="6" s="1"/>
  <c r="K102" i="6"/>
  <c r="Q102" i="6" s="1"/>
  <c r="N102" i="6"/>
  <c r="R102" i="6" s="1"/>
  <c r="K103" i="6"/>
  <c r="Q103" i="6" s="1"/>
  <c r="N103" i="6"/>
  <c r="R103" i="6" s="1"/>
  <c r="K104" i="6"/>
  <c r="Q104" i="6" s="1"/>
  <c r="N104" i="6"/>
  <c r="R104" i="6" s="1"/>
  <c r="K105" i="6"/>
  <c r="Q105" i="6" s="1"/>
  <c r="N105" i="6"/>
  <c r="R105" i="6" s="1"/>
  <c r="K106" i="6"/>
  <c r="Q106" i="6" s="1"/>
  <c r="N106" i="6"/>
  <c r="R106" i="6" s="1"/>
  <c r="K107" i="6"/>
  <c r="Q107" i="6" s="1"/>
  <c r="N107" i="6"/>
  <c r="R107" i="6" s="1"/>
  <c r="K108" i="6"/>
  <c r="Q108" i="6" s="1"/>
  <c r="N108" i="6"/>
  <c r="R108" i="6" s="1"/>
  <c r="K109" i="6"/>
  <c r="Q109" i="6" s="1"/>
  <c r="N109" i="6"/>
  <c r="R109" i="6" s="1"/>
  <c r="K110" i="6"/>
  <c r="Q110" i="6" s="1"/>
  <c r="N110" i="6"/>
  <c r="R110" i="6" s="1"/>
  <c r="K111" i="6"/>
  <c r="Q111" i="6" s="1"/>
  <c r="N111" i="6"/>
  <c r="R111" i="6" s="1"/>
  <c r="K112" i="6"/>
  <c r="Q112" i="6" s="1"/>
  <c r="N112" i="6"/>
  <c r="R112" i="6" s="1"/>
  <c r="K114" i="6"/>
  <c r="Q114" i="6" s="1"/>
  <c r="N114" i="6"/>
  <c r="R114" i="6" s="1"/>
  <c r="K115" i="6"/>
  <c r="Q115" i="6" s="1"/>
  <c r="N115" i="6"/>
  <c r="R115" i="6" s="1"/>
  <c r="K116" i="6"/>
  <c r="Q116" i="6" s="1"/>
  <c r="N116" i="6"/>
  <c r="R116" i="6" s="1"/>
  <c r="K117" i="6"/>
  <c r="Q117" i="6" s="1"/>
  <c r="N117" i="6"/>
  <c r="R117" i="6" s="1"/>
  <c r="K118" i="6"/>
  <c r="Q118" i="6" s="1"/>
  <c r="N118" i="6"/>
  <c r="R118" i="6" s="1"/>
  <c r="K119" i="6"/>
  <c r="Q119" i="6" s="1"/>
  <c r="N119" i="6"/>
  <c r="R119" i="6" s="1"/>
  <c r="K120" i="6"/>
  <c r="Q120" i="6" s="1"/>
  <c r="N120" i="6"/>
  <c r="R120" i="6" s="1"/>
  <c r="K121" i="6"/>
  <c r="Q121" i="6" s="1"/>
  <c r="N121" i="6"/>
  <c r="R121" i="6" s="1"/>
  <c r="K122" i="6"/>
  <c r="Q122" i="6" s="1"/>
  <c r="N122" i="6"/>
  <c r="R122" i="6" s="1"/>
  <c r="K123" i="6"/>
  <c r="Q123" i="6" s="1"/>
  <c r="N123" i="6"/>
  <c r="R123" i="6" s="1"/>
  <c r="K124" i="6"/>
  <c r="Q124" i="6" s="1"/>
  <c r="N124" i="6"/>
  <c r="R124" i="6" s="1"/>
  <c r="K125" i="6"/>
  <c r="Q125" i="6" s="1"/>
  <c r="N125" i="6"/>
  <c r="R125" i="6" s="1"/>
  <c r="K126" i="6"/>
  <c r="Q126" i="6" s="1"/>
  <c r="N126" i="6"/>
  <c r="R126" i="6" s="1"/>
  <c r="K127" i="6"/>
  <c r="Q127" i="6" s="1"/>
  <c r="N127" i="6"/>
  <c r="R127" i="6" s="1"/>
  <c r="K128" i="6"/>
  <c r="Q128" i="6" s="1"/>
  <c r="N128" i="6"/>
  <c r="R128" i="6" s="1"/>
  <c r="K129" i="6"/>
  <c r="Q129" i="6" s="1"/>
  <c r="N129" i="6"/>
  <c r="R129" i="6" s="1"/>
  <c r="K130" i="6"/>
  <c r="Q130" i="6" s="1"/>
  <c r="N130" i="6"/>
  <c r="R130" i="6" s="1"/>
  <c r="K131" i="6"/>
  <c r="Q131" i="6" s="1"/>
  <c r="N131" i="6"/>
  <c r="R131" i="6" s="1"/>
  <c r="K132" i="6"/>
  <c r="Q132" i="6" s="1"/>
  <c r="N132" i="6"/>
  <c r="R132" i="6" s="1"/>
  <c r="K133" i="6"/>
  <c r="Q133" i="6" s="1"/>
  <c r="N133" i="6"/>
  <c r="R133" i="6" s="1"/>
  <c r="K134" i="6"/>
  <c r="Q134" i="6" s="1"/>
  <c r="N134" i="6"/>
  <c r="R134" i="6" s="1"/>
  <c r="K135" i="6"/>
  <c r="Q135" i="6" s="1"/>
  <c r="N135" i="6"/>
  <c r="R135" i="6" s="1"/>
  <c r="K136" i="6"/>
  <c r="Q136" i="6" s="1"/>
  <c r="N136" i="6"/>
  <c r="R136" i="6" s="1"/>
  <c r="K137" i="6"/>
  <c r="Q137" i="6" s="1"/>
  <c r="N137" i="6"/>
  <c r="R137" i="6" s="1"/>
  <c r="K138" i="6"/>
  <c r="Q138" i="6" s="1"/>
  <c r="N138" i="6"/>
  <c r="R138" i="6" s="1"/>
  <c r="K139" i="6"/>
  <c r="Q139" i="6" s="1"/>
  <c r="N139" i="6"/>
  <c r="R139" i="6" s="1"/>
  <c r="K140" i="6"/>
  <c r="Q140" i="6" s="1"/>
  <c r="N140" i="6"/>
  <c r="R140" i="6" s="1"/>
  <c r="K141" i="6"/>
  <c r="Q141" i="6" s="1"/>
  <c r="N141" i="6"/>
  <c r="R141" i="6" s="1"/>
  <c r="K142" i="6"/>
  <c r="Q142" i="6" s="1"/>
  <c r="N142" i="6"/>
  <c r="R142" i="6" s="1"/>
  <c r="K143" i="6"/>
  <c r="Q143" i="6" s="1"/>
  <c r="N143" i="6"/>
  <c r="R143" i="6" s="1"/>
  <c r="K144" i="6"/>
  <c r="Q144" i="6" s="1"/>
  <c r="N144" i="6"/>
  <c r="R144" i="6" s="1"/>
  <c r="K145" i="6"/>
  <c r="Q145" i="6" s="1"/>
  <c r="N145" i="6"/>
  <c r="R145" i="6" s="1"/>
  <c r="K146" i="6"/>
  <c r="Q146" i="6" s="1"/>
  <c r="N146" i="6"/>
  <c r="R146" i="6" s="1"/>
  <c r="K147" i="6"/>
  <c r="Q147" i="6" s="1"/>
  <c r="N147" i="6"/>
  <c r="R147" i="6" s="1"/>
  <c r="K148" i="6"/>
  <c r="Q148" i="6" s="1"/>
  <c r="N148" i="6"/>
  <c r="R148" i="6" s="1"/>
  <c r="K149" i="6"/>
  <c r="Q149" i="6" s="1"/>
  <c r="N149" i="6"/>
  <c r="R149" i="6" s="1"/>
  <c r="K150" i="6"/>
  <c r="Q150" i="6" s="1"/>
  <c r="N150" i="6"/>
  <c r="R150" i="6" s="1"/>
  <c r="K151" i="6"/>
  <c r="Q151" i="6" s="1"/>
  <c r="N151" i="6"/>
  <c r="R151" i="6" s="1"/>
  <c r="K152" i="6"/>
  <c r="Q152" i="6" s="1"/>
  <c r="N152" i="6"/>
  <c r="R152" i="6" s="1"/>
  <c r="K153" i="6"/>
  <c r="Q153" i="6" s="1"/>
  <c r="N153" i="6"/>
  <c r="R153" i="6" s="1"/>
  <c r="K154" i="6"/>
  <c r="Q154" i="6" s="1"/>
  <c r="N154" i="6"/>
  <c r="R154" i="6" s="1"/>
  <c r="K155" i="6"/>
  <c r="Q155" i="6" s="1"/>
  <c r="N155" i="6"/>
  <c r="R155" i="6" s="1"/>
  <c r="K156" i="6"/>
  <c r="Q156" i="6" s="1"/>
  <c r="N156" i="6"/>
  <c r="R156" i="6" s="1"/>
  <c r="H55" i="6"/>
  <c r="H50" i="6"/>
  <c r="H49" i="6"/>
  <c r="H48" i="6"/>
  <c r="H44" i="6"/>
  <c r="H43" i="6"/>
  <c r="H39" i="6"/>
  <c r="H34" i="6"/>
  <c r="H33" i="6"/>
  <c r="H30" i="6"/>
  <c r="H29" i="6"/>
  <c r="H27" i="6"/>
  <c r="H26" i="6"/>
  <c r="B24" i="6"/>
  <c r="B25" i="6" s="1"/>
  <c r="B26" i="6" s="1"/>
  <c r="B27" i="6" s="1"/>
  <c r="B28" i="6" s="1"/>
  <c r="H24" i="6"/>
  <c r="H23" i="6"/>
  <c r="H19" i="6"/>
  <c r="H18" i="6"/>
  <c r="H16" i="6"/>
  <c r="H15" i="6"/>
  <c r="H13" i="6"/>
  <c r="H12" i="6"/>
  <c r="H9" i="6"/>
  <c r="H7" i="6"/>
  <c r="B8" i="6"/>
  <c r="B9" i="6" s="1"/>
  <c r="H8" i="6"/>
  <c r="H10" i="6"/>
  <c r="H11" i="6"/>
  <c r="H14" i="6"/>
  <c r="H17" i="6"/>
  <c r="H20" i="6"/>
  <c r="H25" i="6"/>
  <c r="H28" i="6"/>
  <c r="H31" i="6"/>
  <c r="H32" i="6"/>
  <c r="H35" i="6"/>
  <c r="H36" i="6"/>
  <c r="H37" i="6"/>
  <c r="H38" i="6"/>
  <c r="H40" i="6"/>
  <c r="H45" i="6"/>
  <c r="H46" i="6"/>
  <c r="H47" i="6"/>
  <c r="H51" i="6"/>
  <c r="H52" i="6"/>
  <c r="H53" i="6"/>
  <c r="H54" i="6"/>
  <c r="H484" i="5"/>
  <c r="H483" i="5"/>
  <c r="H482" i="5"/>
  <c r="H481" i="5"/>
  <c r="H480" i="5"/>
  <c r="H479" i="5"/>
  <c r="H478" i="5"/>
  <c r="H475" i="5"/>
  <c r="H474" i="5"/>
  <c r="H470" i="5"/>
  <c r="H467" i="5"/>
  <c r="B463" i="5"/>
  <c r="B464" i="5" s="1"/>
  <c r="B465" i="5" s="1"/>
  <c r="B466" i="5" s="1"/>
  <c r="B467" i="5" s="1"/>
  <c r="B468" i="5" s="1"/>
  <c r="B469" i="5" s="1"/>
  <c r="B470" i="5" s="1"/>
  <c r="B471" i="5" s="1"/>
  <c r="B472" i="5" s="1"/>
  <c r="B473" i="5" s="1"/>
  <c r="B474" i="5" s="1"/>
  <c r="B475" i="5" s="1"/>
  <c r="B476" i="5" s="1"/>
  <c r="H463" i="5"/>
  <c r="H462" i="5"/>
  <c r="H459" i="5"/>
  <c r="H457" i="5"/>
  <c r="H454" i="5"/>
  <c r="H451" i="5"/>
  <c r="B451" i="5"/>
  <c r="B450" i="5"/>
  <c r="B452" i="5" s="1"/>
  <c r="B454" i="5" s="1"/>
  <c r="H449" i="5"/>
  <c r="H450" i="5"/>
  <c r="H444" i="5"/>
  <c r="H440" i="5"/>
  <c r="H437" i="5"/>
  <c r="H434" i="5"/>
  <c r="B435" i="5"/>
  <c r="B437" i="5" s="1"/>
  <c r="H433" i="5"/>
  <c r="H429" i="5"/>
  <c r="H426" i="5"/>
  <c r="H423" i="5"/>
  <c r="H422" i="5"/>
  <c r="H419" i="5"/>
  <c r="H417" i="5"/>
  <c r="B415" i="5"/>
  <c r="B416" i="5" s="1"/>
  <c r="B417" i="5" s="1"/>
  <c r="H415" i="5"/>
  <c r="H414" i="5"/>
  <c r="B400" i="5"/>
  <c r="B401" i="5" s="1"/>
  <c r="B402" i="5" s="1"/>
  <c r="B403" i="5" s="1"/>
  <c r="B404" i="5" s="1"/>
  <c r="B405" i="5" s="1"/>
  <c r="B406" i="5" s="1"/>
  <c r="B407" i="5" s="1"/>
  <c r="B408" i="5" s="1"/>
  <c r="B409" i="5" s="1"/>
  <c r="B410" i="5" s="1"/>
  <c r="B411" i="5" s="1"/>
  <c r="B412" i="5" s="1"/>
  <c r="H399" i="5"/>
  <c r="H398" i="5"/>
  <c r="H387" i="5"/>
  <c r="H386" i="5"/>
  <c r="H385" i="5"/>
  <c r="H384" i="5"/>
  <c r="H383" i="5"/>
  <c r="H382" i="5"/>
  <c r="H381" i="5"/>
  <c r="B377" i="5"/>
  <c r="B378" i="5" s="1"/>
  <c r="B379" i="5" s="1"/>
  <c r="B380" i="5" s="1"/>
  <c r="B381" i="5" s="1"/>
  <c r="B382" i="5" s="1"/>
  <c r="B383" i="5" s="1"/>
  <c r="B384" i="5" s="1"/>
  <c r="B385" i="5" s="1"/>
  <c r="B386" i="5" s="1"/>
  <c r="B387" i="5" s="1"/>
  <c r="B388" i="5" s="1"/>
  <c r="H377" i="5"/>
  <c r="H376" i="5"/>
  <c r="H371" i="5"/>
  <c r="H369" i="5"/>
  <c r="H365" i="5"/>
  <c r="B365" i="5"/>
  <c r="B366" i="5" s="1"/>
  <c r="B367" i="5" s="1"/>
  <c r="B368" i="5" s="1"/>
  <c r="B369" i="5" s="1"/>
  <c r="B370" i="5" s="1"/>
  <c r="B371" i="5" s="1"/>
  <c r="B372" i="5" s="1"/>
  <c r="B373" i="5" s="1"/>
  <c r="B374" i="5" s="1"/>
  <c r="H364" i="5"/>
  <c r="H361" i="5"/>
  <c r="H358" i="5"/>
  <c r="H355" i="5"/>
  <c r="B351" i="5"/>
  <c r="B352" i="5" s="1"/>
  <c r="B353" i="5" s="1"/>
  <c r="B354" i="5" s="1"/>
  <c r="H352" i="5"/>
  <c r="H350" i="5"/>
  <c r="H351" i="5"/>
  <c r="H345" i="5"/>
  <c r="H342" i="5"/>
  <c r="H339" i="5"/>
  <c r="H336" i="5"/>
  <c r="H335" i="5"/>
  <c r="B335" i="5"/>
  <c r="H334" i="5"/>
  <c r="H330" i="5"/>
  <c r="H327" i="5"/>
  <c r="H324" i="5"/>
  <c r="H323" i="5"/>
  <c r="H320" i="5"/>
  <c r="H318" i="5"/>
  <c r="B316" i="5"/>
  <c r="B317" i="5" s="1"/>
  <c r="B318" i="5" s="1"/>
  <c r="B319" i="5" s="1"/>
  <c r="B320" i="5" s="1"/>
  <c r="H316" i="5"/>
  <c r="H315" i="5"/>
  <c r="B300" i="5"/>
  <c r="H299" i="5"/>
  <c r="H298" i="5"/>
  <c r="H296" i="5"/>
  <c r="H282" i="5"/>
  <c r="H280" i="5"/>
  <c r="B281" i="5"/>
  <c r="B263" i="5"/>
  <c r="B264" i="5" s="1"/>
  <c r="B265" i="5" s="1"/>
  <c r="B266" i="5" s="1"/>
  <c r="B268" i="5" s="1"/>
  <c r="B269" i="5" s="1"/>
  <c r="B270" i="5" s="1"/>
  <c r="B272" i="5" s="1"/>
  <c r="B273" i="5" s="1"/>
  <c r="B275" i="5" s="1"/>
  <c r="B277" i="5" s="1"/>
  <c r="B278" i="5" s="1"/>
  <c r="H262" i="5"/>
  <c r="B248" i="5"/>
  <c r="B249" i="5" s="1"/>
  <c r="B250" i="5" s="1"/>
  <c r="B251" i="5" s="1"/>
  <c r="B252" i="5" s="1"/>
  <c r="B254" i="5" s="1"/>
  <c r="B255" i="5" s="1"/>
  <c r="B257" i="5" s="1"/>
  <c r="B258" i="5" s="1"/>
  <c r="B259" i="5" s="1"/>
  <c r="B260" i="5" s="1"/>
  <c r="B261" i="5" s="1"/>
  <c r="H247" i="5"/>
  <c r="B218" i="5"/>
  <c r="B219" i="5" s="1"/>
  <c r="B220" i="5" s="1"/>
  <c r="B221" i="5" s="1"/>
  <c r="H217" i="5"/>
  <c r="H211" i="5"/>
  <c r="B201" i="5"/>
  <c r="B203" i="5" s="1"/>
  <c r="H200" i="5"/>
  <c r="H164" i="5"/>
  <c r="B8" i="4"/>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H8" i="4"/>
  <c r="N120" i="3"/>
  <c r="J120" i="3"/>
  <c r="J471" i="3"/>
  <c r="J472" i="3"/>
  <c r="J473" i="3"/>
  <c r="J475" i="3"/>
  <c r="J476" i="3"/>
  <c r="J477" i="3"/>
  <c r="J478" i="3"/>
  <c r="B503" i="3"/>
  <c r="B524" i="3"/>
  <c r="B481" i="3"/>
  <c r="B474" i="3"/>
  <c r="B468" i="3"/>
  <c r="B460" i="3"/>
  <c r="B452" i="3"/>
  <c r="B445" i="3"/>
  <c r="B431" i="3"/>
  <c r="B423" i="3"/>
  <c r="B413" i="3"/>
  <c r="B398" i="3"/>
  <c r="B385" i="3"/>
  <c r="B371" i="3"/>
  <c r="B362" i="3"/>
  <c r="B354" i="3"/>
  <c r="B345" i="3"/>
  <c r="B334" i="3"/>
  <c r="B326" i="3"/>
  <c r="B320" i="3"/>
  <c r="B311" i="3"/>
  <c r="B303" i="3"/>
  <c r="B294" i="3"/>
  <c r="B286" i="3"/>
  <c r="B275" i="3"/>
  <c r="B265" i="3"/>
  <c r="B255" i="3"/>
  <c r="B246" i="3"/>
  <c r="B239" i="3"/>
  <c r="B229" i="3"/>
  <c r="B221" i="3"/>
  <c r="B212" i="3"/>
  <c r="B204" i="3"/>
  <c r="B195" i="3"/>
  <c r="B186" i="3"/>
  <c r="B174" i="3"/>
  <c r="B165" i="3"/>
  <c r="B158" i="3"/>
  <c r="B148" i="3"/>
  <c r="B140" i="3"/>
  <c r="B131" i="3"/>
  <c r="B121" i="3"/>
  <c r="B113" i="3"/>
  <c r="B105" i="3"/>
  <c r="B93" i="3"/>
  <c r="B82" i="3"/>
  <c r="B72" i="3"/>
  <c r="B64" i="3"/>
  <c r="B50" i="3"/>
  <c r="B38" i="3"/>
  <c r="B26" i="3"/>
  <c r="B15" i="3"/>
  <c r="B58" i="6"/>
  <c r="B59" i="6" s="1"/>
  <c r="B10" i="6"/>
  <c r="B11" i="6" s="1"/>
  <c r="V672" i="5"/>
  <c r="O672" i="5"/>
  <c r="V671" i="5"/>
  <c r="O671" i="5"/>
  <c r="V670" i="5"/>
  <c r="O670" i="5"/>
  <c r="V669" i="5"/>
  <c r="O669" i="5"/>
  <c r="V668" i="5"/>
  <c r="O668" i="5"/>
  <c r="V667" i="5"/>
  <c r="O667" i="5"/>
  <c r="V666" i="5"/>
  <c r="O666" i="5"/>
  <c r="V665" i="5"/>
  <c r="O665" i="5"/>
  <c r="V664" i="5"/>
  <c r="O664" i="5"/>
  <c r="V663" i="5"/>
  <c r="O663" i="5"/>
  <c r="V662" i="5"/>
  <c r="O662" i="5"/>
  <c r="V661" i="5"/>
  <c r="O661" i="5"/>
  <c r="V660" i="5"/>
  <c r="O660" i="5"/>
  <c r="V659" i="5"/>
  <c r="O659" i="5"/>
  <c r="V658" i="5"/>
  <c r="O658" i="5"/>
  <c r="V657" i="5"/>
  <c r="O657" i="5"/>
  <c r="V656" i="5"/>
  <c r="O656" i="5"/>
  <c r="V653" i="5"/>
  <c r="O653" i="5"/>
  <c r="V652" i="5"/>
  <c r="O652" i="5"/>
  <c r="V651" i="5"/>
  <c r="O651" i="5"/>
  <c r="V650" i="5"/>
  <c r="O650" i="5"/>
  <c r="V648" i="5"/>
  <c r="O648" i="5"/>
  <c r="V647" i="5"/>
  <c r="O647" i="5"/>
  <c r="V646" i="5"/>
  <c r="O646" i="5"/>
  <c r="V645" i="5"/>
  <c r="O645" i="5"/>
  <c r="V644" i="5"/>
  <c r="O644" i="5"/>
  <c r="V642" i="5"/>
  <c r="O642" i="5"/>
  <c r="V641" i="5"/>
  <c r="O641" i="5"/>
  <c r="V640" i="5"/>
  <c r="O640" i="5"/>
  <c r="V639" i="5"/>
  <c r="O639" i="5"/>
  <c r="V637" i="5"/>
  <c r="O637" i="5"/>
  <c r="V636" i="5"/>
  <c r="O636" i="5"/>
  <c r="V635" i="5"/>
  <c r="O635" i="5"/>
  <c r="V634" i="5"/>
  <c r="O634" i="5"/>
  <c r="V633" i="5"/>
  <c r="O633" i="5"/>
  <c r="V630" i="5"/>
  <c r="O630" i="5"/>
  <c r="V629" i="5"/>
  <c r="O629" i="5"/>
  <c r="V628" i="5"/>
  <c r="O628" i="5"/>
  <c r="V627" i="5"/>
  <c r="O627" i="5"/>
  <c r="V626" i="5"/>
  <c r="O626" i="5"/>
  <c r="V625" i="5"/>
  <c r="O625" i="5"/>
  <c r="V624" i="5"/>
  <c r="O624" i="5"/>
  <c r="V623" i="5"/>
  <c r="O623" i="5"/>
  <c r="V622" i="5"/>
  <c r="O622" i="5"/>
  <c r="V621" i="5"/>
  <c r="O621" i="5"/>
  <c r="V620" i="5"/>
  <c r="O620" i="5"/>
  <c r="V618" i="5"/>
  <c r="O618" i="5"/>
  <c r="V617" i="5"/>
  <c r="O617" i="5"/>
  <c r="V616" i="5"/>
  <c r="O616" i="5"/>
  <c r="V614" i="5"/>
  <c r="O614" i="5"/>
  <c r="V613" i="5"/>
  <c r="O613" i="5"/>
  <c r="V612" i="5"/>
  <c r="O612" i="5"/>
  <c r="V611" i="5"/>
  <c r="O611" i="5"/>
  <c r="V608" i="5"/>
  <c r="O608" i="5"/>
  <c r="V604" i="5"/>
  <c r="O604" i="5"/>
  <c r="V599" i="5"/>
  <c r="O599" i="5"/>
  <c r="V598" i="5"/>
  <c r="O598" i="5"/>
  <c r="V597" i="5"/>
  <c r="O597" i="5"/>
  <c r="V596" i="5"/>
  <c r="O596" i="5"/>
  <c r="V595" i="5"/>
  <c r="O595" i="5"/>
  <c r="V594" i="5"/>
  <c r="O594" i="5"/>
  <c r="V593" i="5"/>
  <c r="O593" i="5"/>
  <c r="V592" i="5"/>
  <c r="O592" i="5"/>
  <c r="V591" i="5"/>
  <c r="O591" i="5"/>
  <c r="V590" i="5"/>
  <c r="O590" i="5"/>
  <c r="V589" i="5"/>
  <c r="O589" i="5"/>
  <c r="V587" i="5"/>
  <c r="O587" i="5"/>
  <c r="V586" i="5"/>
  <c r="O586" i="5"/>
  <c r="V584" i="5"/>
  <c r="O584" i="5"/>
  <c r="V583" i="5"/>
  <c r="O583" i="5"/>
  <c r="V582" i="5"/>
  <c r="O582" i="5"/>
  <c r="V579" i="5"/>
  <c r="O579" i="5"/>
  <c r="V578" i="5"/>
  <c r="O578" i="5"/>
  <c r="V575" i="5"/>
  <c r="O575" i="5"/>
  <c r="V574" i="5"/>
  <c r="O574" i="5"/>
  <c r="V570" i="5"/>
  <c r="O570" i="5"/>
  <c r="V564" i="5"/>
  <c r="O564" i="5"/>
  <c r="V560" i="5"/>
  <c r="O560" i="5"/>
  <c r="V559" i="5"/>
  <c r="O559" i="5"/>
  <c r="V558" i="5"/>
  <c r="O558" i="5"/>
  <c r="V557" i="5"/>
  <c r="O557" i="5"/>
  <c r="V552" i="5"/>
  <c r="O552" i="5"/>
  <c r="V549" i="5"/>
  <c r="O549" i="5"/>
  <c r="V548" i="5"/>
  <c r="O548" i="5"/>
  <c r="V547" i="5"/>
  <c r="O547" i="5"/>
  <c r="V546" i="5"/>
  <c r="O546" i="5"/>
  <c r="V545" i="5"/>
  <c r="O545" i="5"/>
  <c r="V544" i="5"/>
  <c r="O544" i="5"/>
  <c r="V543" i="5"/>
  <c r="O543" i="5"/>
  <c r="V542" i="5"/>
  <c r="O542" i="5"/>
  <c r="V541" i="5"/>
  <c r="O541" i="5"/>
  <c r="V540" i="5"/>
  <c r="O540" i="5"/>
  <c r="V538" i="5"/>
  <c r="O538" i="5"/>
  <c r="V537" i="5"/>
  <c r="O537" i="5"/>
  <c r="V536" i="5"/>
  <c r="O536" i="5"/>
  <c r="V535" i="5"/>
  <c r="O535" i="5"/>
  <c r="V533" i="5"/>
  <c r="O533" i="5"/>
  <c r="V531" i="5"/>
  <c r="O531" i="5"/>
  <c r="V529" i="5"/>
  <c r="O529" i="5"/>
  <c r="V526" i="5"/>
  <c r="O526" i="5"/>
  <c r="V525" i="5"/>
  <c r="O525" i="5"/>
  <c r="V524" i="5"/>
  <c r="O524" i="5"/>
  <c r="V523" i="5"/>
  <c r="O523" i="5"/>
  <c r="V522" i="5"/>
  <c r="O522" i="5"/>
  <c r="V521" i="5"/>
  <c r="O521" i="5"/>
  <c r="V520" i="5"/>
  <c r="O520" i="5"/>
  <c r="V519" i="5"/>
  <c r="O519" i="5"/>
  <c r="V518" i="5"/>
  <c r="O518" i="5"/>
  <c r="V516" i="5"/>
  <c r="O516" i="5"/>
  <c r="V515" i="5"/>
  <c r="O515" i="5"/>
  <c r="V514" i="5"/>
  <c r="O514" i="5"/>
  <c r="B497" i="5"/>
  <c r="B498" i="5" s="1"/>
  <c r="B499" i="5" s="1"/>
  <c r="B500" i="5" s="1"/>
  <c r="B501" i="5" s="1"/>
  <c r="B502" i="5" s="1"/>
  <c r="B487" i="5"/>
  <c r="B488" i="5" s="1"/>
  <c r="B489" i="5" s="1"/>
  <c r="B490" i="5" s="1"/>
  <c r="B491" i="5" s="1"/>
  <c r="B492" i="5" s="1"/>
  <c r="B493" i="5" s="1"/>
  <c r="B494" i="5" s="1"/>
  <c r="B495" i="5" s="1"/>
  <c r="H477" i="5"/>
  <c r="H476" i="5"/>
  <c r="H473" i="5"/>
  <c r="H472" i="5"/>
  <c r="H471" i="5"/>
  <c r="H469" i="5"/>
  <c r="H468" i="5"/>
  <c r="H466" i="5"/>
  <c r="H465" i="5"/>
  <c r="H464" i="5"/>
  <c r="H461" i="5"/>
  <c r="H460" i="5"/>
  <c r="H458" i="5"/>
  <c r="H456" i="5"/>
  <c r="H455" i="5"/>
  <c r="H453" i="5"/>
  <c r="H452" i="5"/>
  <c r="H448" i="5"/>
  <c r="H447" i="5"/>
  <c r="H446" i="5"/>
  <c r="H445" i="5"/>
  <c r="H443" i="5"/>
  <c r="H442" i="5"/>
  <c r="H441" i="5"/>
  <c r="H439" i="5"/>
  <c r="H438" i="5"/>
  <c r="H436" i="5"/>
  <c r="H435" i="5"/>
  <c r="H432" i="5"/>
  <c r="H431" i="5"/>
  <c r="H430" i="5"/>
  <c r="H428" i="5"/>
  <c r="H427" i="5"/>
  <c r="H425" i="5"/>
  <c r="H424" i="5"/>
  <c r="H421" i="5"/>
  <c r="H420" i="5"/>
  <c r="H418" i="5"/>
  <c r="H416" i="5"/>
  <c r="H413" i="5"/>
  <c r="H412" i="5"/>
  <c r="H411" i="5"/>
  <c r="H410" i="5"/>
  <c r="H409" i="5"/>
  <c r="H408" i="5"/>
  <c r="H407" i="5"/>
  <c r="H406" i="5"/>
  <c r="H405" i="5"/>
  <c r="H404" i="5"/>
  <c r="H403" i="5"/>
  <c r="H402" i="5"/>
  <c r="H401" i="5"/>
  <c r="H400" i="5"/>
  <c r="H397" i="5"/>
  <c r="H396" i="5"/>
  <c r="H395" i="5"/>
  <c r="H394" i="5"/>
  <c r="H393" i="5"/>
  <c r="H392" i="5"/>
  <c r="H391" i="5"/>
  <c r="H390" i="5"/>
  <c r="B390" i="5"/>
  <c r="B391" i="5" s="1"/>
  <c r="B392" i="5" s="1"/>
  <c r="B393" i="5" s="1"/>
  <c r="B394" i="5" s="1"/>
  <c r="B395" i="5" s="1"/>
  <c r="B396" i="5" s="1"/>
  <c r="B397" i="5" s="1"/>
  <c r="B398" i="5" s="1"/>
  <c r="H389" i="5"/>
  <c r="H388" i="5"/>
  <c r="H380" i="5"/>
  <c r="H379" i="5"/>
  <c r="H378" i="5"/>
  <c r="H375" i="5"/>
  <c r="H374" i="5"/>
  <c r="H373" i="5"/>
  <c r="H372" i="5"/>
  <c r="H370" i="5"/>
  <c r="H368" i="5"/>
  <c r="H367" i="5"/>
  <c r="H366" i="5"/>
  <c r="H363" i="5"/>
  <c r="H362" i="5"/>
  <c r="H360" i="5"/>
  <c r="H359" i="5"/>
  <c r="H357" i="5"/>
  <c r="H356" i="5"/>
  <c r="H354" i="5"/>
  <c r="H353" i="5"/>
  <c r="H349" i="5"/>
  <c r="H348" i="5"/>
  <c r="H347" i="5"/>
  <c r="H346" i="5"/>
  <c r="H344" i="5"/>
  <c r="H343" i="5"/>
  <c r="H341" i="5"/>
  <c r="H340" i="5"/>
  <c r="H338" i="5"/>
  <c r="H337" i="5"/>
  <c r="H333" i="5"/>
  <c r="H332" i="5"/>
  <c r="H331" i="5"/>
  <c r="H329" i="5"/>
  <c r="H328" i="5"/>
  <c r="H326" i="5"/>
  <c r="H325" i="5"/>
  <c r="H322" i="5"/>
  <c r="H321" i="5"/>
  <c r="H319" i="5"/>
  <c r="H317" i="5"/>
  <c r="H314" i="5"/>
  <c r="H313" i="5"/>
  <c r="H312" i="5"/>
  <c r="H311" i="5"/>
  <c r="H310" i="5"/>
  <c r="H309" i="5"/>
  <c r="H308" i="5"/>
  <c r="H307" i="5"/>
  <c r="H306" i="5"/>
  <c r="H305" i="5"/>
  <c r="H304" i="5"/>
  <c r="H303" i="5"/>
  <c r="H302" i="5"/>
  <c r="H301" i="5"/>
  <c r="H300" i="5"/>
  <c r="H297" i="5"/>
  <c r="H295" i="5"/>
  <c r="H294" i="5"/>
  <c r="H293" i="5"/>
  <c r="H292" i="5"/>
  <c r="H291" i="5"/>
  <c r="H290" i="5"/>
  <c r="H289" i="5"/>
  <c r="H288" i="5"/>
  <c r="B288" i="5"/>
  <c r="B289" i="5" s="1"/>
  <c r="B290" i="5" s="1"/>
  <c r="B291" i="5" s="1"/>
  <c r="B292" i="5" s="1"/>
  <c r="B293" i="5" s="1"/>
  <c r="B294" i="5" s="1"/>
  <c r="B295" i="5" s="1"/>
  <c r="H287" i="5"/>
  <c r="H286" i="5"/>
  <c r="H285" i="5"/>
  <c r="H284" i="5"/>
  <c r="H283" i="5"/>
  <c r="H281" i="5"/>
  <c r="H279" i="5"/>
  <c r="H278" i="5"/>
  <c r="H277" i="5"/>
  <c r="H276" i="5"/>
  <c r="H275" i="5"/>
  <c r="H274" i="5"/>
  <c r="H273" i="5"/>
  <c r="H272" i="5"/>
  <c r="H271" i="5"/>
  <c r="H270" i="5"/>
  <c r="H269" i="5"/>
  <c r="H268" i="5"/>
  <c r="H267" i="5"/>
  <c r="H266" i="5"/>
  <c r="H265" i="5"/>
  <c r="H264" i="5"/>
  <c r="H263" i="5"/>
  <c r="H261" i="5"/>
  <c r="H260" i="5"/>
  <c r="H259" i="5"/>
  <c r="H258" i="5"/>
  <c r="H257" i="5"/>
  <c r="H256" i="5"/>
  <c r="H255" i="5"/>
  <c r="H254" i="5"/>
  <c r="H253" i="5"/>
  <c r="H252" i="5"/>
  <c r="H251" i="5"/>
  <c r="H250" i="5"/>
  <c r="H249" i="5"/>
  <c r="H248" i="5"/>
  <c r="H246" i="5"/>
  <c r="H245" i="5"/>
  <c r="H244" i="5"/>
  <c r="H243" i="5"/>
  <c r="H242" i="5"/>
  <c r="H241" i="5"/>
  <c r="H240" i="5"/>
  <c r="H239" i="5"/>
  <c r="H238" i="5"/>
  <c r="H237" i="5"/>
  <c r="H236" i="5"/>
  <c r="H235" i="5"/>
  <c r="H234" i="5"/>
  <c r="B234" i="5"/>
  <c r="B235" i="5" s="1"/>
  <c r="B236" i="5" s="1"/>
  <c r="B238" i="5" s="1"/>
  <c r="B240" i="5" s="1"/>
  <c r="B239" i="5" s="1"/>
  <c r="B242" i="5" s="1"/>
  <c r="B243" i="5" s="1"/>
  <c r="B244" i="5" s="1"/>
  <c r="B245" i="5" s="1"/>
  <c r="B246" i="5" s="1"/>
  <c r="H233" i="5"/>
  <c r="H232" i="5"/>
  <c r="H231" i="5"/>
  <c r="H230" i="5"/>
  <c r="H229" i="5"/>
  <c r="H228" i="5"/>
  <c r="H227" i="5"/>
  <c r="H226" i="5"/>
  <c r="H225" i="5"/>
  <c r="H224" i="5"/>
  <c r="H223" i="5"/>
  <c r="H222" i="5"/>
  <c r="H221" i="5"/>
  <c r="H220" i="5"/>
  <c r="H219" i="5"/>
  <c r="H218" i="5"/>
  <c r="H216" i="5"/>
  <c r="H215" i="5"/>
  <c r="H214" i="5"/>
  <c r="H213" i="5"/>
  <c r="H212" i="5"/>
  <c r="H210" i="5"/>
  <c r="H209" i="5"/>
  <c r="H208" i="5"/>
  <c r="H207" i="5"/>
  <c r="H206" i="5"/>
  <c r="H205" i="5"/>
  <c r="H204" i="5"/>
  <c r="H203" i="5"/>
  <c r="H202" i="5"/>
  <c r="H201" i="5"/>
  <c r="H199" i="5"/>
  <c r="H198" i="5"/>
  <c r="H197" i="5"/>
  <c r="H196" i="5"/>
  <c r="H195" i="5"/>
  <c r="H194" i="5"/>
  <c r="H193" i="5"/>
  <c r="H192" i="5"/>
  <c r="H191" i="5"/>
  <c r="H190" i="5"/>
  <c r="H189" i="5"/>
  <c r="H188" i="5"/>
  <c r="H187" i="5"/>
  <c r="H186" i="5"/>
  <c r="H185" i="5"/>
  <c r="H184" i="5"/>
  <c r="H183" i="5"/>
  <c r="B183" i="5"/>
  <c r="H182" i="5"/>
  <c r="B182" i="5"/>
  <c r="H181" i="5"/>
  <c r="H180" i="5"/>
  <c r="H179" i="5"/>
  <c r="H178" i="5"/>
  <c r="H177" i="5"/>
  <c r="H176" i="5"/>
  <c r="H175" i="5"/>
  <c r="H174" i="5"/>
  <c r="H173" i="5"/>
  <c r="H172" i="5"/>
  <c r="H171" i="5"/>
  <c r="H170" i="5"/>
  <c r="H169" i="5"/>
  <c r="H168" i="5"/>
  <c r="H167" i="5"/>
  <c r="H166" i="5"/>
  <c r="B166" i="5"/>
  <c r="B167" i="5" s="1"/>
  <c r="B168" i="5" s="1"/>
  <c r="B169" i="5" s="1"/>
  <c r="B170" i="5" s="1"/>
  <c r="B171" i="5" s="1"/>
  <c r="B172" i="5" s="1"/>
  <c r="B173" i="5" s="1"/>
  <c r="B174" i="5" s="1"/>
  <c r="B175" i="5" s="1"/>
  <c r="B176" i="5" s="1"/>
  <c r="B177" i="5" s="1"/>
  <c r="B178" i="5" s="1"/>
  <c r="B179" i="5" s="1"/>
  <c r="B180" i="5" s="1"/>
  <c r="H165" i="5"/>
  <c r="H163" i="5"/>
  <c r="H162" i="5"/>
  <c r="H161" i="5"/>
  <c r="H160" i="5"/>
  <c r="H159" i="5"/>
  <c r="H158" i="5"/>
  <c r="H157" i="5"/>
  <c r="H156" i="5"/>
  <c r="H155" i="5"/>
  <c r="B155" i="5"/>
  <c r="B156" i="5" s="1"/>
  <c r="B157" i="5" s="1"/>
  <c r="B158" i="5" s="1"/>
  <c r="B159" i="5" s="1"/>
  <c r="B160" i="5" s="1"/>
  <c r="B161" i="5" s="1"/>
  <c r="B162" i="5" s="1"/>
  <c r="H154" i="5"/>
  <c r="H153" i="5"/>
  <c r="H152" i="5"/>
  <c r="H151" i="5"/>
  <c r="H150" i="5"/>
  <c r="H149" i="5"/>
  <c r="H148" i="5"/>
  <c r="H145" i="5"/>
  <c r="B145" i="5"/>
  <c r="B148" i="5" s="1"/>
  <c r="B149" i="5" s="1"/>
  <c r="B150" i="5" s="1"/>
  <c r="B151" i="5" s="1"/>
  <c r="H144" i="5"/>
  <c r="B144" i="5"/>
  <c r="H143" i="5"/>
  <c r="H142" i="5"/>
  <c r="H141" i="5"/>
  <c r="H140" i="5"/>
  <c r="H139" i="5"/>
  <c r="H138" i="5"/>
  <c r="H137" i="5"/>
  <c r="H133" i="5"/>
  <c r="H132" i="5"/>
  <c r="H131" i="5"/>
  <c r="H122" i="5"/>
  <c r="H121" i="5"/>
  <c r="H120" i="5"/>
  <c r="H119" i="5"/>
  <c r="H118" i="5"/>
  <c r="B118" i="5"/>
  <c r="B119" i="5" s="1"/>
  <c r="B120" i="5" s="1"/>
  <c r="H117" i="5"/>
  <c r="B117" i="5"/>
  <c r="H116" i="5"/>
  <c r="H115" i="5"/>
  <c r="H114" i="5"/>
  <c r="H113" i="5"/>
  <c r="H112" i="5"/>
  <c r="H111" i="5"/>
  <c r="H110" i="5"/>
  <c r="H107" i="5"/>
  <c r="H106" i="5"/>
  <c r="H105" i="5"/>
  <c r="H104" i="5"/>
  <c r="H101" i="5"/>
  <c r="H98" i="5"/>
  <c r="H94" i="5"/>
  <c r="B94" i="5"/>
  <c r="B98" i="5" s="1"/>
  <c r="B101" i="5" s="1"/>
  <c r="B104" i="5" s="1"/>
  <c r="H93" i="5"/>
  <c r="B93" i="5"/>
  <c r="H92" i="5"/>
  <c r="H91" i="5"/>
  <c r="H88" i="5"/>
  <c r="H87" i="5"/>
  <c r="H86" i="5"/>
  <c r="H83" i="5"/>
  <c r="H82" i="5"/>
  <c r="H80" i="5"/>
  <c r="H78" i="5"/>
  <c r="H77" i="5"/>
  <c r="H76" i="5"/>
  <c r="H75" i="5"/>
  <c r="B75" i="5"/>
  <c r="H74" i="5"/>
  <c r="B74" i="5"/>
  <c r="B76" i="5" s="1"/>
  <c r="B77" i="5" s="1"/>
  <c r="B78" i="5" s="1"/>
  <c r="B80" i="5" s="1"/>
  <c r="H73" i="5"/>
  <c r="H72" i="5"/>
  <c r="H71" i="5"/>
  <c r="H70" i="5"/>
  <c r="H66" i="5"/>
  <c r="H65" i="5"/>
  <c r="H64" i="5"/>
  <c r="H63" i="5"/>
  <c r="H62" i="5"/>
  <c r="H61" i="5"/>
  <c r="H60" i="5"/>
  <c r="H59" i="5"/>
  <c r="H58" i="5"/>
  <c r="H54" i="5"/>
  <c r="H50" i="5"/>
  <c r="H49" i="5"/>
  <c r="H48" i="5"/>
  <c r="B48" i="5"/>
  <c r="B49" i="5" s="1"/>
  <c r="B50" i="5" s="1"/>
  <c r="B54" i="5" s="1"/>
  <c r="H47" i="5"/>
  <c r="H45" i="5"/>
  <c r="H44" i="5"/>
  <c r="H43" i="5"/>
  <c r="H42" i="5"/>
  <c r="H41" i="5"/>
  <c r="H40" i="5"/>
  <c r="H39" i="5"/>
  <c r="H38" i="5"/>
  <c r="H37" i="5"/>
  <c r="H36" i="5"/>
  <c r="H35" i="5"/>
  <c r="H34" i="5"/>
  <c r="H33" i="5"/>
  <c r="H29" i="5"/>
  <c r="H28" i="5"/>
  <c r="B28" i="5"/>
  <c r="B33" i="5" s="1"/>
  <c r="B36" i="5" s="1"/>
  <c r="H27" i="5"/>
  <c r="H26" i="5"/>
  <c r="B26" i="5"/>
  <c r="H25" i="5"/>
  <c r="H23" i="5"/>
  <c r="H22" i="5"/>
  <c r="H21" i="5"/>
  <c r="H20" i="5"/>
  <c r="H19" i="5"/>
  <c r="H18" i="5"/>
  <c r="H17" i="5"/>
  <c r="H13" i="5"/>
  <c r="H12" i="5"/>
  <c r="H11" i="5"/>
  <c r="H10" i="5"/>
  <c r="H9" i="5"/>
  <c r="H8" i="5"/>
  <c r="B8" i="5"/>
  <c r="B9" i="5" s="1"/>
  <c r="B10" i="5" s="1"/>
  <c r="B11" i="5" s="1"/>
  <c r="B12" i="5" s="1"/>
  <c r="B13" i="5" s="1"/>
  <c r="B17" i="5" s="1"/>
  <c r="B18" i="5" s="1"/>
  <c r="B19" i="5" s="1"/>
  <c r="B20" i="5" s="1"/>
  <c r="B21" i="5" s="1"/>
  <c r="B22" i="5" s="1"/>
  <c r="B23" i="5" s="1"/>
  <c r="B24" i="5" s="1"/>
  <c r="H7" i="5"/>
  <c r="M480" i="3"/>
  <c r="I480" i="3"/>
  <c r="M479" i="3"/>
  <c r="I479" i="3"/>
  <c r="M478" i="3"/>
  <c r="I478" i="3"/>
  <c r="M477" i="3"/>
  <c r="I477" i="3"/>
  <c r="M476" i="3"/>
  <c r="I476" i="3"/>
  <c r="M475" i="3"/>
  <c r="I475" i="3"/>
  <c r="M473" i="3"/>
  <c r="I473" i="3"/>
  <c r="M472" i="3"/>
  <c r="I472" i="3"/>
  <c r="M471" i="3"/>
  <c r="I471" i="3"/>
  <c r="M470" i="3"/>
  <c r="I470" i="3"/>
  <c r="M469" i="3"/>
  <c r="I469" i="3"/>
  <c r="M467" i="3"/>
  <c r="I467" i="3"/>
  <c r="M466" i="3"/>
  <c r="I466" i="3"/>
  <c r="M465" i="3"/>
  <c r="I465" i="3"/>
  <c r="M464" i="3"/>
  <c r="I464" i="3"/>
  <c r="M463" i="3"/>
  <c r="I463" i="3"/>
  <c r="M462" i="3"/>
  <c r="I462" i="3"/>
  <c r="M461" i="3"/>
  <c r="I461" i="3"/>
  <c r="M459" i="3"/>
  <c r="I459" i="3"/>
  <c r="M458" i="3"/>
  <c r="I458" i="3"/>
  <c r="M457" i="3"/>
  <c r="I457" i="3"/>
  <c r="M456" i="3"/>
  <c r="I456" i="3"/>
  <c r="M455" i="3"/>
  <c r="I455" i="3"/>
  <c r="M454" i="3"/>
  <c r="I454" i="3"/>
  <c r="M453" i="3"/>
  <c r="I453" i="3"/>
  <c r="M451" i="3"/>
  <c r="I451" i="3"/>
  <c r="M450" i="3"/>
  <c r="I450" i="3"/>
  <c r="M449" i="3"/>
  <c r="I449" i="3"/>
  <c r="M448" i="3"/>
  <c r="I448" i="3"/>
  <c r="M447" i="3"/>
  <c r="I447" i="3"/>
  <c r="M446" i="3"/>
  <c r="I446" i="3"/>
  <c r="M444" i="3"/>
  <c r="I444" i="3"/>
  <c r="M443" i="3"/>
  <c r="I443" i="3"/>
  <c r="M442" i="3"/>
  <c r="I442" i="3"/>
  <c r="M441" i="3"/>
  <c r="I441" i="3"/>
  <c r="M440" i="3"/>
  <c r="I440" i="3"/>
  <c r="M439" i="3"/>
  <c r="I439" i="3"/>
  <c r="M438" i="3"/>
  <c r="I438" i="3"/>
  <c r="M437" i="3"/>
  <c r="I437" i="3"/>
  <c r="M436" i="3"/>
  <c r="I436" i="3"/>
  <c r="M435" i="3"/>
  <c r="I435" i="3"/>
  <c r="M434" i="3"/>
  <c r="I434" i="3"/>
  <c r="M433" i="3"/>
  <c r="I433" i="3"/>
  <c r="M432" i="3"/>
  <c r="I432" i="3"/>
  <c r="M430" i="3"/>
  <c r="I430" i="3"/>
  <c r="M429" i="3"/>
  <c r="I429" i="3"/>
  <c r="M428" i="3"/>
  <c r="I428" i="3"/>
  <c r="M427" i="3"/>
  <c r="I427" i="3"/>
  <c r="M426" i="3"/>
  <c r="I426" i="3"/>
  <c r="M425" i="3"/>
  <c r="I425" i="3"/>
  <c r="M424" i="3"/>
  <c r="I424" i="3"/>
  <c r="M422" i="3"/>
  <c r="I422" i="3"/>
  <c r="M421" i="3"/>
  <c r="I421" i="3"/>
  <c r="M420" i="3"/>
  <c r="I420" i="3"/>
  <c r="M419" i="3"/>
  <c r="I419" i="3"/>
  <c r="M418" i="3"/>
  <c r="I418" i="3"/>
  <c r="M417" i="3"/>
  <c r="I417" i="3"/>
  <c r="M416" i="3"/>
  <c r="I416" i="3"/>
  <c r="M415" i="3"/>
  <c r="I415" i="3"/>
  <c r="M414" i="3"/>
  <c r="I414" i="3"/>
  <c r="M412" i="3"/>
  <c r="I412" i="3"/>
  <c r="M411" i="3"/>
  <c r="I411" i="3"/>
  <c r="M410" i="3"/>
  <c r="I410" i="3"/>
  <c r="M409" i="3"/>
  <c r="I409" i="3"/>
  <c r="M408" i="3"/>
  <c r="I408" i="3"/>
  <c r="M407" i="3"/>
  <c r="I407" i="3"/>
  <c r="M406" i="3"/>
  <c r="I406" i="3"/>
  <c r="M405" i="3"/>
  <c r="I405" i="3"/>
  <c r="M404" i="3"/>
  <c r="I404" i="3"/>
  <c r="M403" i="3"/>
  <c r="I403" i="3"/>
  <c r="M402" i="3"/>
  <c r="I402" i="3"/>
  <c r="M401" i="3"/>
  <c r="I401" i="3"/>
  <c r="M400" i="3"/>
  <c r="I400" i="3"/>
  <c r="M399" i="3"/>
  <c r="I399" i="3"/>
  <c r="M397" i="3"/>
  <c r="I397" i="3"/>
  <c r="M396" i="3"/>
  <c r="I396" i="3"/>
  <c r="M395" i="3"/>
  <c r="I395" i="3"/>
  <c r="M394" i="3"/>
  <c r="I394" i="3"/>
  <c r="M393" i="3"/>
  <c r="I393" i="3"/>
  <c r="M392" i="3"/>
  <c r="I392" i="3"/>
  <c r="M391" i="3"/>
  <c r="I391" i="3"/>
  <c r="M390" i="3"/>
  <c r="I390" i="3"/>
  <c r="M389" i="3"/>
  <c r="I389" i="3"/>
  <c r="M388" i="3"/>
  <c r="I388" i="3"/>
  <c r="M387" i="3"/>
  <c r="I387" i="3"/>
  <c r="M386" i="3"/>
  <c r="I386" i="3"/>
  <c r="M384" i="3"/>
  <c r="I384" i="3"/>
  <c r="M383" i="3"/>
  <c r="I383" i="3"/>
  <c r="M382" i="3"/>
  <c r="I382" i="3"/>
  <c r="M381" i="3"/>
  <c r="I381" i="3"/>
  <c r="M380" i="3"/>
  <c r="I380" i="3"/>
  <c r="M379" i="3"/>
  <c r="I379" i="3"/>
  <c r="M378" i="3"/>
  <c r="I378" i="3"/>
  <c r="M377" i="3"/>
  <c r="I377" i="3"/>
  <c r="M376" i="3"/>
  <c r="I376" i="3"/>
  <c r="M375" i="3"/>
  <c r="I375" i="3"/>
  <c r="M374" i="3"/>
  <c r="I374" i="3"/>
  <c r="M373" i="3"/>
  <c r="I373" i="3"/>
  <c r="M372" i="3"/>
  <c r="I372" i="3"/>
  <c r="M370" i="3"/>
  <c r="I370" i="3"/>
  <c r="M369" i="3"/>
  <c r="I369" i="3"/>
  <c r="M368" i="3"/>
  <c r="I368" i="3"/>
  <c r="M367" i="3"/>
  <c r="I367" i="3"/>
  <c r="M366" i="3"/>
  <c r="I366" i="3"/>
  <c r="M365" i="3"/>
  <c r="I365" i="3"/>
  <c r="M364" i="3"/>
  <c r="I364" i="3"/>
  <c r="M363" i="3"/>
  <c r="I363" i="3"/>
  <c r="M361" i="3"/>
  <c r="I361" i="3"/>
  <c r="M360" i="3"/>
  <c r="I360" i="3"/>
  <c r="M359" i="3"/>
  <c r="I359" i="3"/>
  <c r="M358" i="3"/>
  <c r="I358" i="3"/>
  <c r="M357" i="3"/>
  <c r="I357" i="3"/>
  <c r="M356" i="3"/>
  <c r="I356" i="3"/>
  <c r="M355" i="3"/>
  <c r="I355" i="3"/>
  <c r="M353" i="3"/>
  <c r="I353" i="3"/>
  <c r="M352" i="3"/>
  <c r="I352" i="3"/>
  <c r="M351" i="3"/>
  <c r="I351" i="3"/>
  <c r="M350" i="3"/>
  <c r="I350" i="3"/>
  <c r="M349" i="3"/>
  <c r="I349" i="3"/>
  <c r="M348" i="3"/>
  <c r="I348" i="3"/>
  <c r="M347" i="3"/>
  <c r="I347" i="3"/>
  <c r="M346" i="3"/>
  <c r="I346" i="3"/>
  <c r="M344" i="3"/>
  <c r="I344" i="3"/>
  <c r="M343" i="3"/>
  <c r="I343" i="3"/>
  <c r="M342" i="3"/>
  <c r="I342" i="3"/>
  <c r="M341" i="3"/>
  <c r="I341" i="3"/>
  <c r="M340" i="3"/>
  <c r="I340" i="3"/>
  <c r="M339" i="3"/>
  <c r="I339" i="3"/>
  <c r="M338" i="3"/>
  <c r="I338" i="3"/>
  <c r="M337" i="3"/>
  <c r="I337" i="3"/>
  <c r="M336" i="3"/>
  <c r="I336" i="3"/>
  <c r="M335" i="3"/>
  <c r="I335" i="3"/>
  <c r="M333" i="3"/>
  <c r="I333" i="3"/>
  <c r="M332" i="3"/>
  <c r="I332" i="3"/>
  <c r="M331" i="3"/>
  <c r="I331" i="3"/>
  <c r="M330" i="3"/>
  <c r="I330" i="3"/>
  <c r="M329" i="3"/>
  <c r="I329" i="3"/>
  <c r="M328" i="3"/>
  <c r="I328" i="3"/>
  <c r="M327" i="3"/>
  <c r="I327" i="3"/>
  <c r="M325" i="3"/>
  <c r="I325" i="3"/>
  <c r="M324" i="3"/>
  <c r="I324" i="3"/>
  <c r="M323" i="3"/>
  <c r="I323" i="3"/>
  <c r="M322" i="3"/>
  <c r="I322" i="3"/>
  <c r="M321" i="3"/>
  <c r="I321" i="3"/>
  <c r="M319" i="3"/>
  <c r="I319" i="3"/>
  <c r="M318" i="3"/>
  <c r="I318" i="3"/>
  <c r="M317" i="3"/>
  <c r="I317" i="3"/>
  <c r="M316" i="3"/>
  <c r="I316" i="3"/>
  <c r="M315" i="3"/>
  <c r="I315" i="3"/>
  <c r="M314" i="3"/>
  <c r="I314" i="3"/>
  <c r="M313" i="3"/>
  <c r="I313" i="3"/>
  <c r="M312" i="3"/>
  <c r="I312" i="3"/>
  <c r="M310" i="3"/>
  <c r="I310" i="3"/>
  <c r="M309" i="3"/>
  <c r="I309" i="3"/>
  <c r="M308" i="3"/>
  <c r="I308" i="3"/>
  <c r="M307" i="3"/>
  <c r="I307" i="3"/>
  <c r="M306" i="3"/>
  <c r="I306" i="3"/>
  <c r="M305" i="3"/>
  <c r="I305" i="3"/>
  <c r="M304" i="3"/>
  <c r="I304" i="3"/>
  <c r="M302" i="3"/>
  <c r="I302" i="3"/>
  <c r="M301" i="3"/>
  <c r="I301" i="3"/>
  <c r="M300" i="3"/>
  <c r="I300" i="3"/>
  <c r="M299" i="3"/>
  <c r="I299" i="3"/>
  <c r="M298" i="3"/>
  <c r="I298" i="3"/>
  <c r="M297" i="3"/>
  <c r="I297" i="3"/>
  <c r="M296" i="3"/>
  <c r="I296" i="3"/>
  <c r="M295" i="3"/>
  <c r="I295" i="3"/>
  <c r="M293" i="3"/>
  <c r="I293" i="3"/>
  <c r="M292" i="3"/>
  <c r="I292" i="3"/>
  <c r="M291" i="3"/>
  <c r="I291" i="3"/>
  <c r="M290" i="3"/>
  <c r="I290" i="3"/>
  <c r="M289" i="3"/>
  <c r="I289" i="3"/>
  <c r="M288" i="3"/>
  <c r="I288" i="3"/>
  <c r="M287" i="3"/>
  <c r="I287" i="3"/>
  <c r="M285" i="3"/>
  <c r="I285" i="3"/>
  <c r="M284" i="3"/>
  <c r="I284" i="3"/>
  <c r="M283" i="3"/>
  <c r="I283" i="3"/>
  <c r="M282" i="3"/>
  <c r="I282" i="3"/>
  <c r="M281" i="3"/>
  <c r="I281" i="3"/>
  <c r="M280" i="3"/>
  <c r="I280" i="3"/>
  <c r="M279" i="3"/>
  <c r="I279" i="3"/>
  <c r="M278" i="3"/>
  <c r="I278" i="3"/>
  <c r="M277" i="3"/>
  <c r="I277" i="3"/>
  <c r="M276" i="3"/>
  <c r="I276" i="3"/>
  <c r="M274" i="3"/>
  <c r="I274" i="3"/>
  <c r="M273" i="3"/>
  <c r="I273" i="3"/>
  <c r="M272" i="3"/>
  <c r="I272" i="3"/>
  <c r="M271" i="3"/>
  <c r="I271" i="3"/>
  <c r="M270" i="3"/>
  <c r="I270" i="3"/>
  <c r="M269" i="3"/>
  <c r="I269" i="3"/>
  <c r="M268" i="3"/>
  <c r="I268" i="3"/>
  <c r="M267" i="3"/>
  <c r="I267" i="3"/>
  <c r="M266" i="3"/>
  <c r="I266" i="3"/>
  <c r="M264" i="3"/>
  <c r="I264" i="3"/>
  <c r="M263" i="3"/>
  <c r="I263" i="3"/>
  <c r="M262" i="3"/>
  <c r="I262" i="3"/>
  <c r="M261" i="3"/>
  <c r="I261" i="3"/>
  <c r="M260" i="3"/>
  <c r="I260" i="3"/>
  <c r="M259" i="3"/>
  <c r="I259" i="3"/>
  <c r="M258" i="3"/>
  <c r="I258" i="3"/>
  <c r="M257" i="3"/>
  <c r="I257" i="3"/>
  <c r="M256" i="3"/>
  <c r="I256" i="3"/>
  <c r="M254" i="3"/>
  <c r="I254" i="3"/>
  <c r="M253" i="3"/>
  <c r="I253" i="3"/>
  <c r="M252" i="3"/>
  <c r="I252" i="3"/>
  <c r="M251" i="3"/>
  <c r="I251" i="3"/>
  <c r="M250" i="3"/>
  <c r="I250" i="3"/>
  <c r="M249" i="3"/>
  <c r="I249" i="3"/>
  <c r="M248" i="3"/>
  <c r="I248" i="3"/>
  <c r="M247" i="3"/>
  <c r="I247" i="3"/>
  <c r="M245" i="3"/>
  <c r="I245" i="3"/>
  <c r="M244" i="3"/>
  <c r="I244" i="3"/>
  <c r="M243" i="3"/>
  <c r="I243" i="3"/>
  <c r="M242" i="3"/>
  <c r="I242" i="3"/>
  <c r="M241" i="3"/>
  <c r="I241" i="3"/>
  <c r="M240" i="3"/>
  <c r="I240" i="3"/>
  <c r="M238" i="3"/>
  <c r="I238" i="3"/>
  <c r="M237" i="3"/>
  <c r="I237" i="3"/>
  <c r="M236" i="3"/>
  <c r="I236" i="3"/>
  <c r="M235" i="3"/>
  <c r="I235" i="3"/>
  <c r="M234" i="3"/>
  <c r="I234" i="3"/>
  <c r="M233" i="3"/>
  <c r="I233" i="3"/>
  <c r="M232" i="3"/>
  <c r="I232" i="3"/>
  <c r="M231" i="3"/>
  <c r="I231" i="3"/>
  <c r="M230" i="3"/>
  <c r="I230" i="3"/>
  <c r="M228" i="3"/>
  <c r="I228" i="3"/>
  <c r="M227" i="3"/>
  <c r="I227" i="3"/>
  <c r="M226" i="3"/>
  <c r="I226" i="3"/>
  <c r="M225" i="3"/>
  <c r="I225" i="3"/>
  <c r="M224" i="3"/>
  <c r="I224" i="3"/>
  <c r="M223" i="3"/>
  <c r="I223" i="3"/>
  <c r="M222" i="3"/>
  <c r="I222" i="3"/>
  <c r="M220" i="3"/>
  <c r="I220" i="3"/>
  <c r="M219" i="3"/>
  <c r="I219" i="3"/>
  <c r="M218" i="3"/>
  <c r="I218" i="3"/>
  <c r="M217" i="3"/>
  <c r="I217" i="3"/>
  <c r="M216" i="3"/>
  <c r="I216" i="3"/>
  <c r="M215" i="3"/>
  <c r="I215" i="3"/>
  <c r="M214" i="3"/>
  <c r="I214" i="3"/>
  <c r="M213" i="3"/>
  <c r="I213" i="3"/>
  <c r="M211" i="3"/>
  <c r="I211" i="3"/>
  <c r="M210" i="3"/>
  <c r="I210" i="3"/>
  <c r="M209" i="3"/>
  <c r="I209" i="3"/>
  <c r="M208" i="3"/>
  <c r="I208" i="3"/>
  <c r="M207" i="3"/>
  <c r="I207" i="3"/>
  <c r="M206" i="3"/>
  <c r="I206" i="3"/>
  <c r="M205" i="3"/>
  <c r="I205" i="3"/>
  <c r="M203" i="3"/>
  <c r="I203" i="3"/>
  <c r="M202" i="3"/>
  <c r="I202" i="3"/>
  <c r="M201" i="3"/>
  <c r="I201" i="3"/>
  <c r="M200" i="3"/>
  <c r="I200" i="3"/>
  <c r="M199" i="3"/>
  <c r="I199" i="3"/>
  <c r="M198" i="3"/>
  <c r="I198" i="3"/>
  <c r="M197" i="3"/>
  <c r="I197" i="3"/>
  <c r="M196" i="3"/>
  <c r="I196" i="3"/>
  <c r="M194" i="3"/>
  <c r="I194" i="3"/>
  <c r="M193" i="3"/>
  <c r="I193" i="3"/>
  <c r="M192" i="3"/>
  <c r="I192" i="3"/>
  <c r="M191" i="3"/>
  <c r="I191" i="3"/>
  <c r="M190" i="3"/>
  <c r="I190" i="3"/>
  <c r="M189" i="3"/>
  <c r="I189" i="3"/>
  <c r="M188" i="3"/>
  <c r="I188" i="3"/>
  <c r="M187" i="3"/>
  <c r="I187" i="3"/>
  <c r="M185" i="3"/>
  <c r="I185" i="3"/>
  <c r="M184" i="3"/>
  <c r="I184" i="3"/>
  <c r="M183" i="3"/>
  <c r="I183" i="3"/>
  <c r="M182" i="3"/>
  <c r="I182" i="3"/>
  <c r="M181" i="3"/>
  <c r="I181" i="3"/>
  <c r="M180" i="3"/>
  <c r="I180" i="3"/>
  <c r="M179" i="3"/>
  <c r="I179" i="3"/>
  <c r="M178" i="3"/>
  <c r="I178" i="3"/>
  <c r="M177" i="3"/>
  <c r="I177" i="3"/>
  <c r="M176" i="3"/>
  <c r="I176" i="3"/>
  <c r="M175" i="3"/>
  <c r="I175" i="3"/>
  <c r="M173" i="3"/>
  <c r="I173" i="3"/>
  <c r="M172" i="3"/>
  <c r="I172" i="3"/>
  <c r="M171" i="3"/>
  <c r="I171" i="3"/>
  <c r="M170" i="3"/>
  <c r="I170" i="3"/>
  <c r="M169" i="3"/>
  <c r="I169" i="3"/>
  <c r="M168" i="3"/>
  <c r="I168" i="3"/>
  <c r="M167" i="3"/>
  <c r="I167" i="3"/>
  <c r="M166" i="3"/>
  <c r="I166" i="3"/>
  <c r="M164" i="3"/>
  <c r="I164" i="3"/>
  <c r="M163" i="3"/>
  <c r="I163" i="3"/>
  <c r="M162" i="3"/>
  <c r="I162" i="3"/>
  <c r="M161" i="3"/>
  <c r="I161" i="3"/>
  <c r="M160" i="3"/>
  <c r="I160" i="3"/>
  <c r="M159" i="3"/>
  <c r="I159" i="3"/>
  <c r="M157" i="3"/>
  <c r="I157" i="3"/>
  <c r="M156" i="3"/>
  <c r="I156" i="3"/>
  <c r="M155" i="3"/>
  <c r="I155" i="3"/>
  <c r="M154" i="3"/>
  <c r="I154" i="3"/>
  <c r="M153" i="3"/>
  <c r="I153" i="3"/>
  <c r="M152" i="3"/>
  <c r="I152" i="3"/>
  <c r="M151" i="3"/>
  <c r="I151" i="3"/>
  <c r="M150" i="3"/>
  <c r="I150" i="3"/>
  <c r="M149" i="3"/>
  <c r="I149" i="3"/>
  <c r="M147" i="3"/>
  <c r="I147" i="3"/>
  <c r="M146" i="3"/>
  <c r="I146" i="3"/>
  <c r="M145" i="3"/>
  <c r="I145" i="3"/>
  <c r="M144" i="3"/>
  <c r="I144" i="3"/>
  <c r="M143" i="3"/>
  <c r="I143" i="3"/>
  <c r="M142" i="3"/>
  <c r="I142" i="3"/>
  <c r="M141" i="3"/>
  <c r="I141" i="3"/>
  <c r="M139" i="3"/>
  <c r="I139" i="3"/>
  <c r="M138" i="3"/>
  <c r="I138" i="3"/>
  <c r="M137" i="3"/>
  <c r="I137" i="3"/>
  <c r="M136" i="3"/>
  <c r="I136" i="3"/>
  <c r="M135" i="3"/>
  <c r="I135" i="3"/>
  <c r="M134" i="3"/>
  <c r="I134" i="3"/>
  <c r="M133" i="3"/>
  <c r="I133" i="3"/>
  <c r="M132" i="3"/>
  <c r="I132" i="3"/>
  <c r="M130" i="3"/>
  <c r="I130" i="3"/>
  <c r="M129" i="3"/>
  <c r="I129" i="3"/>
  <c r="M128" i="3"/>
  <c r="I128" i="3"/>
  <c r="M127" i="3"/>
  <c r="I127" i="3"/>
  <c r="M126" i="3"/>
  <c r="I126" i="3"/>
  <c r="M125" i="3"/>
  <c r="I125" i="3"/>
  <c r="M124" i="3"/>
  <c r="I124" i="3"/>
  <c r="M123" i="3"/>
  <c r="I123" i="3"/>
  <c r="M122" i="3"/>
  <c r="I122" i="3"/>
  <c r="M119" i="3"/>
  <c r="I119" i="3"/>
  <c r="M118" i="3"/>
  <c r="I118" i="3"/>
  <c r="M117" i="3"/>
  <c r="I117" i="3"/>
  <c r="M116" i="3"/>
  <c r="I116" i="3"/>
  <c r="M115" i="3"/>
  <c r="I115" i="3"/>
  <c r="M114" i="3"/>
  <c r="I114" i="3"/>
  <c r="M112" i="3"/>
  <c r="I112" i="3"/>
  <c r="M111" i="3"/>
  <c r="I111" i="3"/>
  <c r="M110" i="3"/>
  <c r="I110" i="3"/>
  <c r="M109" i="3"/>
  <c r="I109" i="3"/>
  <c r="M108" i="3"/>
  <c r="I108" i="3"/>
  <c r="M107" i="3"/>
  <c r="I107" i="3"/>
  <c r="M106" i="3"/>
  <c r="I106" i="3"/>
  <c r="M104" i="3"/>
  <c r="I104" i="3"/>
  <c r="M103" i="3"/>
  <c r="I103" i="3"/>
  <c r="M102" i="3"/>
  <c r="I102" i="3"/>
  <c r="M101" i="3"/>
  <c r="I101" i="3"/>
  <c r="M100" i="3"/>
  <c r="I100" i="3"/>
  <c r="M99" i="3"/>
  <c r="I99" i="3"/>
  <c r="M98" i="3"/>
  <c r="I98" i="3"/>
  <c r="M97" i="3"/>
  <c r="I97" i="3"/>
  <c r="M96" i="3"/>
  <c r="I96" i="3"/>
  <c r="M95" i="3"/>
  <c r="I95" i="3"/>
  <c r="M94" i="3"/>
  <c r="I94" i="3"/>
  <c r="M92" i="3"/>
  <c r="I92" i="3"/>
  <c r="M91" i="3"/>
  <c r="I91" i="3"/>
  <c r="M90" i="3"/>
  <c r="I90" i="3"/>
  <c r="M89" i="3"/>
  <c r="I89" i="3"/>
  <c r="M88" i="3"/>
  <c r="I88" i="3"/>
  <c r="M87" i="3"/>
  <c r="I87" i="3"/>
  <c r="M86" i="3"/>
  <c r="I86" i="3"/>
  <c r="M85" i="3"/>
  <c r="I85" i="3"/>
  <c r="M84" i="3"/>
  <c r="I84" i="3"/>
  <c r="M83" i="3"/>
  <c r="I83" i="3"/>
  <c r="M81" i="3"/>
  <c r="I81" i="3"/>
  <c r="M80" i="3"/>
  <c r="I80" i="3"/>
  <c r="M79" i="3"/>
  <c r="I79" i="3"/>
  <c r="M78" i="3"/>
  <c r="I78" i="3"/>
  <c r="M77" i="3"/>
  <c r="I77" i="3"/>
  <c r="M76" i="3"/>
  <c r="I76" i="3"/>
  <c r="M75" i="3"/>
  <c r="I75" i="3"/>
  <c r="M74" i="3"/>
  <c r="I74" i="3"/>
  <c r="M73" i="3"/>
  <c r="I73" i="3"/>
  <c r="M71" i="3"/>
  <c r="I71" i="3"/>
  <c r="M70" i="3"/>
  <c r="I70" i="3"/>
  <c r="M69" i="3"/>
  <c r="I69" i="3"/>
  <c r="M68" i="3"/>
  <c r="I68" i="3"/>
  <c r="M67" i="3"/>
  <c r="I67" i="3"/>
  <c r="M66" i="3"/>
  <c r="I66" i="3"/>
  <c r="M65" i="3"/>
  <c r="I65" i="3"/>
  <c r="M63" i="3"/>
  <c r="I63" i="3"/>
  <c r="M62" i="3"/>
  <c r="I62" i="3"/>
  <c r="M61" i="3"/>
  <c r="I61" i="3"/>
  <c r="M60" i="3"/>
  <c r="I60" i="3"/>
  <c r="M59" i="3"/>
  <c r="I59" i="3"/>
  <c r="M58" i="3"/>
  <c r="I58" i="3"/>
  <c r="M57" i="3"/>
  <c r="I57" i="3"/>
  <c r="M56" i="3"/>
  <c r="I56" i="3"/>
  <c r="M55" i="3"/>
  <c r="I55" i="3"/>
  <c r="M54" i="3"/>
  <c r="I54" i="3"/>
  <c r="M53" i="3"/>
  <c r="I53" i="3"/>
  <c r="M52" i="3"/>
  <c r="I52" i="3"/>
  <c r="M51" i="3"/>
  <c r="I51" i="3"/>
  <c r="M49" i="3"/>
  <c r="I49" i="3"/>
  <c r="M48" i="3"/>
  <c r="I48" i="3"/>
  <c r="M47" i="3"/>
  <c r="I47" i="3"/>
  <c r="M46" i="3"/>
  <c r="I46" i="3"/>
  <c r="M45" i="3"/>
  <c r="I45" i="3"/>
  <c r="M44" i="3"/>
  <c r="I44" i="3"/>
  <c r="M43" i="3"/>
  <c r="I43" i="3"/>
  <c r="M42" i="3"/>
  <c r="I42" i="3"/>
  <c r="M41" i="3"/>
  <c r="I41" i="3"/>
  <c r="M40" i="3"/>
  <c r="I40" i="3"/>
  <c r="M39" i="3"/>
  <c r="I39" i="3"/>
  <c r="M37" i="3"/>
  <c r="I37" i="3"/>
  <c r="M36" i="3"/>
  <c r="I36" i="3"/>
  <c r="M35" i="3"/>
  <c r="I35" i="3"/>
  <c r="M34" i="3"/>
  <c r="I34" i="3"/>
  <c r="M33" i="3"/>
  <c r="I33" i="3"/>
  <c r="M32" i="3"/>
  <c r="I32" i="3"/>
  <c r="M31" i="3"/>
  <c r="I31" i="3"/>
  <c r="M30" i="3"/>
  <c r="I30" i="3"/>
  <c r="M29" i="3"/>
  <c r="I29" i="3"/>
  <c r="M28" i="3"/>
  <c r="I28" i="3"/>
  <c r="M27" i="3"/>
  <c r="I27" i="3"/>
  <c r="M25" i="3"/>
  <c r="I25" i="3"/>
  <c r="M24" i="3"/>
  <c r="I24" i="3"/>
  <c r="M23" i="3"/>
  <c r="I23" i="3"/>
  <c r="M22" i="3"/>
  <c r="I22" i="3"/>
  <c r="M21" i="3"/>
  <c r="I21" i="3"/>
  <c r="M20" i="3"/>
  <c r="I20" i="3"/>
  <c r="M19" i="3"/>
  <c r="I19" i="3"/>
  <c r="M18" i="3"/>
  <c r="I18" i="3"/>
  <c r="M17" i="3"/>
  <c r="I17" i="3"/>
  <c r="M16" i="3"/>
  <c r="I16" i="3"/>
  <c r="M14" i="3"/>
  <c r="I14" i="3"/>
  <c r="M13" i="3"/>
  <c r="I13" i="3"/>
  <c r="M12" i="3"/>
  <c r="I12" i="3"/>
  <c r="M11" i="3"/>
  <c r="I11" i="3"/>
  <c r="M10" i="3"/>
  <c r="I10" i="3"/>
  <c r="M9" i="3"/>
  <c r="I9" i="3"/>
  <c r="M8" i="3"/>
  <c r="I8" i="3"/>
  <c r="M7" i="3"/>
  <c r="I7" i="3"/>
  <c r="M6" i="3"/>
  <c r="I6" i="3"/>
  <c r="M5" i="3"/>
  <c r="I5" i="3"/>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413" i="1" s="1"/>
  <c r="F385" i="1"/>
  <c r="F384" i="1"/>
  <c r="F383" i="1"/>
  <c r="F382" i="1"/>
  <c r="F381" i="1"/>
  <c r="F380" i="1"/>
  <c r="F379" i="1"/>
  <c r="F378" i="1"/>
  <c r="F377" i="1"/>
  <c r="F376" i="1"/>
  <c r="F375" i="1"/>
  <c r="F374" i="1"/>
  <c r="F373" i="1"/>
  <c r="F372" i="1"/>
  <c r="F371" i="1"/>
  <c r="F368" i="1"/>
  <c r="F367" i="1"/>
  <c r="F366" i="1"/>
  <c r="F365" i="1"/>
  <c r="F364" i="1"/>
  <c r="F363" i="1"/>
  <c r="F362" i="1"/>
  <c r="F361" i="1"/>
  <c r="F360" i="1"/>
  <c r="F359" i="1"/>
  <c r="F358" i="1"/>
  <c r="F357" i="1"/>
  <c r="F356" i="1"/>
  <c r="F355" i="1"/>
  <c r="F354" i="1"/>
  <c r="F353" i="1"/>
  <c r="F352" i="1"/>
  <c r="F351" i="1"/>
  <c r="F350" i="1"/>
  <c r="F369" i="1" s="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48" i="1" s="1"/>
  <c r="F309" i="1"/>
  <c r="F308" i="1"/>
  <c r="F307" i="1"/>
  <c r="F306" i="1"/>
  <c r="F305" i="1"/>
  <c r="F310" i="1" s="1"/>
  <c r="F302" i="1"/>
  <c r="F301" i="1"/>
  <c r="F300" i="1"/>
  <c r="F303" i="1" s="1"/>
  <c r="F297" i="1"/>
  <c r="F296" i="1"/>
  <c r="F295" i="1"/>
  <c r="F294" i="1"/>
  <c r="F293" i="1"/>
  <c r="F298" i="1" s="1"/>
  <c r="F290" i="1"/>
  <c r="F289" i="1"/>
  <c r="F288" i="1"/>
  <c r="F291" i="1" s="1"/>
  <c r="F285" i="1"/>
  <c r="F284" i="1"/>
  <c r="F283" i="1"/>
  <c r="F282" i="1"/>
  <c r="F281" i="1"/>
  <c r="F280" i="1"/>
  <c r="F279" i="1"/>
  <c r="F286" i="1" s="1"/>
  <c r="F276" i="1"/>
  <c r="F275" i="1"/>
  <c r="F274" i="1"/>
  <c r="F273" i="1"/>
  <c r="F277" i="1" s="1"/>
  <c r="F267" i="1"/>
  <c r="F266" i="1"/>
  <c r="F268" i="1" s="1"/>
  <c r="F263" i="1"/>
  <c r="F264" i="1" s="1"/>
  <c r="F260" i="1"/>
  <c r="F259" i="1"/>
  <c r="F258" i="1"/>
  <c r="F257" i="1"/>
  <c r="F256" i="1"/>
  <c r="F255" i="1"/>
  <c r="F254" i="1"/>
  <c r="F261" i="1" s="1"/>
  <c r="F251" i="1"/>
  <c r="F250" i="1"/>
  <c r="F249" i="1"/>
  <c r="F248" i="1"/>
  <c r="F247" i="1"/>
  <c r="F246" i="1"/>
  <c r="F252" i="1" s="1"/>
  <c r="F243" i="1"/>
  <c r="F242" i="1"/>
  <c r="F241" i="1"/>
  <c r="F240" i="1"/>
  <c r="F244" i="1" s="1"/>
  <c r="F237" i="1"/>
  <c r="F236" i="1"/>
  <c r="F235" i="1"/>
  <c r="F238" i="1" s="1"/>
  <c r="F229" i="1"/>
  <c r="F228" i="1"/>
  <c r="F230" i="1" s="1"/>
  <c r="F225" i="1"/>
  <c r="F226" i="1" s="1"/>
  <c r="F222" i="1"/>
  <c r="F221" i="1"/>
  <c r="F220" i="1"/>
  <c r="F219" i="1"/>
  <c r="F218" i="1"/>
  <c r="F217" i="1"/>
  <c r="F216" i="1"/>
  <c r="F223" i="1" s="1"/>
  <c r="F213" i="1"/>
  <c r="F212" i="1"/>
  <c r="F211" i="1"/>
  <c r="F214" i="1" s="1"/>
  <c r="F208" i="1"/>
  <c r="F207" i="1"/>
  <c r="F206" i="1"/>
  <c r="F205" i="1"/>
  <c r="F204" i="1"/>
  <c r="F203" i="1"/>
  <c r="F209" i="1" s="1"/>
  <c r="F200" i="1"/>
  <c r="F199" i="1"/>
  <c r="F201" i="1" s="1"/>
  <c r="F196" i="1"/>
  <c r="F195" i="1"/>
  <c r="F194" i="1"/>
  <c r="F193" i="1"/>
  <c r="F197" i="1" s="1"/>
  <c r="F190" i="1"/>
  <c r="F189" i="1"/>
  <c r="F188" i="1"/>
  <c r="F187" i="1"/>
  <c r="F186" i="1"/>
  <c r="F191" i="1" s="1"/>
  <c r="F180" i="1"/>
  <c r="F179" i="1"/>
  <c r="F181" i="1" s="1"/>
  <c r="F176" i="1"/>
  <c r="F175" i="1"/>
  <c r="F174" i="1"/>
  <c r="F173" i="1"/>
  <c r="F172" i="1"/>
  <c r="F171" i="1"/>
  <c r="F170" i="1"/>
  <c r="F169" i="1"/>
  <c r="F177" i="1" s="1"/>
  <c r="F166" i="1"/>
  <c r="F165" i="1"/>
  <c r="F164" i="1"/>
  <c r="F163" i="1"/>
  <c r="F162" i="1"/>
  <c r="F161" i="1"/>
  <c r="F160" i="1"/>
  <c r="F159" i="1"/>
  <c r="F158" i="1"/>
  <c r="F157" i="1"/>
  <c r="F156" i="1"/>
  <c r="F167" i="1" s="1"/>
  <c r="F153" i="1"/>
  <c r="F152" i="1"/>
  <c r="F151" i="1"/>
  <c r="F150" i="1"/>
  <c r="F154" i="1" s="1"/>
  <c r="F147" i="1"/>
  <c r="F146" i="1"/>
  <c r="F145" i="1"/>
  <c r="F144" i="1"/>
  <c r="F143" i="1"/>
  <c r="F142" i="1"/>
  <c r="F148" i="1" s="1"/>
  <c r="F139" i="1"/>
  <c r="F138" i="1"/>
  <c r="F140" i="1" s="1"/>
  <c r="F135" i="1"/>
  <c r="F134" i="1"/>
  <c r="F133" i="1"/>
  <c r="F132" i="1"/>
  <c r="F136" i="1" s="1"/>
  <c r="F129" i="1"/>
  <c r="F128" i="1"/>
  <c r="F127" i="1"/>
  <c r="F126" i="1"/>
  <c r="F125" i="1"/>
  <c r="F124" i="1"/>
  <c r="F123" i="1"/>
  <c r="F130" i="1" s="1"/>
  <c r="F117" i="1"/>
  <c r="F116" i="1"/>
  <c r="F115" i="1"/>
  <c r="F118" i="1" s="1"/>
  <c r="F112" i="1"/>
  <c r="F113" i="1" s="1"/>
  <c r="F109" i="1"/>
  <c r="F108" i="1"/>
  <c r="F107" i="1"/>
  <c r="F106" i="1"/>
  <c r="F105" i="1"/>
  <c r="F110" i="1" s="1"/>
  <c r="F102" i="1"/>
  <c r="F101" i="1"/>
  <c r="F100" i="1"/>
  <c r="F99" i="1"/>
  <c r="F98" i="1"/>
  <c r="F103" i="1" s="1"/>
  <c r="F95" i="1"/>
  <c r="F94" i="1"/>
  <c r="F93" i="1"/>
  <c r="F96" i="1" s="1"/>
  <c r="F90" i="1"/>
  <c r="F89" i="1"/>
  <c r="F88" i="1"/>
  <c r="F91" i="1" s="1"/>
  <c r="F85" i="1"/>
  <c r="F84" i="1"/>
  <c r="F83" i="1"/>
  <c r="F86" i="1" s="1"/>
  <c r="F80" i="1"/>
  <c r="F79" i="1"/>
  <c r="F78" i="1"/>
  <c r="F77" i="1"/>
  <c r="F81" i="1" s="1"/>
  <c r="F74" i="1"/>
  <c r="F73" i="1"/>
  <c r="F75" i="1" s="1"/>
  <c r="F70" i="1"/>
  <c r="F69" i="1"/>
  <c r="F71" i="1" s="1"/>
  <c r="F66" i="1"/>
  <c r="F65" i="1"/>
  <c r="F64" i="1"/>
  <c r="F63" i="1"/>
  <c r="F67" i="1" s="1"/>
  <c r="F60" i="1"/>
  <c r="F59" i="1"/>
  <c r="F58" i="1"/>
  <c r="F57" i="1"/>
  <c r="F56" i="1"/>
  <c r="F61" i="1" s="1"/>
  <c r="F53" i="1"/>
  <c r="F52" i="1"/>
  <c r="F51" i="1"/>
  <c r="F50" i="1"/>
  <c r="F49" i="1"/>
  <c r="F48" i="1"/>
  <c r="F47" i="1"/>
  <c r="F46" i="1"/>
  <c r="F45" i="1"/>
  <c r="F54" i="1" s="1"/>
  <c r="F42" i="1"/>
  <c r="F41" i="1"/>
  <c r="F40" i="1"/>
  <c r="F39" i="1"/>
  <c r="F38" i="1"/>
  <c r="F37" i="1"/>
  <c r="F43" i="1" s="1"/>
  <c r="F34" i="1"/>
  <c r="F33" i="1"/>
  <c r="F32" i="1"/>
  <c r="F31" i="1"/>
  <c r="F30" i="1"/>
  <c r="F35" i="1" s="1"/>
  <c r="F27" i="1"/>
  <c r="F26" i="1"/>
  <c r="F25" i="1"/>
  <c r="F24" i="1"/>
  <c r="F23" i="1"/>
  <c r="F22" i="1"/>
  <c r="F28" i="1" s="1"/>
  <c r="F19" i="1"/>
  <c r="F18" i="1"/>
  <c r="F17" i="1"/>
  <c r="F16" i="1"/>
  <c r="F15" i="1"/>
  <c r="F14" i="1"/>
  <c r="F20" i="1" s="1"/>
  <c r="F11" i="1"/>
  <c r="F10" i="1"/>
  <c r="F9" i="1"/>
  <c r="F8" i="1"/>
  <c r="F7" i="1"/>
  <c r="F12" i="1" s="1"/>
  <c r="N264" i="4"/>
  <c r="K264" i="4"/>
  <c r="N263" i="4"/>
  <c r="K263" i="4"/>
  <c r="N259" i="4"/>
  <c r="K259" i="4"/>
  <c r="N258" i="4"/>
  <c r="K258" i="4"/>
  <c r="N257" i="4"/>
  <c r="K257" i="4"/>
  <c r="N256" i="4"/>
  <c r="K256" i="4"/>
  <c r="N255" i="4"/>
  <c r="K255" i="4"/>
  <c r="N254" i="4"/>
  <c r="K254" i="4"/>
  <c r="N253" i="4"/>
  <c r="K253" i="4"/>
  <c r="N252" i="4"/>
  <c r="K252" i="4"/>
  <c r="N251" i="4"/>
  <c r="K251" i="4"/>
  <c r="N250" i="4"/>
  <c r="K250" i="4"/>
  <c r="N249" i="4"/>
  <c r="K249" i="4"/>
  <c r="N248" i="4"/>
  <c r="K248" i="4"/>
  <c r="N247" i="4"/>
  <c r="K247" i="4"/>
  <c r="N246" i="4"/>
  <c r="K246" i="4"/>
  <c r="N245" i="4"/>
  <c r="K245" i="4"/>
  <c r="N244" i="4"/>
  <c r="K244" i="4"/>
  <c r="N243" i="4"/>
  <c r="K243" i="4"/>
  <c r="N242" i="4"/>
  <c r="K242" i="4"/>
  <c r="N241" i="4"/>
  <c r="K241" i="4"/>
  <c r="N240" i="4"/>
  <c r="K240" i="4"/>
  <c r="N239" i="4"/>
  <c r="K239" i="4"/>
  <c r="N238" i="4"/>
  <c r="K238" i="4"/>
  <c r="N237" i="4"/>
  <c r="K237" i="4"/>
  <c r="N236" i="4"/>
  <c r="K236" i="4"/>
  <c r="N235" i="4"/>
  <c r="K235" i="4"/>
  <c r="N234" i="4"/>
  <c r="K234" i="4"/>
  <c r="N233" i="4"/>
  <c r="K233" i="4"/>
  <c r="N232" i="4"/>
  <c r="K232" i="4"/>
  <c r="N231" i="4"/>
  <c r="K231" i="4"/>
  <c r="N230" i="4"/>
  <c r="K230" i="4"/>
  <c r="N229" i="4"/>
  <c r="K229" i="4"/>
  <c r="N228" i="4"/>
  <c r="K228" i="4"/>
  <c r="N227" i="4"/>
  <c r="K227" i="4"/>
  <c r="N226" i="4"/>
  <c r="K226" i="4"/>
  <c r="N225" i="4"/>
  <c r="K225" i="4"/>
  <c r="N224" i="4"/>
  <c r="K224" i="4"/>
  <c r="N223" i="4"/>
  <c r="K223" i="4"/>
  <c r="N222" i="4"/>
  <c r="K222" i="4"/>
  <c r="N221" i="4"/>
  <c r="K221" i="4"/>
  <c r="N220" i="4"/>
  <c r="K220" i="4"/>
  <c r="N219" i="4"/>
  <c r="K219" i="4"/>
  <c r="N218" i="4"/>
  <c r="K218" i="4"/>
  <c r="N217" i="4"/>
  <c r="K217" i="4"/>
  <c r="N216" i="4"/>
  <c r="K216" i="4"/>
  <c r="N215" i="4"/>
  <c r="K215" i="4"/>
  <c r="N214" i="4"/>
  <c r="K214" i="4"/>
  <c r="N213" i="4"/>
  <c r="K213" i="4"/>
  <c r="N212" i="4"/>
  <c r="K212" i="4"/>
  <c r="N211" i="4"/>
  <c r="K211" i="4"/>
  <c r="N210" i="4"/>
  <c r="K210" i="4"/>
  <c r="N209" i="4"/>
  <c r="K209" i="4"/>
  <c r="N208" i="4"/>
  <c r="K208" i="4"/>
  <c r="N207" i="4"/>
  <c r="K207" i="4"/>
  <c r="N206" i="4"/>
  <c r="K206" i="4"/>
  <c r="N205" i="4"/>
  <c r="K205" i="4"/>
  <c r="N204" i="4"/>
  <c r="K204" i="4"/>
  <c r="N203" i="4"/>
  <c r="K203" i="4"/>
  <c r="N202" i="4"/>
  <c r="K202" i="4"/>
  <c r="N201" i="4"/>
  <c r="K201" i="4"/>
  <c r="N200" i="4"/>
  <c r="K200" i="4"/>
  <c r="N199" i="4"/>
  <c r="K199" i="4"/>
  <c r="N198" i="4"/>
  <c r="K198" i="4"/>
  <c r="N197" i="4"/>
  <c r="K197" i="4"/>
  <c r="N196" i="4"/>
  <c r="K196" i="4"/>
  <c r="N195" i="4"/>
  <c r="K195" i="4"/>
  <c r="N194" i="4"/>
  <c r="K194" i="4"/>
  <c r="N193" i="4"/>
  <c r="K193" i="4"/>
  <c r="N192" i="4"/>
  <c r="K192" i="4"/>
  <c r="N191" i="4"/>
  <c r="K191" i="4"/>
  <c r="N190" i="4"/>
  <c r="K190" i="4"/>
  <c r="N189" i="4"/>
  <c r="K189" i="4"/>
  <c r="N188" i="4"/>
  <c r="K188" i="4"/>
  <c r="N187" i="4"/>
  <c r="K187" i="4"/>
  <c r="N186" i="4"/>
  <c r="K186" i="4"/>
  <c r="N185" i="4"/>
  <c r="K185" i="4"/>
  <c r="N184" i="4"/>
  <c r="K184" i="4"/>
  <c r="N183" i="4"/>
  <c r="K183" i="4"/>
  <c r="N182" i="4"/>
  <c r="K182" i="4"/>
  <c r="N181" i="4"/>
  <c r="K181" i="4"/>
  <c r="N180" i="4"/>
  <c r="K180" i="4"/>
  <c r="N179" i="4"/>
  <c r="K179" i="4"/>
  <c r="N178" i="4"/>
  <c r="K178" i="4"/>
  <c r="N177" i="4"/>
  <c r="K177" i="4"/>
  <c r="N176" i="4"/>
  <c r="K176" i="4"/>
  <c r="N175" i="4"/>
  <c r="K175" i="4"/>
  <c r="N174" i="4"/>
  <c r="K174" i="4"/>
  <c r="N173" i="4"/>
  <c r="K173" i="4"/>
  <c r="N172" i="4"/>
  <c r="K172" i="4"/>
  <c r="N171" i="4"/>
  <c r="K171" i="4"/>
  <c r="N170" i="4"/>
  <c r="K170" i="4"/>
  <c r="N169" i="4"/>
  <c r="K169" i="4"/>
  <c r="N168" i="4"/>
  <c r="K168" i="4"/>
  <c r="N167" i="4"/>
  <c r="K167" i="4"/>
  <c r="N166" i="4"/>
  <c r="K166" i="4"/>
  <c r="N165" i="4"/>
  <c r="K165" i="4"/>
  <c r="N164" i="4"/>
  <c r="K164" i="4"/>
  <c r="N163" i="4"/>
  <c r="K163" i="4"/>
  <c r="N162" i="4"/>
  <c r="K162" i="4"/>
  <c r="N161" i="4"/>
  <c r="K161" i="4"/>
  <c r="N160" i="4"/>
  <c r="K160" i="4"/>
  <c r="N159" i="4"/>
  <c r="K159" i="4"/>
  <c r="N158" i="4"/>
  <c r="K158" i="4"/>
  <c r="N157" i="4"/>
  <c r="K157" i="4"/>
  <c r="N156" i="4"/>
  <c r="K156" i="4"/>
  <c r="N155" i="4"/>
  <c r="K155" i="4"/>
  <c r="N154" i="4"/>
  <c r="K154" i="4"/>
  <c r="N153" i="4"/>
  <c r="K153" i="4"/>
  <c r="N152" i="4"/>
  <c r="K152" i="4"/>
  <c r="N151" i="4"/>
  <c r="K151" i="4"/>
  <c r="N150" i="4"/>
  <c r="K150" i="4"/>
  <c r="N149" i="4"/>
  <c r="K149" i="4"/>
  <c r="N148" i="4"/>
  <c r="K148" i="4"/>
  <c r="N147" i="4"/>
  <c r="K147" i="4"/>
  <c r="N146" i="4"/>
  <c r="K146" i="4"/>
  <c r="N145" i="4"/>
  <c r="K145" i="4"/>
  <c r="N144" i="4"/>
  <c r="K144" i="4"/>
  <c r="N143" i="4"/>
  <c r="K143" i="4"/>
  <c r="N142" i="4"/>
  <c r="K142" i="4"/>
  <c r="N141" i="4"/>
  <c r="K141" i="4"/>
  <c r="N140" i="4"/>
  <c r="K140" i="4"/>
  <c r="N139" i="4"/>
  <c r="K139" i="4"/>
  <c r="N138" i="4"/>
  <c r="K138" i="4"/>
  <c r="N137" i="4"/>
  <c r="K137" i="4"/>
  <c r="N136" i="4"/>
  <c r="K136" i="4"/>
  <c r="N135" i="4"/>
  <c r="K135" i="4"/>
  <c r="N134" i="4"/>
  <c r="K134" i="4"/>
  <c r="N133" i="4"/>
  <c r="K133" i="4"/>
  <c r="N132" i="4"/>
  <c r="K132" i="4"/>
  <c r="N131" i="4"/>
  <c r="K131" i="4"/>
  <c r="N130" i="4"/>
  <c r="K130" i="4"/>
  <c r="N129" i="4"/>
  <c r="K129" i="4"/>
  <c r="N128" i="4"/>
  <c r="K128" i="4"/>
  <c r="N127" i="4"/>
  <c r="K127" i="4"/>
  <c r="N126" i="4"/>
  <c r="K126" i="4"/>
  <c r="N125" i="4"/>
  <c r="K125" i="4"/>
  <c r="N124" i="4"/>
  <c r="K124" i="4"/>
  <c r="N123" i="4"/>
  <c r="K123" i="4"/>
  <c r="N122" i="4"/>
  <c r="K122" i="4"/>
  <c r="N121" i="4"/>
  <c r="K121" i="4"/>
  <c r="N120" i="4"/>
  <c r="K120" i="4"/>
  <c r="N119" i="4"/>
  <c r="K119" i="4"/>
  <c r="N118" i="4"/>
  <c r="K118" i="4"/>
  <c r="N117" i="4"/>
  <c r="K117" i="4"/>
  <c r="N116" i="4"/>
  <c r="K116" i="4"/>
  <c r="N115" i="4"/>
  <c r="K115" i="4"/>
  <c r="N114" i="4"/>
  <c r="K114" i="4"/>
  <c r="N113" i="4"/>
  <c r="K113" i="4"/>
  <c r="N112" i="4"/>
  <c r="K112" i="4"/>
  <c r="N111" i="4"/>
  <c r="K111" i="4"/>
  <c r="N110" i="4"/>
  <c r="K110" i="4"/>
  <c r="N109" i="4"/>
  <c r="K109" i="4"/>
  <c r="N108" i="4"/>
  <c r="K108" i="4"/>
  <c r="N107" i="4"/>
  <c r="K107" i="4"/>
  <c r="N106" i="4"/>
  <c r="K106" i="4"/>
  <c r="N105" i="4"/>
  <c r="K105" i="4"/>
  <c r="N104" i="4"/>
  <c r="K104" i="4"/>
  <c r="N103" i="4"/>
  <c r="K103" i="4"/>
  <c r="N102" i="4"/>
  <c r="K102" i="4"/>
  <c r="N101" i="4"/>
  <c r="K101" i="4"/>
  <c r="N100" i="4"/>
  <c r="K100" i="4"/>
  <c r="N99" i="4"/>
  <c r="K99" i="4"/>
  <c r="N98" i="4"/>
  <c r="K98" i="4"/>
  <c r="N97" i="4"/>
  <c r="K97" i="4"/>
  <c r="B83" i="4"/>
  <c r="B84" i="4" s="1"/>
  <c r="B85" i="4" s="1"/>
  <c r="B86" i="4" s="1"/>
  <c r="B87" i="4" s="1"/>
  <c r="B88" i="4" s="1"/>
  <c r="B89" i="4" s="1"/>
  <c r="B90" i="4" s="1"/>
  <c r="B91" i="4" s="1"/>
  <c r="B92" i="4" s="1"/>
  <c r="R80" i="4"/>
  <c r="H80" i="4"/>
  <c r="H79" i="4"/>
  <c r="R78" i="4"/>
  <c r="H78" i="4"/>
  <c r="H77" i="4"/>
  <c r="R76" i="4"/>
  <c r="H76" i="4"/>
  <c r="H75" i="4"/>
  <c r="R74" i="4"/>
  <c r="H74" i="4"/>
  <c r="R73" i="4"/>
  <c r="H73" i="4"/>
  <c r="R72" i="4"/>
  <c r="H72" i="4"/>
  <c r="H71" i="4"/>
  <c r="R70" i="4"/>
  <c r="H70" i="4"/>
  <c r="R69" i="4"/>
  <c r="H69" i="4"/>
  <c r="R68" i="4"/>
  <c r="H68" i="4"/>
  <c r="H67" i="4"/>
  <c r="R66" i="4"/>
  <c r="H66" i="4"/>
  <c r="H65" i="4"/>
  <c r="R64" i="4"/>
  <c r="H64" i="4"/>
  <c r="H63" i="4"/>
  <c r="R62" i="4"/>
  <c r="H62" i="4"/>
  <c r="R61" i="4"/>
  <c r="H61" i="4"/>
  <c r="R60" i="4"/>
  <c r="H60" i="4"/>
  <c r="B60" i="4"/>
  <c r="B61" i="4" s="1"/>
  <c r="B62" i="4" s="1"/>
  <c r="B63" i="4" s="1"/>
  <c r="B64" i="4" s="1"/>
  <c r="B65" i="4" s="1"/>
  <c r="B66" i="4" s="1"/>
  <c r="B67" i="4" s="1"/>
  <c r="B68" i="4" s="1"/>
  <c r="B69" i="4" s="1"/>
  <c r="B70" i="4" s="1"/>
  <c r="B71" i="4" s="1"/>
  <c r="B72" i="4" s="1"/>
  <c r="B73" i="4" s="1"/>
  <c r="B74" i="4" s="1"/>
  <c r="B75" i="4" s="1"/>
  <c r="B76" i="4" s="1"/>
  <c r="B77" i="4" s="1"/>
  <c r="B78" i="4" s="1"/>
  <c r="B79" i="4" s="1"/>
  <c r="B80" i="4" s="1"/>
  <c r="B81" i="4" s="1"/>
  <c r="R59" i="4"/>
  <c r="H59" i="4"/>
  <c r="H56" i="4"/>
  <c r="H55" i="4"/>
  <c r="H54" i="4"/>
  <c r="H53" i="4"/>
  <c r="H52" i="4"/>
  <c r="H51" i="4"/>
  <c r="H50" i="4"/>
  <c r="H49" i="4"/>
  <c r="H48" i="4"/>
  <c r="H47" i="4"/>
  <c r="H46" i="4"/>
  <c r="H45" i="4"/>
  <c r="H44" i="4"/>
  <c r="H43" i="4"/>
  <c r="H42" i="4"/>
  <c r="H41" i="4"/>
  <c r="H40" i="4"/>
  <c r="H39" i="4"/>
  <c r="H38" i="4"/>
  <c r="H37" i="4"/>
  <c r="H36" i="4"/>
  <c r="H35" i="4"/>
  <c r="H34" i="4"/>
  <c r="B34" i="4"/>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H33" i="4"/>
  <c r="H30" i="4"/>
  <c r="H29" i="4"/>
  <c r="H28" i="4"/>
  <c r="H27" i="4"/>
  <c r="H26" i="4"/>
  <c r="H25" i="4"/>
  <c r="H24" i="4"/>
  <c r="H23" i="4"/>
  <c r="H22" i="4"/>
  <c r="H21" i="4"/>
  <c r="H20" i="4"/>
  <c r="H19" i="4"/>
  <c r="H18" i="4"/>
  <c r="H17" i="4"/>
  <c r="H16" i="4"/>
  <c r="H15" i="4"/>
  <c r="H14" i="4"/>
  <c r="H13" i="4"/>
  <c r="H12" i="4"/>
  <c r="H11" i="4"/>
  <c r="H10" i="4"/>
  <c r="H9" i="4"/>
  <c r="H7" i="4"/>
  <c r="T147" i="5" l="1"/>
  <c r="U147" i="5" s="1"/>
  <c r="V147" i="5" s="1"/>
  <c r="Z147" i="5" s="1"/>
  <c r="M147" i="5"/>
  <c r="N147" i="5" s="1"/>
  <c r="O147" i="5" s="1"/>
  <c r="Y147" i="5" s="1"/>
  <c r="T146" i="5"/>
  <c r="U146" i="5" s="1"/>
  <c r="V146" i="5" s="1"/>
  <c r="Z146" i="5" s="1"/>
  <c r="M146" i="5"/>
  <c r="N146" i="5" s="1"/>
  <c r="O146" i="5" s="1"/>
  <c r="Y146" i="5" s="1"/>
  <c r="B146" i="5"/>
  <c r="B147" i="5" s="1"/>
  <c r="T129" i="5"/>
  <c r="U129" i="5" s="1"/>
  <c r="V129" i="5" s="1"/>
  <c r="Z129" i="5" s="1"/>
  <c r="M129" i="5"/>
  <c r="N129" i="5" s="1"/>
  <c r="O129" i="5" s="1"/>
  <c r="Y129" i="5" s="1"/>
  <c r="T130" i="5"/>
  <c r="U130" i="5" s="1"/>
  <c r="V130" i="5" s="1"/>
  <c r="Z130" i="5" s="1"/>
  <c r="M130" i="5"/>
  <c r="N130" i="5" s="1"/>
  <c r="O130" i="5" s="1"/>
  <c r="Y130" i="5" s="1"/>
  <c r="T128" i="5"/>
  <c r="U128" i="5" s="1"/>
  <c r="V128" i="5" s="1"/>
  <c r="Z128" i="5" s="1"/>
  <c r="M128" i="5"/>
  <c r="N128" i="5" s="1"/>
  <c r="O128" i="5" s="1"/>
  <c r="Y128" i="5" s="1"/>
  <c r="T127" i="5"/>
  <c r="U127" i="5" s="1"/>
  <c r="V127" i="5" s="1"/>
  <c r="Z127" i="5" s="1"/>
  <c r="M127" i="5"/>
  <c r="N127" i="5" s="1"/>
  <c r="O127" i="5" s="1"/>
  <c r="Y127" i="5" s="1"/>
  <c r="T126" i="5"/>
  <c r="U126" i="5" s="1"/>
  <c r="V126" i="5" s="1"/>
  <c r="Z126" i="5" s="1"/>
  <c r="M126" i="5"/>
  <c r="N126" i="5" s="1"/>
  <c r="O126" i="5" s="1"/>
  <c r="Y126" i="5" s="1"/>
  <c r="T125" i="5"/>
  <c r="U125" i="5" s="1"/>
  <c r="V125" i="5" s="1"/>
  <c r="Z125" i="5" s="1"/>
  <c r="M125" i="5"/>
  <c r="N125" i="5" s="1"/>
  <c r="O125" i="5" s="1"/>
  <c r="Y125" i="5" s="1"/>
  <c r="T124" i="5"/>
  <c r="U124" i="5" s="1"/>
  <c r="V124" i="5" s="1"/>
  <c r="Z124" i="5" s="1"/>
  <c r="M124" i="5"/>
  <c r="N124" i="5" s="1"/>
  <c r="O124" i="5" s="1"/>
  <c r="Y124" i="5" s="1"/>
  <c r="T123" i="5"/>
  <c r="U123" i="5" s="1"/>
  <c r="V123" i="5" s="1"/>
  <c r="Z123" i="5" s="1"/>
  <c r="M123" i="5"/>
  <c r="N123" i="5" s="1"/>
  <c r="O123" i="5" s="1"/>
  <c r="Y123" i="5" s="1"/>
  <c r="T136" i="5"/>
  <c r="U136" i="5" s="1"/>
  <c r="V136" i="5" s="1"/>
  <c r="Z136" i="5" s="1"/>
  <c r="M136" i="5"/>
  <c r="N136" i="5" s="1"/>
  <c r="O136" i="5" s="1"/>
  <c r="Y136" i="5" s="1"/>
  <c r="T135" i="5"/>
  <c r="U135" i="5" s="1"/>
  <c r="V135" i="5" s="1"/>
  <c r="Z135" i="5" s="1"/>
  <c r="M135" i="5"/>
  <c r="N135" i="5" s="1"/>
  <c r="O135" i="5" s="1"/>
  <c r="Y135" i="5" s="1"/>
  <c r="T134" i="5"/>
  <c r="U134" i="5" s="1"/>
  <c r="V134" i="5" s="1"/>
  <c r="Z134" i="5" s="1"/>
  <c r="M134" i="5"/>
  <c r="N134" i="5" s="1"/>
  <c r="O134" i="5" s="1"/>
  <c r="Y134" i="5" s="1"/>
  <c r="T109" i="5"/>
  <c r="U109" i="5" s="1"/>
  <c r="V109" i="5" s="1"/>
  <c r="Z109" i="5" s="1"/>
  <c r="M109" i="5"/>
  <c r="N109" i="5" s="1"/>
  <c r="O109" i="5" s="1"/>
  <c r="Y109" i="5" s="1"/>
  <c r="T108" i="5"/>
  <c r="U108" i="5" s="1"/>
  <c r="V108" i="5" s="1"/>
  <c r="Z108" i="5" s="1"/>
  <c r="M108" i="5"/>
  <c r="N108" i="5" s="1"/>
  <c r="O108" i="5" s="1"/>
  <c r="Y108" i="5" s="1"/>
  <c r="T103" i="5"/>
  <c r="U103" i="5" s="1"/>
  <c r="V103" i="5" s="1"/>
  <c r="Z103" i="5" s="1"/>
  <c r="M103" i="5"/>
  <c r="N103" i="5" s="1"/>
  <c r="O103" i="5" s="1"/>
  <c r="Y103" i="5" s="1"/>
  <c r="T102" i="5"/>
  <c r="U102" i="5" s="1"/>
  <c r="V102" i="5" s="1"/>
  <c r="Z102" i="5" s="1"/>
  <c r="M102" i="5"/>
  <c r="N102" i="5" s="1"/>
  <c r="O102" i="5" s="1"/>
  <c r="Y102" i="5" s="1"/>
  <c r="B102" i="5"/>
  <c r="B103" i="5" s="1"/>
  <c r="T100" i="5"/>
  <c r="U100" i="5" s="1"/>
  <c r="V100" i="5" s="1"/>
  <c r="Z100" i="5" s="1"/>
  <c r="M100" i="5"/>
  <c r="N100" i="5" s="1"/>
  <c r="O100" i="5" s="1"/>
  <c r="Y100" i="5" s="1"/>
  <c r="T99" i="5"/>
  <c r="U99" i="5" s="1"/>
  <c r="V99" i="5" s="1"/>
  <c r="Z99" i="5" s="1"/>
  <c r="M99" i="5"/>
  <c r="N99" i="5" s="1"/>
  <c r="O99" i="5" s="1"/>
  <c r="Y99" i="5" s="1"/>
  <c r="B99" i="5"/>
  <c r="B100" i="5" s="1"/>
  <c r="T97" i="5"/>
  <c r="U97" i="5" s="1"/>
  <c r="V97" i="5" s="1"/>
  <c r="Z97" i="5" s="1"/>
  <c r="M97" i="5"/>
  <c r="N97" i="5" s="1"/>
  <c r="O97" i="5" s="1"/>
  <c r="Y97" i="5" s="1"/>
  <c r="T96" i="5"/>
  <c r="U96" i="5" s="1"/>
  <c r="V96" i="5" s="1"/>
  <c r="Z96" i="5" s="1"/>
  <c r="M96" i="5"/>
  <c r="N96" i="5" s="1"/>
  <c r="O96" i="5" s="1"/>
  <c r="Y96" i="5" s="1"/>
  <c r="T95" i="5"/>
  <c r="U95" i="5" s="1"/>
  <c r="V95" i="5" s="1"/>
  <c r="Z95" i="5" s="1"/>
  <c r="M95" i="5"/>
  <c r="N95" i="5" s="1"/>
  <c r="O95" i="5" s="1"/>
  <c r="Y95" i="5" s="1"/>
  <c r="B95" i="5"/>
  <c r="B96" i="5" s="1"/>
  <c r="B97" i="5" s="1"/>
  <c r="T89" i="5"/>
  <c r="U89" i="5" s="1"/>
  <c r="V89" i="5" s="1"/>
  <c r="Z89" i="5" s="1"/>
  <c r="M89" i="5"/>
  <c r="N89" i="5" s="1"/>
  <c r="O89" i="5" s="1"/>
  <c r="Y89" i="5" s="1"/>
  <c r="T90" i="5"/>
  <c r="U90" i="5" s="1"/>
  <c r="V90" i="5" s="1"/>
  <c r="Z90" i="5" s="1"/>
  <c r="M90" i="5"/>
  <c r="N90" i="5" s="1"/>
  <c r="O90" i="5" s="1"/>
  <c r="Y90" i="5" s="1"/>
  <c r="T85" i="5"/>
  <c r="U85" i="5" s="1"/>
  <c r="V85" i="5" s="1"/>
  <c r="Z85" i="5" s="1"/>
  <c r="L85" i="5"/>
  <c r="J85" i="5"/>
  <c r="T84" i="5"/>
  <c r="U84" i="5" s="1"/>
  <c r="V84" i="5" s="1"/>
  <c r="Z84" i="5" s="1"/>
  <c r="M84" i="5"/>
  <c r="N84" i="5" s="1"/>
  <c r="O84" i="5" s="1"/>
  <c r="Y84" i="5" s="1"/>
  <c r="T81" i="5"/>
  <c r="U81" i="5" s="1"/>
  <c r="V81" i="5" s="1"/>
  <c r="Z81" i="5" s="1"/>
  <c r="M81" i="5"/>
  <c r="N81" i="5" s="1"/>
  <c r="O81" i="5" s="1"/>
  <c r="Y81" i="5" s="1"/>
  <c r="B81" i="5"/>
  <c r="T79" i="5"/>
  <c r="U79" i="5" s="1"/>
  <c r="V79" i="5" s="1"/>
  <c r="Z79" i="5" s="1"/>
  <c r="M79" i="5"/>
  <c r="N79" i="5" s="1"/>
  <c r="O79" i="5" s="1"/>
  <c r="Y79" i="5" s="1"/>
  <c r="B79" i="5"/>
  <c r="T69" i="5"/>
  <c r="U69" i="5" s="1"/>
  <c r="V69" i="5" s="1"/>
  <c r="Z69" i="5" s="1"/>
  <c r="M69" i="5"/>
  <c r="N69" i="5" s="1"/>
  <c r="O69" i="5" s="1"/>
  <c r="Y69" i="5" s="1"/>
  <c r="T68" i="5"/>
  <c r="U68" i="5" s="1"/>
  <c r="V68" i="5" s="1"/>
  <c r="M68" i="5"/>
  <c r="N68" i="5" s="1"/>
  <c r="O68" i="5" s="1"/>
  <c r="T67" i="5"/>
  <c r="U67" i="5" s="1"/>
  <c r="V67" i="5" s="1"/>
  <c r="Z67" i="5" s="1"/>
  <c r="M67" i="5"/>
  <c r="N67" i="5" s="1"/>
  <c r="O67" i="5" s="1"/>
  <c r="Y67" i="5" s="1"/>
  <c r="T57" i="5"/>
  <c r="U57" i="5" s="1"/>
  <c r="V57" i="5" s="1"/>
  <c r="Z57" i="5" s="1"/>
  <c r="M57" i="5"/>
  <c r="N57" i="5" s="1"/>
  <c r="O57" i="5" s="1"/>
  <c r="Y57" i="5" s="1"/>
  <c r="T56" i="5"/>
  <c r="U56" i="5" s="1"/>
  <c r="V56" i="5" s="1"/>
  <c r="Z56" i="5" s="1"/>
  <c r="M56" i="5"/>
  <c r="N56" i="5" s="1"/>
  <c r="O56" i="5" s="1"/>
  <c r="Y56" i="5" s="1"/>
  <c r="T55" i="5"/>
  <c r="U55" i="5" s="1"/>
  <c r="V55" i="5" s="1"/>
  <c r="Z55" i="5" s="1"/>
  <c r="M55" i="5"/>
  <c r="N55" i="5" s="1"/>
  <c r="O55" i="5" s="1"/>
  <c r="Y55" i="5" s="1"/>
  <c r="B55" i="5"/>
  <c r="B56" i="5" s="1"/>
  <c r="B57" i="5" s="1"/>
  <c r="T188" i="5"/>
  <c r="T187" i="5"/>
  <c r="T186" i="5"/>
  <c r="T185" i="5"/>
  <c r="T184" i="5"/>
  <c r="T183" i="5"/>
  <c r="T182" i="5"/>
  <c r="T181" i="5"/>
  <c r="T180" i="5"/>
  <c r="T179" i="5"/>
  <c r="T178" i="5"/>
  <c r="T177" i="5"/>
  <c r="T176" i="5"/>
  <c r="T175" i="5"/>
  <c r="T174" i="5"/>
  <c r="T173" i="5"/>
  <c r="T172" i="5"/>
  <c r="T53" i="5"/>
  <c r="U53" i="5" s="1"/>
  <c r="V53" i="5" s="1"/>
  <c r="Z53" i="5" s="1"/>
  <c r="M53" i="5"/>
  <c r="N53" i="5" s="1"/>
  <c r="O53" i="5" s="1"/>
  <c r="Y53" i="5" s="1"/>
  <c r="T52" i="5"/>
  <c r="U52" i="5" s="1"/>
  <c r="V52" i="5" s="1"/>
  <c r="Z52" i="5" s="1"/>
  <c r="M52" i="5"/>
  <c r="N52" i="5" s="1"/>
  <c r="O52" i="5" s="1"/>
  <c r="Y52" i="5" s="1"/>
  <c r="T51" i="5"/>
  <c r="U51" i="5" s="1"/>
  <c r="V51" i="5" s="1"/>
  <c r="Z51" i="5" s="1"/>
  <c r="M51" i="5"/>
  <c r="N51" i="5" s="1"/>
  <c r="O51" i="5" s="1"/>
  <c r="Y51" i="5" s="1"/>
  <c r="B51" i="5"/>
  <c r="B52" i="5" s="1"/>
  <c r="B53" i="5" s="1"/>
  <c r="T32" i="5"/>
  <c r="U32" i="5" s="1"/>
  <c r="V32" i="5" s="1"/>
  <c r="Z32" i="5" s="1"/>
  <c r="M32" i="5"/>
  <c r="N32" i="5" s="1"/>
  <c r="O32" i="5" s="1"/>
  <c r="Y32" i="5" s="1"/>
  <c r="T31" i="5"/>
  <c r="U31" i="5" s="1"/>
  <c r="V31" i="5" s="1"/>
  <c r="Z31" i="5" s="1"/>
  <c r="M31" i="5"/>
  <c r="N31" i="5" s="1"/>
  <c r="O31" i="5" s="1"/>
  <c r="Y31" i="5" s="1"/>
  <c r="T30" i="5"/>
  <c r="U30" i="5" s="1"/>
  <c r="V30" i="5" s="1"/>
  <c r="Z30" i="5" s="1"/>
  <c r="M30" i="5"/>
  <c r="N30" i="5" s="1"/>
  <c r="O30" i="5" s="1"/>
  <c r="Y30" i="5" s="1"/>
  <c r="T340" i="5"/>
  <c r="T339" i="5"/>
  <c r="T338" i="5"/>
  <c r="T337" i="5"/>
  <c r="T336" i="5"/>
  <c r="T335" i="5"/>
  <c r="T334" i="5"/>
  <c r="T333" i="5"/>
  <c r="T332" i="5"/>
  <c r="T331" i="5"/>
  <c r="T330" i="5"/>
  <c r="T329" i="5"/>
  <c r="T328" i="5"/>
  <c r="T327" i="5"/>
  <c r="T326" i="5"/>
  <c r="T325" i="5"/>
  <c r="T324" i="5"/>
  <c r="T323" i="5"/>
  <c r="T322" i="5"/>
  <c r="T321" i="5"/>
  <c r="T320" i="5"/>
  <c r="T319" i="5"/>
  <c r="T318" i="5"/>
  <c r="T317" i="5"/>
  <c r="T316" i="5"/>
  <c r="T315" i="5"/>
  <c r="T314" i="5"/>
  <c r="T313" i="5"/>
  <c r="T312" i="5"/>
  <c r="T311" i="5"/>
  <c r="T310" i="5"/>
  <c r="T309" i="5"/>
  <c r="U309" i="5" s="1"/>
  <c r="V309" i="5" s="1"/>
  <c r="Z309" i="5" s="1"/>
  <c r="T308" i="5"/>
  <c r="U308" i="5" s="1"/>
  <c r="V308" i="5" s="1"/>
  <c r="Z308" i="5" s="1"/>
  <c r="T307" i="5"/>
  <c r="U307" i="5" s="1"/>
  <c r="V307" i="5" s="1"/>
  <c r="Z307" i="5" s="1"/>
  <c r="T306" i="5"/>
  <c r="U306" i="5" s="1"/>
  <c r="V306" i="5" s="1"/>
  <c r="Z306" i="5" s="1"/>
  <c r="T305" i="5"/>
  <c r="U305" i="5" s="1"/>
  <c r="V305" i="5" s="1"/>
  <c r="Z305" i="5" s="1"/>
  <c r="T304" i="5"/>
  <c r="T303" i="5"/>
  <c r="U303" i="5" s="1"/>
  <c r="V303" i="5" s="1"/>
  <c r="Z303" i="5" s="1"/>
  <c r="T302" i="5"/>
  <c r="U302" i="5" s="1"/>
  <c r="V302" i="5" s="1"/>
  <c r="Z302" i="5" s="1"/>
  <c r="T301" i="5"/>
  <c r="U301" i="5" s="1"/>
  <c r="V301" i="5" s="1"/>
  <c r="Z301" i="5" s="1"/>
  <c r="T300" i="5"/>
  <c r="U300" i="5" s="1"/>
  <c r="V300" i="5" s="1"/>
  <c r="Z300" i="5" s="1"/>
  <c r="T299" i="5"/>
  <c r="T298" i="5"/>
  <c r="T297" i="5"/>
  <c r="T296" i="5"/>
  <c r="T295" i="5"/>
  <c r="T294" i="5"/>
  <c r="T293" i="5"/>
  <c r="T292" i="5"/>
  <c r="T290" i="5"/>
  <c r="T289" i="5"/>
  <c r="T288" i="5"/>
  <c r="T287" i="5"/>
  <c r="T171" i="5"/>
  <c r="T170" i="5"/>
  <c r="T169" i="5"/>
  <c r="T168" i="5"/>
  <c r="T167" i="5"/>
  <c r="T166" i="5"/>
  <c r="T165" i="5"/>
  <c r="T164" i="5"/>
  <c r="T163" i="5"/>
  <c r="T162" i="5"/>
  <c r="T161" i="5"/>
  <c r="T160" i="5"/>
  <c r="T159" i="5"/>
  <c r="T158" i="5"/>
  <c r="T157" i="5"/>
  <c r="T156" i="5"/>
  <c r="T155" i="5"/>
  <c r="T154" i="5"/>
  <c r="T16" i="5"/>
  <c r="U16" i="5" s="1"/>
  <c r="V16" i="5" s="1"/>
  <c r="Z16" i="5" s="1"/>
  <c r="M16" i="5"/>
  <c r="N16" i="5" s="1"/>
  <c r="O16" i="5" s="1"/>
  <c r="Y16" i="5" s="1"/>
  <c r="T15" i="5"/>
  <c r="U15" i="5" s="1"/>
  <c r="V15" i="5" s="1"/>
  <c r="Z15" i="5" s="1"/>
  <c r="M15" i="5"/>
  <c r="N15" i="5" s="1"/>
  <c r="O15" i="5" s="1"/>
  <c r="Y15" i="5" s="1"/>
  <c r="T14" i="5"/>
  <c r="U14" i="5" s="1"/>
  <c r="V14" i="5" s="1"/>
  <c r="Z14" i="5" s="1"/>
  <c r="M14" i="5"/>
  <c r="N14" i="5" s="1"/>
  <c r="O14" i="5" s="1"/>
  <c r="Y14" i="5" s="1"/>
  <c r="B14" i="5"/>
  <c r="B15" i="5" s="1"/>
  <c r="B16" i="5" s="1"/>
  <c r="T428" i="5"/>
  <c r="T427" i="5"/>
  <c r="T426" i="5"/>
  <c r="T425" i="5"/>
  <c r="T424" i="5"/>
  <c r="T423" i="5"/>
  <c r="T422" i="5"/>
  <c r="T421" i="5"/>
  <c r="T420" i="5"/>
  <c r="T419" i="5"/>
  <c r="T418" i="5"/>
  <c r="T417" i="5"/>
  <c r="T416" i="5"/>
  <c r="T415" i="5"/>
  <c r="T414" i="5"/>
  <c r="T413" i="5"/>
  <c r="T412" i="5"/>
  <c r="T411" i="5"/>
  <c r="T410" i="5"/>
  <c r="T409" i="5"/>
  <c r="T408" i="5"/>
  <c r="T407" i="5"/>
  <c r="U407" i="5" s="1"/>
  <c r="V407" i="5" s="1"/>
  <c r="Z407" i="5" s="1"/>
  <c r="T406" i="5"/>
  <c r="U406" i="5" s="1"/>
  <c r="V406" i="5" s="1"/>
  <c r="Z406" i="5" s="1"/>
  <c r="T405" i="5"/>
  <c r="U405" i="5" s="1"/>
  <c r="V405" i="5" s="1"/>
  <c r="Z405" i="5" s="1"/>
  <c r="T404" i="5"/>
  <c r="U404" i="5" s="1"/>
  <c r="V404" i="5" s="1"/>
  <c r="Z404" i="5" s="1"/>
  <c r="T403" i="5"/>
  <c r="T402" i="5"/>
  <c r="U402" i="5" s="1"/>
  <c r="V402" i="5" s="1"/>
  <c r="Z402" i="5" s="1"/>
  <c r="T401" i="5"/>
  <c r="U401" i="5" s="1"/>
  <c r="V401" i="5" s="1"/>
  <c r="Z401" i="5" s="1"/>
  <c r="T400" i="5"/>
  <c r="U400" i="5" s="1"/>
  <c r="T399" i="5"/>
  <c r="U408" i="5"/>
  <c r="V408" i="5" s="1"/>
  <c r="Z408" i="5" s="1"/>
  <c r="T398" i="5"/>
  <c r="T397" i="5"/>
  <c r="T396" i="5"/>
  <c r="T256" i="5"/>
  <c r="T255" i="5"/>
  <c r="T254" i="5"/>
  <c r="T253" i="5"/>
  <c r="T252" i="5"/>
  <c r="T251" i="5"/>
  <c r="T250" i="5"/>
  <c r="T249" i="5"/>
  <c r="T248" i="5"/>
  <c r="T247" i="5"/>
  <c r="T246" i="5"/>
  <c r="T245" i="5"/>
  <c r="T244" i="5"/>
  <c r="T243" i="5"/>
  <c r="T242" i="5"/>
  <c r="T241" i="5"/>
  <c r="T240" i="5"/>
  <c r="T239" i="5"/>
  <c r="T238" i="5"/>
  <c r="T237" i="5"/>
  <c r="T236" i="5"/>
  <c r="T235" i="5"/>
  <c r="T234" i="5"/>
  <c r="T233" i="5"/>
  <c r="T232" i="5"/>
  <c r="T231" i="5"/>
  <c r="T230" i="5"/>
  <c r="T229" i="5"/>
  <c r="T228" i="5"/>
  <c r="T227" i="5"/>
  <c r="T226" i="5"/>
  <c r="T225" i="5"/>
  <c r="T224" i="5"/>
  <c r="T223" i="5"/>
  <c r="T222" i="5"/>
  <c r="T221" i="5"/>
  <c r="T220" i="5"/>
  <c r="T219" i="5"/>
  <c r="T218" i="5"/>
  <c r="T217" i="5"/>
  <c r="T216" i="5"/>
  <c r="T215" i="5"/>
  <c r="T214" i="5"/>
  <c r="T213" i="5"/>
  <c r="T212" i="5"/>
  <c r="T211" i="5"/>
  <c r="T210" i="5"/>
  <c r="T209" i="5"/>
  <c r="T208" i="5"/>
  <c r="T207" i="5"/>
  <c r="T206" i="5"/>
  <c r="T205" i="5"/>
  <c r="T204" i="5"/>
  <c r="T203" i="5"/>
  <c r="T202" i="5"/>
  <c r="T201" i="5"/>
  <c r="T200" i="5"/>
  <c r="T199" i="5"/>
  <c r="T198" i="5"/>
  <c r="T197" i="5"/>
  <c r="T196" i="5"/>
  <c r="T195" i="5"/>
  <c r="T194" i="5"/>
  <c r="T193" i="5"/>
  <c r="T192" i="5"/>
  <c r="T191" i="5"/>
  <c r="T190" i="5"/>
  <c r="T189" i="5"/>
  <c r="T47" i="5"/>
  <c r="T46" i="5"/>
  <c r="T45" i="5"/>
  <c r="T44" i="5"/>
  <c r="T43" i="5"/>
  <c r="T42" i="5"/>
  <c r="T41" i="5"/>
  <c r="T39" i="5"/>
  <c r="T38" i="5"/>
  <c r="T37" i="5"/>
  <c r="T36" i="5"/>
  <c r="T35" i="5"/>
  <c r="T34" i="5"/>
  <c r="T395" i="5"/>
  <c r="T394" i="5"/>
  <c r="T393" i="5"/>
  <c r="T392" i="5"/>
  <c r="T391" i="5"/>
  <c r="T390" i="5"/>
  <c r="T389" i="5"/>
  <c r="T388" i="5"/>
  <c r="T387" i="5"/>
  <c r="T386" i="5"/>
  <c r="T385" i="5"/>
  <c r="T384" i="5"/>
  <c r="T383" i="5"/>
  <c r="T382" i="5"/>
  <c r="T381" i="5"/>
  <c r="T380" i="5"/>
  <c r="T379" i="5"/>
  <c r="T360" i="5"/>
  <c r="T359" i="5"/>
  <c r="T358" i="5"/>
  <c r="T357" i="5"/>
  <c r="T356" i="5"/>
  <c r="T355" i="5"/>
  <c r="T40" i="5"/>
  <c r="T33" i="5"/>
  <c r="T29" i="5"/>
  <c r="T28" i="5"/>
  <c r="T27" i="5"/>
  <c r="T26" i="5"/>
  <c r="T25" i="5"/>
  <c r="T24" i="5"/>
  <c r="T22" i="5"/>
  <c r="T21" i="5"/>
  <c r="T20" i="5"/>
  <c r="T19" i="5"/>
  <c r="T18" i="5"/>
  <c r="T13" i="5"/>
  <c r="T12" i="5"/>
  <c r="T361" i="5"/>
  <c r="T354" i="5"/>
  <c r="T353" i="5"/>
  <c r="T352" i="5"/>
  <c r="T351" i="5"/>
  <c r="T350" i="5"/>
  <c r="T349" i="5"/>
  <c r="T348" i="5"/>
  <c r="T347" i="5"/>
  <c r="T346" i="5"/>
  <c r="T345" i="5"/>
  <c r="T344" i="5"/>
  <c r="T343" i="5"/>
  <c r="T342" i="5"/>
  <c r="T341" i="5"/>
  <c r="T496" i="5"/>
  <c r="T495" i="5"/>
  <c r="T494" i="5"/>
  <c r="T493" i="5"/>
  <c r="T492" i="5"/>
  <c r="T491" i="5"/>
  <c r="T490" i="5"/>
  <c r="T489" i="5"/>
  <c r="T488" i="5"/>
  <c r="T487" i="5"/>
  <c r="T486" i="5"/>
  <c r="T485" i="5"/>
  <c r="T484" i="5"/>
  <c r="T483" i="5"/>
  <c r="T482" i="5"/>
  <c r="T481" i="5"/>
  <c r="T480" i="5"/>
  <c r="T479" i="5"/>
  <c r="T478" i="5"/>
  <c r="T477" i="5"/>
  <c r="T476" i="5"/>
  <c r="T475" i="5"/>
  <c r="T474" i="5"/>
  <c r="T473" i="5"/>
  <c r="T472" i="5"/>
  <c r="T471" i="5"/>
  <c r="T470" i="5"/>
  <c r="T469" i="5"/>
  <c r="T468" i="5"/>
  <c r="T467" i="5"/>
  <c r="T466" i="5"/>
  <c r="T465" i="5"/>
  <c r="T464" i="5"/>
  <c r="T463" i="5"/>
  <c r="T462" i="5"/>
  <c r="T461" i="5"/>
  <c r="T460" i="5"/>
  <c r="T459" i="5"/>
  <c r="T458" i="5"/>
  <c r="T457" i="5"/>
  <c r="T456" i="5"/>
  <c r="T455" i="5"/>
  <c r="T454" i="5"/>
  <c r="T453" i="5"/>
  <c r="T452" i="5"/>
  <c r="T451" i="5"/>
  <c r="T450" i="5"/>
  <c r="T449" i="5"/>
  <c r="T448" i="5"/>
  <c r="T447" i="5"/>
  <c r="T446" i="5"/>
  <c r="T445" i="5"/>
  <c r="T444" i="5"/>
  <c r="T443" i="5"/>
  <c r="T442" i="5"/>
  <c r="T441" i="5"/>
  <c r="T440" i="5"/>
  <c r="T439" i="5"/>
  <c r="T438" i="5"/>
  <c r="T437" i="5"/>
  <c r="T436" i="5"/>
  <c r="T435" i="5"/>
  <c r="T434" i="5"/>
  <c r="T433" i="5"/>
  <c r="T432" i="5"/>
  <c r="T431" i="5"/>
  <c r="T430" i="5"/>
  <c r="T429" i="5"/>
  <c r="T378" i="5"/>
  <c r="T377" i="5"/>
  <c r="T376" i="5"/>
  <c r="T375" i="5"/>
  <c r="T374" i="5"/>
  <c r="T373" i="5"/>
  <c r="T372" i="5"/>
  <c r="T371" i="5"/>
  <c r="T370" i="5"/>
  <c r="T369" i="5"/>
  <c r="T368" i="5"/>
  <c r="T367" i="5"/>
  <c r="T366" i="5"/>
  <c r="T365" i="5"/>
  <c r="T364" i="5"/>
  <c r="T363" i="5"/>
  <c r="T362" i="5"/>
  <c r="T291" i="5"/>
  <c r="T286" i="5"/>
  <c r="T285" i="5"/>
  <c r="T284" i="5"/>
  <c r="T283" i="5"/>
  <c r="T282" i="5"/>
  <c r="T281" i="5"/>
  <c r="T280" i="5"/>
  <c r="T279" i="5"/>
  <c r="T278" i="5"/>
  <c r="T277" i="5"/>
  <c r="T276" i="5"/>
  <c r="T275" i="5"/>
  <c r="T274" i="5"/>
  <c r="T273" i="5"/>
  <c r="T272" i="5"/>
  <c r="T271" i="5"/>
  <c r="T270" i="5"/>
  <c r="T269" i="5"/>
  <c r="T268" i="5"/>
  <c r="T267" i="5"/>
  <c r="T266" i="5"/>
  <c r="T265" i="5"/>
  <c r="T264" i="5"/>
  <c r="T263" i="5"/>
  <c r="T262" i="5"/>
  <c r="T261" i="5"/>
  <c r="T260" i="5"/>
  <c r="T259" i="5"/>
  <c r="T258" i="5"/>
  <c r="T257" i="5"/>
  <c r="M371" i="5"/>
  <c r="M369" i="5"/>
  <c r="M367" i="5"/>
  <c r="M366" i="5"/>
  <c r="M365" i="5"/>
  <c r="M364" i="5"/>
  <c r="M362" i="5"/>
  <c r="M359" i="5"/>
  <c r="M358" i="5"/>
  <c r="M354" i="5"/>
  <c r="M352" i="5"/>
  <c r="M351" i="5"/>
  <c r="M349" i="5"/>
  <c r="M348" i="5"/>
  <c r="M346" i="5"/>
  <c r="M345" i="5"/>
  <c r="M343" i="5"/>
  <c r="M341" i="5"/>
  <c r="M339" i="5"/>
  <c r="M338" i="5"/>
  <c r="M336" i="5"/>
  <c r="M334" i="5"/>
  <c r="M330" i="5"/>
  <c r="M329" i="5"/>
  <c r="M326" i="5"/>
  <c r="M325" i="5"/>
  <c r="M324" i="5"/>
  <c r="M322" i="5"/>
  <c r="M320" i="5"/>
  <c r="M319" i="5"/>
  <c r="M317" i="5"/>
  <c r="M315" i="5"/>
  <c r="M313" i="5"/>
  <c r="M311" i="5"/>
  <c r="M309" i="5"/>
  <c r="M307" i="5"/>
  <c r="M306" i="5"/>
  <c r="M302" i="5"/>
  <c r="M296" i="5"/>
  <c r="M294" i="5"/>
  <c r="M292" i="5"/>
  <c r="M290" i="5"/>
  <c r="M288" i="5"/>
  <c r="M286" i="5"/>
  <c r="M283" i="5"/>
  <c r="M282" i="5"/>
  <c r="M281" i="5"/>
  <c r="M278" i="5"/>
  <c r="M276" i="5"/>
  <c r="M275" i="5"/>
  <c r="M274" i="5"/>
  <c r="M272" i="5"/>
  <c r="M271" i="5"/>
  <c r="M269" i="5"/>
  <c r="M267" i="5"/>
  <c r="T153" i="5"/>
  <c r="T152" i="5"/>
  <c r="T151" i="5"/>
  <c r="T150" i="5"/>
  <c r="T149" i="5"/>
  <c r="T148" i="5"/>
  <c r="T145" i="5"/>
  <c r="T144" i="5"/>
  <c r="T143" i="5"/>
  <c r="T142" i="5"/>
  <c r="T141" i="5"/>
  <c r="T140" i="5"/>
  <c r="T139" i="5"/>
  <c r="T138" i="5"/>
  <c r="T137" i="5"/>
  <c r="T133" i="5"/>
  <c r="T132" i="5"/>
  <c r="T131" i="5"/>
  <c r="T122" i="5"/>
  <c r="T121" i="5"/>
  <c r="T120" i="5"/>
  <c r="T119" i="5"/>
  <c r="T118" i="5"/>
  <c r="T117" i="5"/>
  <c r="T116" i="5"/>
  <c r="T115" i="5"/>
  <c r="T114" i="5"/>
  <c r="T113" i="5"/>
  <c r="T112" i="5"/>
  <c r="T111" i="5"/>
  <c r="T110" i="5"/>
  <c r="T107" i="5"/>
  <c r="T106" i="5"/>
  <c r="T105" i="5"/>
  <c r="T104" i="5"/>
  <c r="T101" i="5"/>
  <c r="T98" i="5"/>
  <c r="T94" i="5"/>
  <c r="T93" i="5"/>
  <c r="T92" i="5"/>
  <c r="T91" i="5"/>
  <c r="T88" i="5"/>
  <c r="T87" i="5"/>
  <c r="T86" i="5"/>
  <c r="T83" i="5"/>
  <c r="T82" i="5"/>
  <c r="T80" i="5"/>
  <c r="T78" i="5"/>
  <c r="T77" i="5"/>
  <c r="T76" i="5"/>
  <c r="T75" i="5"/>
  <c r="T74" i="5"/>
  <c r="T73" i="5"/>
  <c r="T72" i="5"/>
  <c r="T71" i="5"/>
  <c r="T70" i="5"/>
  <c r="T66" i="5"/>
  <c r="T65" i="5"/>
  <c r="T64" i="5"/>
  <c r="T63" i="5"/>
  <c r="T62" i="5"/>
  <c r="T61" i="5"/>
  <c r="T60" i="5"/>
  <c r="T59" i="5"/>
  <c r="T58" i="5"/>
  <c r="T54" i="5"/>
  <c r="T50" i="5"/>
  <c r="T49" i="5"/>
  <c r="T48" i="5"/>
  <c r="T23" i="5"/>
  <c r="T17" i="5"/>
  <c r="T11" i="5"/>
  <c r="T10" i="5"/>
  <c r="T9" i="5"/>
  <c r="T8" i="5"/>
  <c r="T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0" i="5"/>
  <c r="M368" i="5"/>
  <c r="M363" i="5"/>
  <c r="M361" i="5"/>
  <c r="M360" i="5"/>
  <c r="M357" i="5"/>
  <c r="M356" i="5"/>
  <c r="M355" i="5"/>
  <c r="M353" i="5"/>
  <c r="M350" i="5"/>
  <c r="M347" i="5"/>
  <c r="M344" i="5"/>
  <c r="M342" i="5"/>
  <c r="M340" i="5"/>
  <c r="M337" i="5"/>
  <c r="M335" i="5"/>
  <c r="M333" i="5"/>
  <c r="M332" i="5"/>
  <c r="M331" i="5"/>
  <c r="M328" i="5"/>
  <c r="M327" i="5"/>
  <c r="M323" i="5"/>
  <c r="M321" i="5"/>
  <c r="M318" i="5"/>
  <c r="M316" i="5"/>
  <c r="M314" i="5"/>
  <c r="M312" i="5"/>
  <c r="M310" i="5"/>
  <c r="M308" i="5"/>
  <c r="M305" i="5"/>
  <c r="M304" i="5"/>
  <c r="M303" i="5"/>
  <c r="M301" i="5"/>
  <c r="M300" i="5"/>
  <c r="M299" i="5"/>
  <c r="M298" i="5"/>
  <c r="M297" i="5"/>
  <c r="M295" i="5"/>
  <c r="M293" i="5"/>
  <c r="M291" i="5"/>
  <c r="M289" i="5"/>
  <c r="M287" i="5"/>
  <c r="M285" i="5"/>
  <c r="M284" i="5"/>
  <c r="M280" i="5"/>
  <c r="M279" i="5"/>
  <c r="M277" i="5"/>
  <c r="M273" i="5"/>
  <c r="M270" i="5"/>
  <c r="M268"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5" i="5"/>
  <c r="M144" i="5"/>
  <c r="M143" i="5"/>
  <c r="M142" i="5"/>
  <c r="M141" i="5"/>
  <c r="M140" i="5"/>
  <c r="M139" i="5"/>
  <c r="M138" i="5"/>
  <c r="M137" i="5"/>
  <c r="M133" i="5"/>
  <c r="M132" i="5"/>
  <c r="M131" i="5"/>
  <c r="M122" i="5"/>
  <c r="M121" i="5"/>
  <c r="M120" i="5"/>
  <c r="M119" i="5"/>
  <c r="M118" i="5"/>
  <c r="M117" i="5"/>
  <c r="M116" i="5"/>
  <c r="M115" i="5"/>
  <c r="M114" i="5"/>
  <c r="M113" i="5"/>
  <c r="M112" i="5"/>
  <c r="M111" i="5"/>
  <c r="M110" i="5"/>
  <c r="M107" i="5"/>
  <c r="M106" i="5"/>
  <c r="M105" i="5"/>
  <c r="M104" i="5"/>
  <c r="M101" i="5"/>
  <c r="M98" i="5"/>
  <c r="M94" i="5"/>
  <c r="M93" i="5"/>
  <c r="M92" i="5"/>
  <c r="M91" i="5"/>
  <c r="M88" i="5"/>
  <c r="M87" i="5"/>
  <c r="M86" i="5"/>
  <c r="M83" i="5"/>
  <c r="M82" i="5"/>
  <c r="M80" i="5"/>
  <c r="M78" i="5"/>
  <c r="M77" i="5"/>
  <c r="M76" i="5"/>
  <c r="M75" i="5"/>
  <c r="M74" i="5"/>
  <c r="M73" i="5"/>
  <c r="M72" i="5"/>
  <c r="M71" i="5"/>
  <c r="M70" i="5"/>
  <c r="M66" i="5"/>
  <c r="M65" i="5"/>
  <c r="M64" i="5"/>
  <c r="M63" i="5"/>
  <c r="M62" i="5"/>
  <c r="M61" i="5"/>
  <c r="M60" i="5"/>
  <c r="M59" i="5"/>
  <c r="M58" i="5"/>
  <c r="M54" i="5"/>
  <c r="M50" i="5"/>
  <c r="M49" i="5"/>
  <c r="M48" i="5"/>
  <c r="M47" i="5"/>
  <c r="M46" i="5"/>
  <c r="M45" i="5"/>
  <c r="M44" i="5"/>
  <c r="M43" i="5"/>
  <c r="M42" i="5"/>
  <c r="M41" i="5"/>
  <c r="M40" i="5"/>
  <c r="M39" i="5"/>
  <c r="M38" i="5"/>
  <c r="M37" i="5"/>
  <c r="M36" i="5"/>
  <c r="M35" i="5"/>
  <c r="M34" i="5"/>
  <c r="M33" i="5"/>
  <c r="M29" i="5"/>
  <c r="M28" i="5"/>
  <c r="M27" i="5"/>
  <c r="M26" i="5"/>
  <c r="M25" i="5"/>
  <c r="M24" i="5"/>
  <c r="M23" i="5"/>
  <c r="M22" i="5"/>
  <c r="M21" i="5"/>
  <c r="M20" i="5"/>
  <c r="M19" i="5"/>
  <c r="M18" i="5"/>
  <c r="M17" i="5"/>
  <c r="M13" i="5"/>
  <c r="M12" i="5"/>
  <c r="M11" i="5"/>
  <c r="M10" i="5"/>
  <c r="M9" i="5"/>
  <c r="M8" i="5"/>
  <c r="M7" i="5"/>
  <c r="B283" i="5"/>
  <c r="B284" i="5" s="1"/>
  <c r="B285" i="5" s="1"/>
  <c r="B286" i="5" s="1"/>
  <c r="Y658" i="5"/>
  <c r="Z658" i="5" s="1"/>
  <c r="Y529" i="5"/>
  <c r="Z529" i="5" s="1"/>
  <c r="Y587" i="5"/>
  <c r="Z587" i="5" s="1"/>
  <c r="Y620" i="5"/>
  <c r="Z620" i="5" s="1"/>
  <c r="Y552" i="5"/>
  <c r="Z552" i="5" s="1"/>
  <c r="Y597" i="5"/>
  <c r="Z597" i="5" s="1"/>
  <c r="Y664" i="5"/>
  <c r="Z664" i="5" s="1"/>
  <c r="Y660" i="5"/>
  <c r="Z660" i="5" s="1"/>
  <c r="Y546" i="5"/>
  <c r="Z546" i="5" s="1"/>
  <c r="Y604" i="5"/>
  <c r="Z604" i="5" s="1"/>
  <c r="Y540" i="5"/>
  <c r="Z540" i="5" s="1"/>
  <c r="Y668" i="5"/>
  <c r="Z668" i="5" s="1"/>
  <c r="Y625" i="5"/>
  <c r="Z625" i="5" s="1"/>
  <c r="Y623" i="5"/>
  <c r="Z623" i="5" s="1"/>
  <c r="Y636" i="5"/>
  <c r="Z636" i="5" s="1"/>
  <c r="Y616" i="5"/>
  <c r="Z616" i="5" s="1"/>
  <c r="Y541" i="5"/>
  <c r="Z541" i="5" s="1"/>
  <c r="S58" i="4"/>
  <c r="M58" i="4"/>
  <c r="J58" i="4"/>
  <c r="M32" i="4"/>
  <c r="J32" i="4"/>
  <c r="J8" i="4"/>
  <c r="M8" i="4"/>
  <c r="N6" i="3"/>
  <c r="N9" i="3"/>
  <c r="N10" i="3"/>
  <c r="N12" i="3"/>
  <c r="N75" i="3"/>
  <c r="N81" i="3"/>
  <c r="N88" i="3"/>
  <c r="N94" i="3"/>
  <c r="N126" i="3"/>
  <c r="N147" i="3"/>
  <c r="N150" i="3"/>
  <c r="N161" i="3"/>
  <c r="N182" i="3"/>
  <c r="N226" i="3"/>
  <c r="N244" i="3"/>
  <c r="N258" i="3"/>
  <c r="N270" i="3"/>
  <c r="N274" i="3"/>
  <c r="N285" i="3"/>
  <c r="N296" i="3"/>
  <c r="N301" i="3"/>
  <c r="N330" i="3"/>
  <c r="N343" i="3"/>
  <c r="N346" i="3"/>
  <c r="N356" i="3"/>
  <c r="N376" i="3"/>
  <c r="N387" i="3"/>
  <c r="N390" i="3"/>
  <c r="N392" i="3"/>
  <c r="N394" i="3"/>
  <c r="N399" i="3"/>
  <c r="N403" i="3"/>
  <c r="N434" i="3"/>
  <c r="N448" i="3"/>
  <c r="N450" i="3"/>
  <c r="N456" i="3"/>
  <c r="J10" i="3"/>
  <c r="J13" i="3"/>
  <c r="J18" i="3"/>
  <c r="J28" i="3"/>
  <c r="J31" i="3"/>
  <c r="J60" i="3"/>
  <c r="J68" i="3"/>
  <c r="J75" i="3"/>
  <c r="J81" i="3"/>
  <c r="J88" i="3"/>
  <c r="J104" i="3"/>
  <c r="J136" i="3"/>
  <c r="J137" i="3"/>
  <c r="J150" i="3"/>
  <c r="J153" i="3"/>
  <c r="J184" i="3"/>
  <c r="J187" i="3"/>
  <c r="J210" i="3"/>
  <c r="J213" i="3"/>
  <c r="J218" i="3"/>
  <c r="J226" i="3"/>
  <c r="J244" i="3"/>
  <c r="J247" i="3"/>
  <c r="J253" i="3"/>
  <c r="J257" i="3"/>
  <c r="J267" i="3"/>
  <c r="J279" i="3"/>
  <c r="J285" i="3"/>
  <c r="J297" i="3"/>
  <c r="J298" i="3"/>
  <c r="J300" i="3"/>
  <c r="J335" i="3"/>
  <c r="J349" i="3"/>
  <c r="J352" i="3"/>
  <c r="J361" i="3"/>
  <c r="J369" i="3"/>
  <c r="N5" i="3"/>
  <c r="N11" i="3"/>
  <c r="N13" i="3"/>
  <c r="N16" i="3"/>
  <c r="N18" i="3"/>
  <c r="N23" i="3"/>
  <c r="N27" i="3"/>
  <c r="N28" i="3"/>
  <c r="N29" i="3"/>
  <c r="N30" i="3"/>
  <c r="N32" i="3"/>
  <c r="N34" i="3"/>
  <c r="N36" i="3"/>
  <c r="N71" i="3"/>
  <c r="N73" i="3"/>
  <c r="N80" i="3"/>
  <c r="N83" i="3"/>
  <c r="N86" i="3"/>
  <c r="N90" i="3"/>
  <c r="N97" i="3"/>
  <c r="N117" i="3"/>
  <c r="N122" i="3"/>
  <c r="N124" i="3"/>
  <c r="N125" i="3"/>
  <c r="N130" i="3"/>
  <c r="N136" i="3"/>
  <c r="N175" i="3"/>
  <c r="N189" i="3"/>
  <c r="N197" i="3"/>
  <c r="N223" i="3"/>
  <c r="N230" i="3"/>
  <c r="N232" i="3"/>
  <c r="N237" i="3"/>
  <c r="N248" i="3"/>
  <c r="N253" i="3"/>
  <c r="N291" i="3"/>
  <c r="N297" i="3"/>
  <c r="N307" i="3"/>
  <c r="N319" i="3"/>
  <c r="N333" i="3"/>
  <c r="N351" i="3"/>
  <c r="N397" i="3"/>
  <c r="N410" i="3"/>
  <c r="N418" i="3"/>
  <c r="N422" i="3"/>
  <c r="N435" i="3"/>
  <c r="N467" i="3"/>
  <c r="N476" i="3"/>
  <c r="J6" i="3"/>
  <c r="J27" i="3"/>
  <c r="J67" i="3"/>
  <c r="J69" i="3"/>
  <c r="J77" i="3"/>
  <c r="J85" i="3"/>
  <c r="J87" i="3"/>
  <c r="J94" i="3"/>
  <c r="J125" i="3"/>
  <c r="J127" i="3"/>
  <c r="J147" i="3"/>
  <c r="J149" i="3"/>
  <c r="J166" i="3"/>
  <c r="J168" i="3"/>
  <c r="J178" i="3"/>
  <c r="J182" i="3"/>
  <c r="J189" i="3"/>
  <c r="J196" i="3"/>
  <c r="J199" i="3"/>
  <c r="J205" i="3"/>
  <c r="J207" i="3"/>
  <c r="J215" i="3"/>
  <c r="J217" i="3"/>
  <c r="J222" i="3"/>
  <c r="J224" i="3"/>
  <c r="J230" i="3"/>
  <c r="J233" i="3"/>
  <c r="J243" i="3"/>
  <c r="J258" i="3"/>
  <c r="J260" i="3"/>
  <c r="J283" i="3"/>
  <c r="J292" i="3"/>
  <c r="J295" i="3"/>
  <c r="J325" i="3"/>
  <c r="J347" i="3"/>
  <c r="N8" i="3"/>
  <c r="N22" i="3"/>
  <c r="N24" i="3"/>
  <c r="N69" i="3"/>
  <c r="N70" i="3"/>
  <c r="N77" i="3"/>
  <c r="N79" i="3"/>
  <c r="N85" i="3"/>
  <c r="N87" i="3"/>
  <c r="N89" i="3"/>
  <c r="N91" i="3"/>
  <c r="N98" i="3"/>
  <c r="N101" i="3"/>
  <c r="N104" i="3"/>
  <c r="N115" i="3"/>
  <c r="N127" i="3"/>
  <c r="N129" i="3"/>
  <c r="N132" i="3"/>
  <c r="N134" i="3"/>
  <c r="N160" i="3"/>
  <c r="N163" i="3"/>
  <c r="N177" i="3"/>
  <c r="N188" i="3"/>
  <c r="N192" i="3"/>
  <c r="N200" i="3"/>
  <c r="N203" i="3"/>
  <c r="N207" i="3"/>
  <c r="N210" i="3"/>
  <c r="N218" i="3"/>
  <c r="N220" i="3"/>
  <c r="N227" i="3"/>
  <c r="N233" i="3"/>
  <c r="N252" i="3"/>
  <c r="N254" i="3"/>
  <c r="N257" i="3"/>
  <c r="N272" i="3"/>
  <c r="N283" i="3"/>
  <c r="N289" i="3"/>
  <c r="N299" i="3"/>
  <c r="N302" i="3"/>
  <c r="N305" i="3"/>
  <c r="N314" i="3"/>
  <c r="N323" i="3"/>
  <c r="N364" i="3"/>
  <c r="N367" i="3"/>
  <c r="N378" i="3"/>
  <c r="N380" i="3"/>
  <c r="N391" i="3"/>
  <c r="N415" i="3"/>
  <c r="N419" i="3"/>
  <c r="N421" i="3"/>
  <c r="N426" i="3"/>
  <c r="N428" i="3"/>
  <c r="N430" i="3"/>
  <c r="N439" i="3"/>
  <c r="N453" i="3"/>
  <c r="N455" i="3"/>
  <c r="N469" i="3"/>
  <c r="N478" i="3"/>
  <c r="J23" i="3"/>
  <c r="J29" i="3"/>
  <c r="J42" i="3"/>
  <c r="J44" i="3"/>
  <c r="J51" i="3"/>
  <c r="J53" i="3"/>
  <c r="J92" i="3"/>
  <c r="J107" i="3"/>
  <c r="J117" i="3"/>
  <c r="J126" i="3"/>
  <c r="J139" i="3"/>
  <c r="J155" i="3"/>
  <c r="J157" i="3"/>
  <c r="J181" i="3"/>
  <c r="J198" i="3"/>
  <c r="J219" i="3"/>
  <c r="J234" i="3"/>
  <c r="J237" i="3"/>
  <c r="J250" i="3"/>
  <c r="J254" i="3"/>
  <c r="J280" i="3"/>
  <c r="J305" i="3"/>
  <c r="J307" i="3"/>
  <c r="J314" i="3"/>
  <c r="J317" i="3"/>
  <c r="J333" i="3"/>
  <c r="J341" i="3"/>
  <c r="J355" i="3"/>
  <c r="J364" i="3"/>
  <c r="J366" i="3"/>
  <c r="N7" i="3"/>
  <c r="N14" i="3"/>
  <c r="N17" i="3"/>
  <c r="N25" i="3"/>
  <c r="N31" i="3"/>
  <c r="N33" i="3"/>
  <c r="N35" i="3"/>
  <c r="N37" i="3"/>
  <c r="N39" i="3"/>
  <c r="N40" i="3"/>
  <c r="N44" i="3"/>
  <c r="N47" i="3"/>
  <c r="N84" i="3"/>
  <c r="N92" i="3"/>
  <c r="N95" i="3"/>
  <c r="N103" i="3"/>
  <c r="N106" i="3"/>
  <c r="N108" i="3"/>
  <c r="N110" i="3"/>
  <c r="N116" i="3"/>
  <c r="N123" i="3"/>
  <c r="N143" i="3"/>
  <c r="N151" i="3"/>
  <c r="N154" i="3"/>
  <c r="N155" i="3"/>
  <c r="N157" i="3"/>
  <c r="N164" i="3"/>
  <c r="N172" i="3"/>
  <c r="N179" i="3"/>
  <c r="N184" i="3"/>
  <c r="N191" i="3"/>
  <c r="N213" i="3"/>
  <c r="N216" i="3"/>
  <c r="N231" i="3"/>
  <c r="N249" i="3"/>
  <c r="N276" i="3"/>
  <c r="N278" i="3"/>
  <c r="N298" i="3"/>
  <c r="N304" i="3"/>
  <c r="N308" i="3"/>
  <c r="N313" i="3"/>
  <c r="N325" i="3"/>
  <c r="N347" i="3"/>
  <c r="N353" i="3"/>
  <c r="N375" i="3"/>
  <c r="N437" i="3"/>
  <c r="N451" i="3"/>
  <c r="N458" i="3"/>
  <c r="N470" i="3"/>
  <c r="J25" i="3"/>
  <c r="J34" i="3"/>
  <c r="J36" i="3"/>
  <c r="J48" i="3"/>
  <c r="J55" i="3"/>
  <c r="J70" i="3"/>
  <c r="J79" i="3"/>
  <c r="J83" i="3"/>
  <c r="J91" i="3"/>
  <c r="J101" i="3"/>
  <c r="J109" i="3"/>
  <c r="J111" i="3"/>
  <c r="J142" i="3"/>
  <c r="J154" i="3"/>
  <c r="J156" i="3"/>
  <c r="J175" i="3"/>
  <c r="J177" i="3"/>
  <c r="J179" i="3"/>
  <c r="J183" i="3"/>
  <c r="J202" i="3"/>
  <c r="J216" i="3"/>
  <c r="J231" i="3"/>
  <c r="J259" i="3"/>
  <c r="J261" i="3"/>
  <c r="J266" i="3"/>
  <c r="J269" i="3"/>
  <c r="J276" i="3"/>
  <c r="J306" i="3"/>
  <c r="J309" i="3"/>
  <c r="J318" i="3"/>
  <c r="J339" i="3"/>
  <c r="J346" i="3"/>
  <c r="N20" i="3"/>
  <c r="N42" i="3"/>
  <c r="N45" i="3"/>
  <c r="N53" i="3"/>
  <c r="N54" i="3"/>
  <c r="N57" i="3"/>
  <c r="N59" i="3"/>
  <c r="N61" i="3"/>
  <c r="N96" i="3"/>
  <c r="N99" i="3"/>
  <c r="N102" i="3"/>
  <c r="N118" i="3"/>
  <c r="N138" i="3"/>
  <c r="N146" i="3"/>
  <c r="N149" i="3"/>
  <c r="N166" i="3"/>
  <c r="N171" i="3"/>
  <c r="N178" i="3"/>
  <c r="N180" i="3"/>
  <c r="N185" i="3"/>
  <c r="N206" i="3"/>
  <c r="N214" i="3"/>
  <c r="N219" i="3"/>
  <c r="N251" i="3"/>
  <c r="N259" i="3"/>
  <c r="N262" i="3"/>
  <c r="N271" i="3"/>
  <c r="N280" i="3"/>
  <c r="N284" i="3"/>
  <c r="N288" i="3"/>
  <c r="N295" i="3"/>
  <c r="N303" i="3" s="1"/>
  <c r="M514" i="3" s="1"/>
  <c r="N309" i="3"/>
  <c r="N328" i="3"/>
  <c r="N332" i="3"/>
  <c r="N340" i="3"/>
  <c r="N352" i="3"/>
  <c r="N360" i="3"/>
  <c r="N368" i="3"/>
  <c r="N388" i="3"/>
  <c r="N401" i="3"/>
  <c r="N408" i="3"/>
  <c r="N412" i="3"/>
  <c r="N414" i="3"/>
  <c r="N417" i="3"/>
  <c r="N425" i="3"/>
  <c r="N441" i="3"/>
  <c r="N444" i="3"/>
  <c r="N459" i="3"/>
  <c r="N462" i="3"/>
  <c r="N463" i="3"/>
  <c r="N471" i="3"/>
  <c r="J9" i="3"/>
  <c r="J11" i="3"/>
  <c r="J14" i="3"/>
  <c r="J33" i="3"/>
  <c r="J40" i="3"/>
  <c r="J98" i="3"/>
  <c r="J103" i="3"/>
  <c r="J122" i="3"/>
  <c r="J143" i="3"/>
  <c r="J144" i="3"/>
  <c r="J146" i="3"/>
  <c r="J152" i="3"/>
  <c r="J161" i="3"/>
  <c r="J170" i="3"/>
  <c r="J173" i="3"/>
  <c r="J185" i="3"/>
  <c r="J188" i="3"/>
  <c r="J190" i="3"/>
  <c r="J208" i="3"/>
  <c r="J220" i="3"/>
  <c r="J282" i="3"/>
  <c r="J350" i="3"/>
  <c r="J358" i="3"/>
  <c r="N19" i="3"/>
  <c r="N41" i="3"/>
  <c r="N46" i="3"/>
  <c r="N48" i="3"/>
  <c r="N51" i="3"/>
  <c r="N56" i="3"/>
  <c r="N60" i="3"/>
  <c r="N63" i="3"/>
  <c r="N66" i="3"/>
  <c r="N67" i="3"/>
  <c r="N74" i="3"/>
  <c r="N76" i="3"/>
  <c r="N78" i="3"/>
  <c r="N109" i="3"/>
  <c r="N112" i="3"/>
  <c r="N135" i="3"/>
  <c r="N139" i="3"/>
  <c r="N142" i="3"/>
  <c r="N145" i="3"/>
  <c r="N153" i="3"/>
  <c r="N156" i="3"/>
  <c r="J32" i="3"/>
  <c r="J66" i="3"/>
  <c r="J71" i="3"/>
  <c r="J78" i="3"/>
  <c r="J84" i="3"/>
  <c r="J90" i="3"/>
  <c r="J100" i="3"/>
  <c r="J106" i="3"/>
  <c r="J113" i="3" s="1"/>
  <c r="I492" i="3" s="1"/>
  <c r="J112" i="3"/>
  <c r="J115" i="3"/>
  <c r="J124" i="3"/>
  <c r="J129" i="3"/>
  <c r="J134" i="3"/>
  <c r="J145" i="3"/>
  <c r="J159" i="3"/>
  <c r="J165" i="3" s="1"/>
  <c r="I498" i="3" s="1"/>
  <c r="J167" i="3"/>
  <c r="J284" i="3"/>
  <c r="J290" i="3"/>
  <c r="J301" i="3"/>
  <c r="J310" i="3"/>
  <c r="N21" i="3"/>
  <c r="N43" i="3"/>
  <c r="N49" i="3"/>
  <c r="N52" i="3"/>
  <c r="N55" i="3"/>
  <c r="N58" i="3"/>
  <c r="N62" i="3"/>
  <c r="N65" i="3"/>
  <c r="N72" i="3" s="1"/>
  <c r="M488" i="3" s="1"/>
  <c r="N68" i="3"/>
  <c r="N100" i="3"/>
  <c r="N107" i="3"/>
  <c r="N111" i="3"/>
  <c r="N114" i="3"/>
  <c r="N121" i="3" s="1"/>
  <c r="M493" i="3" s="1"/>
  <c r="N119" i="3"/>
  <c r="N128" i="3"/>
  <c r="N133" i="3"/>
  <c r="N137" i="3"/>
  <c r="N141" i="3"/>
  <c r="N144" i="3"/>
  <c r="N152" i="3"/>
  <c r="N162" i="3"/>
  <c r="N170" i="3"/>
  <c r="N173" i="3"/>
  <c r="N176" i="3"/>
  <c r="N181" i="3"/>
  <c r="N183" i="3"/>
  <c r="N187" i="3"/>
  <c r="N195" i="3" s="1"/>
  <c r="M501" i="3" s="1"/>
  <c r="N194" i="3"/>
  <c r="N198" i="3"/>
  <c r="N202" i="3"/>
  <c r="N208" i="3"/>
  <c r="N235" i="3"/>
  <c r="N240" i="3"/>
  <c r="N246" i="3" s="1"/>
  <c r="M508" i="3" s="1"/>
  <c r="N242" i="3"/>
  <c r="N260" i="3"/>
  <c r="N273" i="3"/>
  <c r="N277" i="3"/>
  <c r="N279" i="3"/>
  <c r="N282" i="3"/>
  <c r="N287" i="3"/>
  <c r="N294" i="3" s="1"/>
  <c r="M513" i="3" s="1"/>
  <c r="N306" i="3"/>
  <c r="N312" i="3"/>
  <c r="N320" i="3" s="1"/>
  <c r="M516" i="3" s="1"/>
  <c r="N322" i="3"/>
  <c r="N338" i="3"/>
  <c r="N342" i="3"/>
  <c r="N344" i="3"/>
  <c r="N350" i="3"/>
  <c r="N358" i="3"/>
  <c r="N370" i="3"/>
  <c r="N386" i="3"/>
  <c r="N398" i="3" s="1"/>
  <c r="M525" i="3" s="1"/>
  <c r="N389" i="3"/>
  <c r="N393" i="3"/>
  <c r="N396" i="3"/>
  <c r="N400" i="3"/>
  <c r="N409" i="3"/>
  <c r="N411" i="3"/>
  <c r="N416" i="3"/>
  <c r="N420" i="3"/>
  <c r="N424" i="3"/>
  <c r="N431" i="3" s="1"/>
  <c r="M528" i="3" s="1"/>
  <c r="N436" i="3"/>
  <c r="N443" i="3"/>
  <c r="N449" i="3"/>
  <c r="N461" i="3"/>
  <c r="N468" i="3" s="1"/>
  <c r="M532" i="3" s="1"/>
  <c r="N465" i="3"/>
  <c r="N472" i="3"/>
  <c r="N477" i="3"/>
  <c r="J8" i="3"/>
  <c r="J12" i="3"/>
  <c r="J19" i="3"/>
  <c r="J21" i="3"/>
  <c r="J41" i="3"/>
  <c r="J45" i="3"/>
  <c r="J61" i="3"/>
  <c r="J86" i="3"/>
  <c r="J97" i="3"/>
  <c r="J108" i="3"/>
  <c r="J114" i="3"/>
  <c r="J160" i="3"/>
  <c r="J211" i="3"/>
  <c r="J214" i="3"/>
  <c r="J228" i="3"/>
  <c r="J236" i="3"/>
  <c r="J241" i="3"/>
  <c r="J249" i="3"/>
  <c r="J251" i="3"/>
  <c r="J262" i="3"/>
  <c r="J271" i="3"/>
  <c r="J274" i="3"/>
  <c r="J277" i="3"/>
  <c r="J289" i="3"/>
  <c r="J302" i="3"/>
  <c r="J304" i="3"/>
  <c r="J316" i="3"/>
  <c r="J324" i="3"/>
  <c r="J328" i="3"/>
  <c r="J343" i="3"/>
  <c r="J351" i="3"/>
  <c r="J370" i="3"/>
  <c r="J377" i="3"/>
  <c r="N159" i="3"/>
  <c r="N167" i="3"/>
  <c r="N168" i="3"/>
  <c r="N169" i="3"/>
  <c r="N190" i="3"/>
  <c r="N193" i="3"/>
  <c r="N196" i="3"/>
  <c r="N199" i="3"/>
  <c r="N201" i="3"/>
  <c r="N205" i="3"/>
  <c r="N209" i="3"/>
  <c r="N211" i="3"/>
  <c r="N215" i="3"/>
  <c r="N217" i="3"/>
  <c r="N222" i="3"/>
  <c r="N224" i="3"/>
  <c r="N225" i="3"/>
  <c r="N228" i="3"/>
  <c r="N234" i="3"/>
  <c r="N236" i="3"/>
  <c r="N238" i="3"/>
  <c r="N241" i="3"/>
  <c r="N243" i="3"/>
  <c r="N245" i="3"/>
  <c r="N247" i="3"/>
  <c r="N250" i="3"/>
  <c r="N256" i="3"/>
  <c r="N261" i="3"/>
  <c r="N263" i="3"/>
  <c r="N264" i="3"/>
  <c r="N266" i="3"/>
  <c r="N267" i="3"/>
  <c r="N268" i="3"/>
  <c r="N269" i="3"/>
  <c r="N281" i="3"/>
  <c r="N290" i="3"/>
  <c r="N292" i="3"/>
  <c r="N293" i="3"/>
  <c r="N300" i="3"/>
  <c r="N310" i="3"/>
  <c r="N315" i="3"/>
  <c r="N316" i="3"/>
  <c r="N317" i="3"/>
  <c r="N318" i="3"/>
  <c r="N321" i="3"/>
  <c r="N324" i="3"/>
  <c r="N327" i="3"/>
  <c r="N329" i="3"/>
  <c r="N331" i="3"/>
  <c r="N335" i="3"/>
  <c r="N336" i="3"/>
  <c r="N337" i="3"/>
  <c r="N339" i="3"/>
  <c r="N341" i="3"/>
  <c r="N348" i="3"/>
  <c r="N349" i="3"/>
  <c r="N355" i="3"/>
  <c r="N357" i="3"/>
  <c r="N359" i="3"/>
  <c r="N361" i="3"/>
  <c r="N363" i="3"/>
  <c r="N365" i="3"/>
  <c r="N366" i="3"/>
  <c r="N369" i="3"/>
  <c r="N372" i="3"/>
  <c r="N373" i="3"/>
  <c r="N374" i="3"/>
  <c r="N377" i="3"/>
  <c r="N379" i="3"/>
  <c r="N381" i="3"/>
  <c r="N382" i="3"/>
  <c r="N383" i="3"/>
  <c r="N384" i="3"/>
  <c r="N395" i="3"/>
  <c r="N402" i="3"/>
  <c r="N404" i="3"/>
  <c r="N405" i="3"/>
  <c r="N406" i="3"/>
  <c r="N407" i="3"/>
  <c r="N427" i="3"/>
  <c r="N429" i="3"/>
  <c r="N432" i="3"/>
  <c r="N433" i="3"/>
  <c r="N438" i="3"/>
  <c r="N440" i="3"/>
  <c r="N442" i="3"/>
  <c r="N446" i="3"/>
  <c r="N447" i="3"/>
  <c r="N454" i="3"/>
  <c r="N457" i="3"/>
  <c r="N464" i="3"/>
  <c r="N466" i="3"/>
  <c r="N473" i="3"/>
  <c r="N475" i="3"/>
  <c r="J5" i="3"/>
  <c r="J7" i="3"/>
  <c r="J16" i="3"/>
  <c r="J17" i="3"/>
  <c r="J20" i="3"/>
  <c r="J22" i="3"/>
  <c r="J24" i="3"/>
  <c r="J30" i="3"/>
  <c r="J35" i="3"/>
  <c r="J37" i="3"/>
  <c r="J39" i="3"/>
  <c r="J43" i="3"/>
  <c r="J46" i="3"/>
  <c r="J47" i="3"/>
  <c r="J49" i="3"/>
  <c r="J52" i="3"/>
  <c r="J54" i="3"/>
  <c r="J56" i="3"/>
  <c r="J57" i="3"/>
  <c r="J58" i="3"/>
  <c r="J59" i="3"/>
  <c r="J62" i="3"/>
  <c r="J63" i="3"/>
  <c r="J65" i="3"/>
  <c r="J73" i="3"/>
  <c r="J74" i="3"/>
  <c r="J76" i="3"/>
  <c r="J80" i="3"/>
  <c r="J89" i="3"/>
  <c r="J95" i="3"/>
  <c r="J96" i="3"/>
  <c r="J99" i="3"/>
  <c r="J102" i="3"/>
  <c r="J110" i="3"/>
  <c r="J116" i="3"/>
  <c r="J118" i="3"/>
  <c r="J119" i="3"/>
  <c r="J123" i="3"/>
  <c r="J128" i="3"/>
  <c r="J130" i="3"/>
  <c r="J132" i="3"/>
  <c r="J133" i="3"/>
  <c r="J135" i="3"/>
  <c r="J138" i="3"/>
  <c r="J141" i="3"/>
  <c r="J151" i="3"/>
  <c r="J162" i="3"/>
  <c r="J163" i="3"/>
  <c r="J164" i="3"/>
  <c r="J169" i="3"/>
  <c r="J171" i="3"/>
  <c r="J172" i="3"/>
  <c r="J176" i="3"/>
  <c r="J180" i="3"/>
  <c r="J191" i="3"/>
  <c r="J192" i="3"/>
  <c r="J193" i="3"/>
  <c r="J194" i="3"/>
  <c r="J197" i="3"/>
  <c r="J201" i="3"/>
  <c r="J203" i="3"/>
  <c r="J206" i="3"/>
  <c r="J209" i="3"/>
  <c r="J225" i="3"/>
  <c r="J235" i="3"/>
  <c r="J240" i="3"/>
  <c r="J242" i="3"/>
  <c r="J245" i="3"/>
  <c r="J256" i="3"/>
  <c r="J263" i="3"/>
  <c r="J270" i="3"/>
  <c r="J272" i="3"/>
  <c r="J273" i="3"/>
  <c r="J278" i="3"/>
  <c r="J281" i="3"/>
  <c r="J288" i="3"/>
  <c r="J291" i="3"/>
  <c r="J293" i="3"/>
  <c r="J296" i="3"/>
  <c r="J308" i="3"/>
  <c r="J312" i="3"/>
  <c r="J313" i="3"/>
  <c r="J315" i="3"/>
  <c r="J321" i="3"/>
  <c r="J322" i="3"/>
  <c r="J323" i="3"/>
  <c r="J327" i="3"/>
  <c r="J331" i="3"/>
  <c r="J336" i="3"/>
  <c r="J337" i="3"/>
  <c r="J338" i="3"/>
  <c r="J340" i="3"/>
  <c r="J342" i="3"/>
  <c r="J344" i="3"/>
  <c r="J360" i="3"/>
  <c r="J365" i="3"/>
  <c r="J367" i="3"/>
  <c r="J372" i="3"/>
  <c r="J374" i="3"/>
  <c r="J375" i="3"/>
  <c r="J376" i="3"/>
  <c r="J200" i="3"/>
  <c r="J223" i="3"/>
  <c r="J227" i="3"/>
  <c r="J232" i="3"/>
  <c r="J238" i="3"/>
  <c r="J248" i="3"/>
  <c r="J252" i="3"/>
  <c r="J264" i="3"/>
  <c r="J268" i="3"/>
  <c r="J287" i="3"/>
  <c r="J299" i="3"/>
  <c r="J319" i="3"/>
  <c r="J330" i="3"/>
  <c r="J353" i="3"/>
  <c r="J359" i="3"/>
  <c r="J363" i="3"/>
  <c r="J368" i="3"/>
  <c r="J373" i="3"/>
  <c r="J378" i="3"/>
  <c r="J379" i="3"/>
  <c r="J380" i="3"/>
  <c r="J381" i="3"/>
  <c r="J382" i="3"/>
  <c r="J383" i="3"/>
  <c r="J384" i="3"/>
  <c r="J386" i="3"/>
  <c r="J387" i="3"/>
  <c r="J388" i="3"/>
  <c r="J389" i="3"/>
  <c r="J390" i="3"/>
  <c r="J391" i="3"/>
  <c r="J392" i="3"/>
  <c r="J393" i="3"/>
  <c r="J394" i="3"/>
  <c r="J395" i="3"/>
  <c r="J396" i="3"/>
  <c r="J397" i="3"/>
  <c r="J399" i="3"/>
  <c r="J400" i="3"/>
  <c r="J401" i="3"/>
  <c r="J402" i="3"/>
  <c r="J403" i="3"/>
  <c r="J404" i="3"/>
  <c r="J405" i="3"/>
  <c r="J406" i="3"/>
  <c r="J407" i="3"/>
  <c r="J408" i="3"/>
  <c r="J409" i="3"/>
  <c r="J410" i="3"/>
  <c r="J411" i="3"/>
  <c r="J412" i="3"/>
  <c r="J414" i="3"/>
  <c r="J415" i="3"/>
  <c r="J416" i="3"/>
  <c r="J417" i="3"/>
  <c r="J418" i="3"/>
  <c r="J419" i="3"/>
  <c r="J420" i="3"/>
  <c r="J421" i="3"/>
  <c r="J422" i="3"/>
  <c r="J424" i="3"/>
  <c r="J425" i="3"/>
  <c r="J426" i="3"/>
  <c r="J427" i="3"/>
  <c r="J428" i="3"/>
  <c r="J429" i="3"/>
  <c r="J430" i="3"/>
  <c r="J432" i="3"/>
  <c r="J433" i="3"/>
  <c r="J434" i="3"/>
  <c r="J435" i="3"/>
  <c r="J436" i="3"/>
  <c r="J437" i="3"/>
  <c r="J438" i="3"/>
  <c r="J439" i="3"/>
  <c r="J440" i="3"/>
  <c r="J441" i="3"/>
  <c r="J442" i="3"/>
  <c r="J443" i="3"/>
  <c r="J444" i="3"/>
  <c r="J446" i="3"/>
  <c r="J447" i="3"/>
  <c r="J448" i="3"/>
  <c r="J449" i="3"/>
  <c r="J450" i="3"/>
  <c r="J451" i="3"/>
  <c r="J453" i="3"/>
  <c r="J454" i="3"/>
  <c r="J455" i="3"/>
  <c r="J456" i="3"/>
  <c r="J457" i="3"/>
  <c r="J458" i="3"/>
  <c r="J459" i="3"/>
  <c r="J461" i="3"/>
  <c r="J462" i="3"/>
  <c r="J463" i="3"/>
  <c r="J464" i="3"/>
  <c r="J465" i="3"/>
  <c r="J466" i="3"/>
  <c r="J467" i="3"/>
  <c r="J469" i="3"/>
  <c r="J470" i="3"/>
  <c r="J332" i="3"/>
  <c r="J356" i="3"/>
  <c r="J329" i="3"/>
  <c r="J348" i="3"/>
  <c r="J357" i="3"/>
  <c r="G560" i="3"/>
  <c r="G563" i="3"/>
  <c r="G555" i="3"/>
  <c r="G556" i="3" s="1"/>
  <c r="G561" i="3"/>
  <c r="G548" i="3"/>
  <c r="Y618" i="5"/>
  <c r="Z618" i="5" s="1"/>
  <c r="Y526" i="5"/>
  <c r="Z526" i="5" s="1"/>
  <c r="Y594" i="5"/>
  <c r="Z594" i="5" s="1"/>
  <c r="Y672" i="5"/>
  <c r="Z672" i="5" s="1"/>
  <c r="Y657" i="5"/>
  <c r="Z657" i="5" s="1"/>
  <c r="Y656" i="5"/>
  <c r="Z656" i="5" s="1"/>
  <c r="Y652" i="5"/>
  <c r="Z652" i="5" s="1"/>
  <c r="Y641" i="5"/>
  <c r="Z641" i="5" s="1"/>
  <c r="Y639" i="5"/>
  <c r="Z639" i="5" s="1"/>
  <c r="Y614" i="5"/>
  <c r="Z614" i="5" s="1"/>
  <c r="Y560" i="5"/>
  <c r="Z560" i="5" s="1"/>
  <c r="Y645" i="5"/>
  <c r="Z645" i="5" s="1"/>
  <c r="Y516" i="5"/>
  <c r="Z516" i="5" s="1"/>
  <c r="Y612" i="5"/>
  <c r="Z612" i="5" s="1"/>
  <c r="Y671" i="5"/>
  <c r="Z671" i="5" s="1"/>
  <c r="Y670" i="5"/>
  <c r="Z670" i="5" s="1"/>
  <c r="Y637" i="5"/>
  <c r="Z637" i="5" s="1"/>
  <c r="Y617" i="5"/>
  <c r="Z617" i="5" s="1"/>
  <c r="Y538" i="5"/>
  <c r="Z538" i="5" s="1"/>
  <c r="M42" i="6"/>
  <c r="N42" i="6" s="1"/>
  <c r="R42" i="6" s="1"/>
  <c r="J42" i="6"/>
  <c r="K42" i="6" s="1"/>
  <c r="Q42" i="6" s="1"/>
  <c r="M22" i="6"/>
  <c r="N22" i="6" s="1"/>
  <c r="J22" i="6"/>
  <c r="K22" i="6" s="1"/>
  <c r="S80" i="4"/>
  <c r="S78" i="4"/>
  <c r="S76" i="4"/>
  <c r="S74" i="4"/>
  <c r="S73" i="4"/>
  <c r="S72" i="4"/>
  <c r="S70" i="4"/>
  <c r="S69" i="4"/>
  <c r="S68" i="4"/>
  <c r="S66" i="4"/>
  <c r="S64" i="4"/>
  <c r="S62" i="4"/>
  <c r="S61" i="4"/>
  <c r="S60" i="4"/>
  <c r="S59" i="4"/>
  <c r="N480" i="3"/>
  <c r="J479" i="3"/>
  <c r="J480" i="3"/>
  <c r="N479" i="3"/>
  <c r="M313" i="7"/>
  <c r="N313" i="7" s="1"/>
  <c r="R313" i="7" s="1"/>
  <c r="J313" i="7"/>
  <c r="K313" i="7" s="1"/>
  <c r="Q313" i="7" s="1"/>
  <c r="M305" i="7"/>
  <c r="N305" i="7" s="1"/>
  <c r="R305" i="7" s="1"/>
  <c r="J305" i="7"/>
  <c r="K305" i="7" s="1"/>
  <c r="Q305" i="7" s="1"/>
  <c r="M195" i="7"/>
  <c r="N195" i="7" s="1"/>
  <c r="R195" i="7" s="1"/>
  <c r="J195" i="7"/>
  <c r="K195" i="7" s="1"/>
  <c r="Q195" i="7" s="1"/>
  <c r="M178" i="7"/>
  <c r="N178" i="7" s="1"/>
  <c r="R178" i="7" s="1"/>
  <c r="J178" i="7"/>
  <c r="K178" i="7" s="1"/>
  <c r="Q178" i="7" s="1"/>
  <c r="M162" i="7"/>
  <c r="N162" i="7" s="1"/>
  <c r="R162" i="7" s="1"/>
  <c r="J162" i="7"/>
  <c r="K162" i="7" s="1"/>
  <c r="Q162" i="7" s="1"/>
  <c r="M152" i="7"/>
  <c r="N152" i="7" s="1"/>
  <c r="R152" i="7" s="1"/>
  <c r="J152" i="7"/>
  <c r="K152" i="7" s="1"/>
  <c r="Q152" i="7" s="1"/>
  <c r="M7" i="7"/>
  <c r="N7" i="7" s="1"/>
  <c r="R7" i="7" s="1"/>
  <c r="J7" i="7"/>
  <c r="K7" i="7" s="1"/>
  <c r="Q7" i="7" s="1"/>
  <c r="M299" i="7"/>
  <c r="N299" i="7" s="1"/>
  <c r="R299" i="7" s="1"/>
  <c r="J299" i="7"/>
  <c r="K299" i="7" s="1"/>
  <c r="Q299" i="7" s="1"/>
  <c r="M297" i="7"/>
  <c r="N297" i="7" s="1"/>
  <c r="R297" i="7" s="1"/>
  <c r="J297" i="7"/>
  <c r="K297" i="7" s="1"/>
  <c r="Q297" i="7" s="1"/>
  <c r="M293" i="7"/>
  <c r="N293" i="7" s="1"/>
  <c r="R293" i="7" s="1"/>
  <c r="J293" i="7"/>
  <c r="K293" i="7" s="1"/>
  <c r="Q293" i="7" s="1"/>
  <c r="M290" i="7"/>
  <c r="N290" i="7" s="1"/>
  <c r="R290" i="7" s="1"/>
  <c r="J290" i="7"/>
  <c r="K290" i="7" s="1"/>
  <c r="Q290" i="7" s="1"/>
  <c r="M280" i="7"/>
  <c r="N280" i="7" s="1"/>
  <c r="R280" i="7" s="1"/>
  <c r="J280" i="7"/>
  <c r="K280" i="7" s="1"/>
  <c r="Q280" i="7" s="1"/>
  <c r="M166" i="7"/>
  <c r="N166" i="7" s="1"/>
  <c r="R166" i="7" s="1"/>
  <c r="J166" i="7"/>
  <c r="K166" i="7" s="1"/>
  <c r="Q166" i="7" s="1"/>
  <c r="M121" i="7"/>
  <c r="N121" i="7" s="1"/>
  <c r="R121" i="7" s="1"/>
  <c r="J121" i="7"/>
  <c r="K121" i="7" s="1"/>
  <c r="Q121" i="7" s="1"/>
  <c r="J9" i="7"/>
  <c r="K9" i="7" s="1"/>
  <c r="Q9" i="7" s="1"/>
  <c r="M9" i="7"/>
  <c r="N9" i="7" s="1"/>
  <c r="R9" i="7" s="1"/>
  <c r="M363" i="7"/>
  <c r="N363" i="7" s="1"/>
  <c r="R363" i="7" s="1"/>
  <c r="J363" i="7"/>
  <c r="K363" i="7" s="1"/>
  <c r="Q363" i="7" s="1"/>
  <c r="M362" i="7"/>
  <c r="N362" i="7" s="1"/>
  <c r="R362" i="7" s="1"/>
  <c r="J362" i="7"/>
  <c r="K362" i="7" s="1"/>
  <c r="Q362" i="7" s="1"/>
  <c r="M361" i="7"/>
  <c r="N361" i="7" s="1"/>
  <c r="R361" i="7" s="1"/>
  <c r="J361" i="7"/>
  <c r="K361" i="7" s="1"/>
  <c r="Q361" i="7" s="1"/>
  <c r="M360" i="7"/>
  <c r="N360" i="7" s="1"/>
  <c r="R360" i="7" s="1"/>
  <c r="J360" i="7"/>
  <c r="K360" i="7" s="1"/>
  <c r="Q360" i="7" s="1"/>
  <c r="M359" i="7"/>
  <c r="N359" i="7" s="1"/>
  <c r="R359" i="7" s="1"/>
  <c r="J359" i="7"/>
  <c r="K359" i="7" s="1"/>
  <c r="Q359" i="7" s="1"/>
  <c r="M358" i="7"/>
  <c r="N358" i="7" s="1"/>
  <c r="R358" i="7" s="1"/>
  <c r="J358" i="7"/>
  <c r="K358" i="7" s="1"/>
  <c r="Q358" i="7" s="1"/>
  <c r="M356" i="7"/>
  <c r="N356" i="7" s="1"/>
  <c r="R356" i="7" s="1"/>
  <c r="J356" i="7"/>
  <c r="K356" i="7" s="1"/>
  <c r="Q356" i="7" s="1"/>
  <c r="M355" i="7"/>
  <c r="N355" i="7" s="1"/>
  <c r="R355" i="7" s="1"/>
  <c r="J355" i="7"/>
  <c r="K355" i="7" s="1"/>
  <c r="Q355" i="7" s="1"/>
  <c r="M354" i="7"/>
  <c r="N354" i="7" s="1"/>
  <c r="R354" i="7" s="1"/>
  <c r="J354" i="7"/>
  <c r="K354" i="7" s="1"/>
  <c r="Q354" i="7" s="1"/>
  <c r="M353" i="7"/>
  <c r="N353" i="7" s="1"/>
  <c r="R353" i="7" s="1"/>
  <c r="J353" i="7"/>
  <c r="K353" i="7" s="1"/>
  <c r="Q353" i="7" s="1"/>
  <c r="M352" i="7"/>
  <c r="N352" i="7" s="1"/>
  <c r="R352" i="7" s="1"/>
  <c r="J352" i="7"/>
  <c r="K352" i="7" s="1"/>
  <c r="Q352" i="7" s="1"/>
  <c r="M351" i="7"/>
  <c r="N351" i="7" s="1"/>
  <c r="R351" i="7" s="1"/>
  <c r="J351" i="7"/>
  <c r="K351" i="7" s="1"/>
  <c r="Q351" i="7" s="1"/>
  <c r="M350" i="7"/>
  <c r="N350" i="7" s="1"/>
  <c r="R350" i="7" s="1"/>
  <c r="J350" i="7"/>
  <c r="K350" i="7" s="1"/>
  <c r="Q350" i="7" s="1"/>
  <c r="M349" i="7"/>
  <c r="N349" i="7" s="1"/>
  <c r="R349" i="7" s="1"/>
  <c r="J349" i="7"/>
  <c r="K349" i="7" s="1"/>
  <c r="Q349" i="7" s="1"/>
  <c r="M348" i="7"/>
  <c r="N348" i="7" s="1"/>
  <c r="R348" i="7" s="1"/>
  <c r="J348" i="7"/>
  <c r="K348" i="7" s="1"/>
  <c r="Q348" i="7" s="1"/>
  <c r="M347" i="7"/>
  <c r="N347" i="7" s="1"/>
  <c r="R347" i="7" s="1"/>
  <c r="J347" i="7"/>
  <c r="K347" i="7" s="1"/>
  <c r="Q347" i="7" s="1"/>
  <c r="M345" i="7"/>
  <c r="N345" i="7" s="1"/>
  <c r="R345" i="7" s="1"/>
  <c r="J345" i="7"/>
  <c r="K345" i="7" s="1"/>
  <c r="Q345" i="7" s="1"/>
  <c r="M344" i="7"/>
  <c r="N344" i="7" s="1"/>
  <c r="R344" i="7" s="1"/>
  <c r="J344" i="7"/>
  <c r="K344" i="7" s="1"/>
  <c r="Q344" i="7" s="1"/>
  <c r="M343" i="7"/>
  <c r="N343" i="7" s="1"/>
  <c r="R343" i="7" s="1"/>
  <c r="J343" i="7"/>
  <c r="K343" i="7" s="1"/>
  <c r="Q343" i="7" s="1"/>
  <c r="M342" i="7"/>
  <c r="N342" i="7" s="1"/>
  <c r="R342" i="7" s="1"/>
  <c r="J342" i="7"/>
  <c r="K342" i="7" s="1"/>
  <c r="Q342" i="7" s="1"/>
  <c r="M340" i="7"/>
  <c r="N340" i="7" s="1"/>
  <c r="R340" i="7" s="1"/>
  <c r="J340" i="7"/>
  <c r="K340" i="7" s="1"/>
  <c r="Q340" i="7" s="1"/>
  <c r="M339" i="7"/>
  <c r="N339" i="7" s="1"/>
  <c r="R339" i="7" s="1"/>
  <c r="J339" i="7"/>
  <c r="K339" i="7" s="1"/>
  <c r="Q339" i="7" s="1"/>
  <c r="M338" i="7"/>
  <c r="N338" i="7" s="1"/>
  <c r="R338" i="7" s="1"/>
  <c r="J338" i="7"/>
  <c r="K338" i="7" s="1"/>
  <c r="Q338" i="7" s="1"/>
  <c r="M337" i="7"/>
  <c r="N337" i="7" s="1"/>
  <c r="R337" i="7" s="1"/>
  <c r="J337" i="7"/>
  <c r="K337" i="7" s="1"/>
  <c r="Q337" i="7" s="1"/>
  <c r="M336" i="7"/>
  <c r="N336" i="7" s="1"/>
  <c r="R336" i="7" s="1"/>
  <c r="J336" i="7"/>
  <c r="K336" i="7" s="1"/>
  <c r="Q336" i="7" s="1"/>
  <c r="M335" i="7"/>
  <c r="N335" i="7" s="1"/>
  <c r="R335" i="7" s="1"/>
  <c r="J335" i="7"/>
  <c r="K335" i="7" s="1"/>
  <c r="Q335" i="7" s="1"/>
  <c r="M334" i="7"/>
  <c r="N334" i="7" s="1"/>
  <c r="R334" i="7" s="1"/>
  <c r="J334" i="7"/>
  <c r="K334" i="7" s="1"/>
  <c r="Q334" i="7" s="1"/>
  <c r="M333" i="7"/>
  <c r="N333" i="7" s="1"/>
  <c r="R333" i="7" s="1"/>
  <c r="J333" i="7"/>
  <c r="K333" i="7" s="1"/>
  <c r="Q333" i="7" s="1"/>
  <c r="M332" i="7"/>
  <c r="N332" i="7" s="1"/>
  <c r="R332" i="7" s="1"/>
  <c r="J332" i="7"/>
  <c r="K332" i="7" s="1"/>
  <c r="Q332" i="7" s="1"/>
  <c r="M331" i="7"/>
  <c r="N331" i="7" s="1"/>
  <c r="R331" i="7" s="1"/>
  <c r="J331" i="7"/>
  <c r="K331" i="7" s="1"/>
  <c r="Q331" i="7" s="1"/>
  <c r="M330" i="7"/>
  <c r="N330" i="7" s="1"/>
  <c r="R330" i="7" s="1"/>
  <c r="J330" i="7"/>
  <c r="K330" i="7" s="1"/>
  <c r="Q330" i="7" s="1"/>
  <c r="M329" i="7"/>
  <c r="N329" i="7" s="1"/>
  <c r="R329" i="7" s="1"/>
  <c r="J329" i="7"/>
  <c r="K329" i="7" s="1"/>
  <c r="Q329" i="7" s="1"/>
  <c r="M328" i="7"/>
  <c r="N328" i="7" s="1"/>
  <c r="R328" i="7" s="1"/>
  <c r="J328" i="7"/>
  <c r="K328" i="7" s="1"/>
  <c r="Q328" i="7" s="1"/>
  <c r="M327" i="7"/>
  <c r="N327" i="7" s="1"/>
  <c r="R327" i="7" s="1"/>
  <c r="J327" i="7"/>
  <c r="K327" i="7" s="1"/>
  <c r="Q327" i="7" s="1"/>
  <c r="M326" i="7"/>
  <c r="N326" i="7" s="1"/>
  <c r="R326" i="7" s="1"/>
  <c r="J326" i="7"/>
  <c r="K326" i="7" s="1"/>
  <c r="Q326" i="7" s="1"/>
  <c r="M325" i="7"/>
  <c r="N325" i="7" s="1"/>
  <c r="R325" i="7" s="1"/>
  <c r="J325" i="7"/>
  <c r="K325" i="7" s="1"/>
  <c r="Q325" i="7" s="1"/>
  <c r="M324" i="7"/>
  <c r="N324" i="7" s="1"/>
  <c r="R324" i="7" s="1"/>
  <c r="J324" i="7"/>
  <c r="K324" i="7" s="1"/>
  <c r="Q324" i="7" s="1"/>
  <c r="M323" i="7"/>
  <c r="N323" i="7" s="1"/>
  <c r="R323" i="7" s="1"/>
  <c r="J323" i="7"/>
  <c r="K323" i="7" s="1"/>
  <c r="Q323" i="7" s="1"/>
  <c r="M322" i="7"/>
  <c r="N322" i="7" s="1"/>
  <c r="R322" i="7" s="1"/>
  <c r="J322" i="7"/>
  <c r="K322" i="7" s="1"/>
  <c r="Q322" i="7" s="1"/>
  <c r="M321" i="7"/>
  <c r="N321" i="7" s="1"/>
  <c r="R321" i="7" s="1"/>
  <c r="J321" i="7"/>
  <c r="K321" i="7" s="1"/>
  <c r="Q321" i="7" s="1"/>
  <c r="J320" i="7"/>
  <c r="K320" i="7" s="1"/>
  <c r="Q320" i="7" s="1"/>
  <c r="M320" i="7"/>
  <c r="N320" i="7" s="1"/>
  <c r="R320" i="7" s="1"/>
  <c r="M319" i="7"/>
  <c r="N319" i="7" s="1"/>
  <c r="R319" i="7" s="1"/>
  <c r="J319" i="7"/>
  <c r="K319" i="7" s="1"/>
  <c r="Q319" i="7" s="1"/>
  <c r="J318" i="7"/>
  <c r="K318" i="7" s="1"/>
  <c r="Q318" i="7" s="1"/>
  <c r="M318" i="7"/>
  <c r="N318" i="7" s="1"/>
  <c r="R318" i="7" s="1"/>
  <c r="M317" i="7"/>
  <c r="N317" i="7" s="1"/>
  <c r="J317" i="7"/>
  <c r="K317" i="7" s="1"/>
  <c r="M316" i="7"/>
  <c r="N316" i="7" s="1"/>
  <c r="R316" i="7" s="1"/>
  <c r="J316" i="7"/>
  <c r="K316" i="7" s="1"/>
  <c r="Q316" i="7" s="1"/>
  <c r="J315" i="7"/>
  <c r="K315" i="7" s="1"/>
  <c r="Q315" i="7" s="1"/>
  <c r="M315" i="7"/>
  <c r="N315" i="7" s="1"/>
  <c r="R315" i="7" s="1"/>
  <c r="M314" i="7"/>
  <c r="N314" i="7" s="1"/>
  <c r="R314" i="7" s="1"/>
  <c r="J314" i="7"/>
  <c r="K314" i="7" s="1"/>
  <c r="Q314" i="7" s="1"/>
  <c r="M312" i="7"/>
  <c r="N312" i="7" s="1"/>
  <c r="R312" i="7" s="1"/>
  <c r="J312" i="7"/>
  <c r="K312" i="7" s="1"/>
  <c r="Q312" i="7" s="1"/>
  <c r="M311" i="7"/>
  <c r="N311" i="7" s="1"/>
  <c r="R311" i="7" s="1"/>
  <c r="J311" i="7"/>
  <c r="K311" i="7" s="1"/>
  <c r="Q311" i="7" s="1"/>
  <c r="J310" i="7"/>
  <c r="K310" i="7" s="1"/>
  <c r="Q310" i="7" s="1"/>
  <c r="M310" i="7"/>
  <c r="N310" i="7" s="1"/>
  <c r="R310" i="7" s="1"/>
  <c r="J309" i="7"/>
  <c r="K309" i="7" s="1"/>
  <c r="Q309" i="7" s="1"/>
  <c r="M309" i="7"/>
  <c r="N309" i="7" s="1"/>
  <c r="R309" i="7" s="1"/>
  <c r="M308" i="7"/>
  <c r="N308" i="7" s="1"/>
  <c r="R308" i="7" s="1"/>
  <c r="J308" i="7"/>
  <c r="K308" i="7" s="1"/>
  <c r="Q308" i="7" s="1"/>
  <c r="M306" i="7"/>
  <c r="N306" i="7" s="1"/>
  <c r="R306" i="7" s="1"/>
  <c r="J306" i="7"/>
  <c r="K306" i="7" s="1"/>
  <c r="Q306" i="7" s="1"/>
  <c r="J304" i="7"/>
  <c r="K304" i="7" s="1"/>
  <c r="Q304" i="7" s="1"/>
  <c r="M304" i="7"/>
  <c r="N304" i="7" s="1"/>
  <c r="R304" i="7" s="1"/>
  <c r="M303" i="7"/>
  <c r="N303" i="7" s="1"/>
  <c r="R303" i="7" s="1"/>
  <c r="J303" i="7"/>
  <c r="K303" i="7" s="1"/>
  <c r="Q303" i="7" s="1"/>
  <c r="M302" i="7"/>
  <c r="N302" i="7" s="1"/>
  <c r="R302" i="7" s="1"/>
  <c r="J302" i="7"/>
  <c r="K302" i="7" s="1"/>
  <c r="Q302" i="7" s="1"/>
  <c r="M301" i="7"/>
  <c r="N301" i="7" s="1"/>
  <c r="R301" i="7" s="1"/>
  <c r="J301" i="7"/>
  <c r="K301" i="7" s="1"/>
  <c r="Q301" i="7" s="1"/>
  <c r="J300" i="7"/>
  <c r="K300" i="7" s="1"/>
  <c r="Q300" i="7" s="1"/>
  <c r="M300" i="7"/>
  <c r="N300" i="7" s="1"/>
  <c r="R300" i="7" s="1"/>
  <c r="M298" i="7"/>
  <c r="N298" i="7" s="1"/>
  <c r="R298" i="7" s="1"/>
  <c r="J298" i="7"/>
  <c r="K298" i="7" s="1"/>
  <c r="Q298" i="7" s="1"/>
  <c r="J296" i="7"/>
  <c r="K296" i="7" s="1"/>
  <c r="Q296" i="7" s="1"/>
  <c r="M296" i="7"/>
  <c r="N296" i="7" s="1"/>
  <c r="R296" i="7" s="1"/>
  <c r="M295" i="7"/>
  <c r="N295" i="7" s="1"/>
  <c r="R295" i="7" s="1"/>
  <c r="J295" i="7"/>
  <c r="K295" i="7" s="1"/>
  <c r="Q295" i="7" s="1"/>
  <c r="J294" i="7"/>
  <c r="K294" i="7" s="1"/>
  <c r="Q294" i="7" s="1"/>
  <c r="M294" i="7"/>
  <c r="N294" i="7" s="1"/>
  <c r="R294" i="7" s="1"/>
  <c r="J292" i="7"/>
  <c r="K292" i="7" s="1"/>
  <c r="Q292" i="7" s="1"/>
  <c r="M292" i="7"/>
  <c r="N292" i="7" s="1"/>
  <c r="R292" i="7" s="1"/>
  <c r="M291" i="7"/>
  <c r="N291" i="7" s="1"/>
  <c r="R291" i="7" s="1"/>
  <c r="J291" i="7"/>
  <c r="K291" i="7" s="1"/>
  <c r="Q291" i="7" s="1"/>
  <c r="J281" i="7"/>
  <c r="K281" i="7" s="1"/>
  <c r="Q281" i="7" s="1"/>
  <c r="M281" i="7"/>
  <c r="N281" i="7" s="1"/>
  <c r="R281" i="7" s="1"/>
  <c r="M279" i="7"/>
  <c r="N279" i="7" s="1"/>
  <c r="R279" i="7" s="1"/>
  <c r="J279" i="7"/>
  <c r="K279" i="7" s="1"/>
  <c r="Q279" i="7" s="1"/>
  <c r="M278" i="7"/>
  <c r="N278" i="7" s="1"/>
  <c r="R278" i="7" s="1"/>
  <c r="J278" i="7"/>
  <c r="K278" i="7" s="1"/>
  <c r="Q278" i="7" s="1"/>
  <c r="M277" i="7"/>
  <c r="N277" i="7" s="1"/>
  <c r="R277" i="7" s="1"/>
  <c r="J277" i="7"/>
  <c r="K277" i="7" s="1"/>
  <c r="Q277" i="7" s="1"/>
  <c r="M276" i="7"/>
  <c r="N276" i="7" s="1"/>
  <c r="R276" i="7" s="1"/>
  <c r="J276" i="7"/>
  <c r="K276" i="7" s="1"/>
  <c r="Q276" i="7" s="1"/>
  <c r="M275" i="7"/>
  <c r="N275" i="7" s="1"/>
  <c r="R275" i="7" s="1"/>
  <c r="J275" i="7"/>
  <c r="K275" i="7" s="1"/>
  <c r="Q275" i="7" s="1"/>
  <c r="M274" i="7"/>
  <c r="N274" i="7" s="1"/>
  <c r="R274" i="7" s="1"/>
  <c r="J274" i="7"/>
  <c r="K274" i="7" s="1"/>
  <c r="Q274" i="7" s="1"/>
  <c r="M273" i="7"/>
  <c r="N273" i="7" s="1"/>
  <c r="J273" i="7"/>
  <c r="K273" i="7" s="1"/>
  <c r="M272" i="7"/>
  <c r="N272" i="7" s="1"/>
  <c r="R272" i="7" s="1"/>
  <c r="J272" i="7"/>
  <c r="K272" i="7" s="1"/>
  <c r="Q272" i="7" s="1"/>
  <c r="M271" i="7"/>
  <c r="N271" i="7" s="1"/>
  <c r="R271" i="7" s="1"/>
  <c r="J271" i="7"/>
  <c r="K271" i="7" s="1"/>
  <c r="Q271" i="7" s="1"/>
  <c r="M270" i="7"/>
  <c r="N270" i="7" s="1"/>
  <c r="R270" i="7" s="1"/>
  <c r="J270" i="7"/>
  <c r="K270" i="7" s="1"/>
  <c r="Q270" i="7" s="1"/>
  <c r="M269" i="7"/>
  <c r="N269" i="7" s="1"/>
  <c r="R269" i="7" s="1"/>
  <c r="J269" i="7"/>
  <c r="K269" i="7" s="1"/>
  <c r="Q269" i="7" s="1"/>
  <c r="M268" i="7"/>
  <c r="N268" i="7" s="1"/>
  <c r="R268" i="7" s="1"/>
  <c r="J268" i="7"/>
  <c r="K268" i="7" s="1"/>
  <c r="Q268" i="7" s="1"/>
  <c r="M266" i="7"/>
  <c r="N266" i="7" s="1"/>
  <c r="R266" i="7" s="1"/>
  <c r="J266" i="7"/>
  <c r="K266" i="7" s="1"/>
  <c r="Q266" i="7" s="1"/>
  <c r="M265" i="7"/>
  <c r="N265" i="7" s="1"/>
  <c r="R265" i="7" s="1"/>
  <c r="J265" i="7"/>
  <c r="K265" i="7" s="1"/>
  <c r="Q265" i="7" s="1"/>
  <c r="M264" i="7"/>
  <c r="N264" i="7" s="1"/>
  <c r="R264" i="7" s="1"/>
  <c r="J264" i="7"/>
  <c r="K264" i="7" s="1"/>
  <c r="Q264" i="7" s="1"/>
  <c r="M263" i="7"/>
  <c r="N263" i="7" s="1"/>
  <c r="R263" i="7" s="1"/>
  <c r="J263" i="7"/>
  <c r="K263" i="7" s="1"/>
  <c r="Q263" i="7" s="1"/>
  <c r="M262" i="7"/>
  <c r="N262" i="7" s="1"/>
  <c r="R262" i="7" s="1"/>
  <c r="J262" i="7"/>
  <c r="K262" i="7" s="1"/>
  <c r="Q262" i="7" s="1"/>
  <c r="M261" i="7"/>
  <c r="N261" i="7" s="1"/>
  <c r="R261" i="7" s="1"/>
  <c r="J261" i="7"/>
  <c r="K261" i="7" s="1"/>
  <c r="Q261" i="7" s="1"/>
  <c r="M260" i="7"/>
  <c r="N260" i="7" s="1"/>
  <c r="R260" i="7" s="1"/>
  <c r="J260" i="7"/>
  <c r="K260" i="7" s="1"/>
  <c r="Q260" i="7" s="1"/>
  <c r="M259" i="7"/>
  <c r="N259" i="7" s="1"/>
  <c r="R259" i="7" s="1"/>
  <c r="J259" i="7"/>
  <c r="K259" i="7" s="1"/>
  <c r="Q259" i="7" s="1"/>
  <c r="J258" i="7"/>
  <c r="K258" i="7" s="1"/>
  <c r="Q258" i="7" s="1"/>
  <c r="M258" i="7"/>
  <c r="N258" i="7" s="1"/>
  <c r="R258" i="7" s="1"/>
  <c r="J256" i="7"/>
  <c r="K256" i="7" s="1"/>
  <c r="Q256" i="7" s="1"/>
  <c r="M256" i="7"/>
  <c r="N256" i="7" s="1"/>
  <c r="R256" i="7" s="1"/>
  <c r="M255" i="7"/>
  <c r="N255" i="7" s="1"/>
  <c r="R255" i="7" s="1"/>
  <c r="J255" i="7"/>
  <c r="K255" i="7" s="1"/>
  <c r="Q255" i="7" s="1"/>
  <c r="M254" i="7"/>
  <c r="N254" i="7" s="1"/>
  <c r="R254" i="7" s="1"/>
  <c r="J254" i="7"/>
  <c r="K254" i="7" s="1"/>
  <c r="Q254" i="7" s="1"/>
  <c r="M253" i="7"/>
  <c r="N253" i="7" s="1"/>
  <c r="R253" i="7" s="1"/>
  <c r="J253" i="7"/>
  <c r="K253" i="7" s="1"/>
  <c r="Q253" i="7" s="1"/>
  <c r="M252" i="7"/>
  <c r="N252" i="7" s="1"/>
  <c r="R252" i="7" s="1"/>
  <c r="J252" i="7"/>
  <c r="K252" i="7" s="1"/>
  <c r="Q252" i="7" s="1"/>
  <c r="M251" i="7"/>
  <c r="N251" i="7" s="1"/>
  <c r="R251" i="7" s="1"/>
  <c r="J251" i="7"/>
  <c r="K251" i="7" s="1"/>
  <c r="Q251" i="7" s="1"/>
  <c r="M250" i="7"/>
  <c r="N250" i="7" s="1"/>
  <c r="R250" i="7" s="1"/>
  <c r="J250" i="7"/>
  <c r="K250" i="7" s="1"/>
  <c r="Q250" i="7" s="1"/>
  <c r="M249" i="7"/>
  <c r="N249" i="7" s="1"/>
  <c r="R249" i="7" s="1"/>
  <c r="J249" i="7"/>
  <c r="K249" i="7" s="1"/>
  <c r="Q249" i="7" s="1"/>
  <c r="J248" i="7"/>
  <c r="K248" i="7" s="1"/>
  <c r="Q248" i="7" s="1"/>
  <c r="M248" i="7"/>
  <c r="N248" i="7" s="1"/>
  <c r="R248" i="7" s="1"/>
  <c r="J247" i="7"/>
  <c r="K247" i="7" s="1"/>
  <c r="Q247" i="7" s="1"/>
  <c r="M247" i="7"/>
  <c r="N247" i="7" s="1"/>
  <c r="R247" i="7" s="1"/>
  <c r="M246" i="7"/>
  <c r="N246" i="7" s="1"/>
  <c r="R246" i="7" s="1"/>
  <c r="J246" i="7"/>
  <c r="K246" i="7" s="1"/>
  <c r="Q246" i="7" s="1"/>
  <c r="M245" i="7"/>
  <c r="N245" i="7" s="1"/>
  <c r="R245" i="7" s="1"/>
  <c r="J245" i="7"/>
  <c r="K245" i="7" s="1"/>
  <c r="Q245" i="7" s="1"/>
  <c r="M244" i="7"/>
  <c r="N244" i="7" s="1"/>
  <c r="R244" i="7" s="1"/>
  <c r="J244" i="7"/>
  <c r="K244" i="7" s="1"/>
  <c r="Q244" i="7" s="1"/>
  <c r="M243" i="7"/>
  <c r="N243" i="7" s="1"/>
  <c r="R243" i="7" s="1"/>
  <c r="J243" i="7"/>
  <c r="K243" i="7" s="1"/>
  <c r="Q243" i="7" s="1"/>
  <c r="M242" i="7"/>
  <c r="N242" i="7" s="1"/>
  <c r="R242" i="7" s="1"/>
  <c r="J242" i="7"/>
  <c r="K242" i="7" s="1"/>
  <c r="Q242" i="7" s="1"/>
  <c r="M241" i="7"/>
  <c r="N241" i="7" s="1"/>
  <c r="R241" i="7" s="1"/>
  <c r="J241" i="7"/>
  <c r="K241" i="7" s="1"/>
  <c r="Q241" i="7" s="1"/>
  <c r="M240" i="7"/>
  <c r="N240" i="7" s="1"/>
  <c r="R240" i="7" s="1"/>
  <c r="J240" i="7"/>
  <c r="K240" i="7" s="1"/>
  <c r="Q240" i="7" s="1"/>
  <c r="J239" i="7"/>
  <c r="K239" i="7" s="1"/>
  <c r="Q239" i="7" s="1"/>
  <c r="M239" i="7"/>
  <c r="N239" i="7" s="1"/>
  <c r="R239" i="7" s="1"/>
  <c r="J238" i="7"/>
  <c r="K238" i="7" s="1"/>
  <c r="Q238" i="7" s="1"/>
  <c r="M238" i="7"/>
  <c r="N238" i="7" s="1"/>
  <c r="R238" i="7" s="1"/>
  <c r="J237" i="7"/>
  <c r="K237" i="7" s="1"/>
  <c r="Q237" i="7" s="1"/>
  <c r="M237" i="7"/>
  <c r="N237" i="7" s="1"/>
  <c r="R237" i="7" s="1"/>
  <c r="J236" i="7"/>
  <c r="K236" i="7" s="1"/>
  <c r="Q236" i="7" s="1"/>
  <c r="M236" i="7"/>
  <c r="N236" i="7" s="1"/>
  <c r="R236" i="7" s="1"/>
  <c r="J235" i="7"/>
  <c r="K235" i="7" s="1"/>
  <c r="Q235" i="7" s="1"/>
  <c r="M235" i="7"/>
  <c r="N235" i="7" s="1"/>
  <c r="R235" i="7" s="1"/>
  <c r="J234" i="7"/>
  <c r="K234" i="7" s="1"/>
  <c r="Q234" i="7" s="1"/>
  <c r="M234" i="7"/>
  <c r="N234" i="7" s="1"/>
  <c r="R234" i="7" s="1"/>
  <c r="M233" i="7"/>
  <c r="N233" i="7" s="1"/>
  <c r="R233" i="7" s="1"/>
  <c r="J233" i="7"/>
  <c r="K233" i="7" s="1"/>
  <c r="Q233" i="7" s="1"/>
  <c r="J232" i="7"/>
  <c r="K232" i="7" s="1"/>
  <c r="Q232" i="7" s="1"/>
  <c r="M232" i="7"/>
  <c r="N232" i="7" s="1"/>
  <c r="R232" i="7" s="1"/>
  <c r="J231" i="7"/>
  <c r="K231" i="7" s="1"/>
  <c r="Q231" i="7" s="1"/>
  <c r="M231" i="7"/>
  <c r="N231" i="7" s="1"/>
  <c r="R231" i="7" s="1"/>
  <c r="J230" i="7"/>
  <c r="K230" i="7" s="1"/>
  <c r="Q230" i="7" s="1"/>
  <c r="M230" i="7"/>
  <c r="N230" i="7" s="1"/>
  <c r="R230" i="7" s="1"/>
  <c r="J229" i="7"/>
  <c r="K229" i="7" s="1"/>
  <c r="Q229" i="7" s="1"/>
  <c r="M229" i="7"/>
  <c r="N229" i="7" s="1"/>
  <c r="R229" i="7" s="1"/>
  <c r="M228" i="7"/>
  <c r="N228" i="7" s="1"/>
  <c r="R228" i="7" s="1"/>
  <c r="J228" i="7"/>
  <c r="K228" i="7" s="1"/>
  <c r="Q228" i="7" s="1"/>
  <c r="J227" i="7"/>
  <c r="K227" i="7" s="1"/>
  <c r="Q227" i="7" s="1"/>
  <c r="M227" i="7"/>
  <c r="N227" i="7" s="1"/>
  <c r="R227" i="7" s="1"/>
  <c r="J226" i="7"/>
  <c r="K226" i="7" s="1"/>
  <c r="Q226" i="7" s="1"/>
  <c r="M226" i="7"/>
  <c r="N226" i="7" s="1"/>
  <c r="R226" i="7" s="1"/>
  <c r="M225" i="7"/>
  <c r="N225" i="7" s="1"/>
  <c r="R225" i="7" s="1"/>
  <c r="J225" i="7"/>
  <c r="K225" i="7" s="1"/>
  <c r="Q225" i="7" s="1"/>
  <c r="J224" i="7"/>
  <c r="K224" i="7" s="1"/>
  <c r="Q224" i="7" s="1"/>
  <c r="M224" i="7"/>
  <c r="N224" i="7" s="1"/>
  <c r="R224" i="7" s="1"/>
  <c r="J223" i="7"/>
  <c r="K223" i="7" s="1"/>
  <c r="Q223" i="7" s="1"/>
  <c r="M223" i="7"/>
  <c r="N223" i="7" s="1"/>
  <c r="R223" i="7" s="1"/>
  <c r="J222" i="7"/>
  <c r="K222" i="7" s="1"/>
  <c r="Q222" i="7" s="1"/>
  <c r="M222" i="7"/>
  <c r="N222" i="7" s="1"/>
  <c r="R222" i="7" s="1"/>
  <c r="M221" i="7"/>
  <c r="N221" i="7" s="1"/>
  <c r="R221" i="7" s="1"/>
  <c r="J221" i="7"/>
  <c r="K221" i="7" s="1"/>
  <c r="Q221" i="7" s="1"/>
  <c r="J220" i="7"/>
  <c r="K220" i="7" s="1"/>
  <c r="Q220" i="7" s="1"/>
  <c r="M220" i="7"/>
  <c r="N220" i="7" s="1"/>
  <c r="R220" i="7" s="1"/>
  <c r="M219" i="7"/>
  <c r="N219" i="7" s="1"/>
  <c r="R219" i="7" s="1"/>
  <c r="J219" i="7"/>
  <c r="K219" i="7" s="1"/>
  <c r="Q219" i="7" s="1"/>
  <c r="J218" i="7"/>
  <c r="K218" i="7" s="1"/>
  <c r="Q218" i="7" s="1"/>
  <c r="M218" i="7"/>
  <c r="N218" i="7" s="1"/>
  <c r="R218" i="7" s="1"/>
  <c r="M217" i="7"/>
  <c r="N217" i="7" s="1"/>
  <c r="R217" i="7" s="1"/>
  <c r="J217" i="7"/>
  <c r="K217" i="7" s="1"/>
  <c r="Q217" i="7" s="1"/>
  <c r="J216" i="7"/>
  <c r="K216" i="7" s="1"/>
  <c r="Q216" i="7" s="1"/>
  <c r="M216" i="7"/>
  <c r="N216" i="7" s="1"/>
  <c r="R216" i="7" s="1"/>
  <c r="J215" i="7"/>
  <c r="K215" i="7" s="1"/>
  <c r="Q215" i="7" s="1"/>
  <c r="M215" i="7"/>
  <c r="N215" i="7" s="1"/>
  <c r="R215" i="7" s="1"/>
  <c r="J214" i="7"/>
  <c r="K214" i="7" s="1"/>
  <c r="Q214" i="7" s="1"/>
  <c r="M214" i="7"/>
  <c r="N214" i="7" s="1"/>
  <c r="R214" i="7" s="1"/>
  <c r="J212" i="7"/>
  <c r="K212" i="7" s="1"/>
  <c r="Q212" i="7" s="1"/>
  <c r="M212" i="7"/>
  <c r="N212" i="7" s="1"/>
  <c r="R212" i="7" s="1"/>
  <c r="J211" i="7"/>
  <c r="K211" i="7" s="1"/>
  <c r="Q211" i="7" s="1"/>
  <c r="M211" i="7"/>
  <c r="N211" i="7" s="1"/>
  <c r="R211" i="7" s="1"/>
  <c r="M210" i="7"/>
  <c r="N210" i="7" s="1"/>
  <c r="R210" i="7" s="1"/>
  <c r="J210" i="7"/>
  <c r="K210" i="7" s="1"/>
  <c r="Q210" i="7" s="1"/>
  <c r="J209" i="7"/>
  <c r="K209" i="7" s="1"/>
  <c r="Q209" i="7" s="1"/>
  <c r="M209" i="7"/>
  <c r="N209" i="7" s="1"/>
  <c r="R209" i="7" s="1"/>
  <c r="M208" i="7"/>
  <c r="N208" i="7" s="1"/>
  <c r="R208" i="7" s="1"/>
  <c r="J208" i="7"/>
  <c r="K208" i="7" s="1"/>
  <c r="Q208" i="7" s="1"/>
  <c r="M207" i="7"/>
  <c r="N207" i="7" s="1"/>
  <c r="R207" i="7" s="1"/>
  <c r="J207" i="7"/>
  <c r="K207" i="7" s="1"/>
  <c r="Q207" i="7" s="1"/>
  <c r="M206" i="7"/>
  <c r="N206" i="7" s="1"/>
  <c r="R206" i="7" s="1"/>
  <c r="J206" i="7"/>
  <c r="K206" i="7" s="1"/>
  <c r="Q206" i="7" s="1"/>
  <c r="M204" i="7"/>
  <c r="N204" i="7" s="1"/>
  <c r="R204" i="7" s="1"/>
  <c r="J204" i="7"/>
  <c r="K204" i="7" s="1"/>
  <c r="Q204" i="7" s="1"/>
  <c r="J203" i="7"/>
  <c r="K203" i="7" s="1"/>
  <c r="Q203" i="7" s="1"/>
  <c r="M203" i="7"/>
  <c r="N203" i="7" s="1"/>
  <c r="R203" i="7" s="1"/>
  <c r="J202" i="7"/>
  <c r="K202" i="7" s="1"/>
  <c r="Q202" i="7" s="1"/>
  <c r="M202" i="7"/>
  <c r="N202" i="7" s="1"/>
  <c r="R202" i="7" s="1"/>
  <c r="J201" i="7"/>
  <c r="K201" i="7" s="1"/>
  <c r="Q201" i="7" s="1"/>
  <c r="M201" i="7"/>
  <c r="N201" i="7" s="1"/>
  <c r="R201" i="7" s="1"/>
  <c r="M200" i="7"/>
  <c r="N200" i="7" s="1"/>
  <c r="R200" i="7" s="1"/>
  <c r="J200" i="7"/>
  <c r="K200" i="7" s="1"/>
  <c r="Q200" i="7" s="1"/>
  <c r="M199" i="7"/>
  <c r="N199" i="7" s="1"/>
  <c r="R199" i="7" s="1"/>
  <c r="J199" i="7"/>
  <c r="K199" i="7" s="1"/>
  <c r="Q199" i="7" s="1"/>
  <c r="J198" i="7"/>
  <c r="K198" i="7" s="1"/>
  <c r="Q198" i="7" s="1"/>
  <c r="M198" i="7"/>
  <c r="N198" i="7" s="1"/>
  <c r="R198" i="7" s="1"/>
  <c r="J197" i="7"/>
  <c r="K197" i="7" s="1"/>
  <c r="Q197" i="7" s="1"/>
  <c r="M197" i="7"/>
  <c r="N197" i="7" s="1"/>
  <c r="R197" i="7" s="1"/>
  <c r="J196" i="7"/>
  <c r="K196" i="7" s="1"/>
  <c r="Q196" i="7" s="1"/>
  <c r="M196" i="7"/>
  <c r="N196" i="7" s="1"/>
  <c r="R196" i="7" s="1"/>
  <c r="J194" i="7"/>
  <c r="K194" i="7" s="1"/>
  <c r="Q194" i="7" s="1"/>
  <c r="M194" i="7"/>
  <c r="N194" i="7" s="1"/>
  <c r="R194" i="7" s="1"/>
  <c r="M193" i="7"/>
  <c r="N193" i="7" s="1"/>
  <c r="R193" i="7" s="1"/>
  <c r="J193" i="7"/>
  <c r="K193" i="7" s="1"/>
  <c r="Q193" i="7" s="1"/>
  <c r="M192" i="7"/>
  <c r="N192" i="7" s="1"/>
  <c r="R192" i="7" s="1"/>
  <c r="J192" i="7"/>
  <c r="K192" i="7" s="1"/>
  <c r="Q192" i="7" s="1"/>
  <c r="M183" i="7"/>
  <c r="N183" i="7" s="1"/>
  <c r="R183" i="7" s="1"/>
  <c r="J183" i="7"/>
  <c r="K183" i="7" s="1"/>
  <c r="Q183" i="7" s="1"/>
  <c r="J182" i="7"/>
  <c r="K182" i="7" s="1"/>
  <c r="Q182" i="7" s="1"/>
  <c r="M182" i="7"/>
  <c r="N182" i="7" s="1"/>
  <c r="R182" i="7" s="1"/>
  <c r="M181" i="7"/>
  <c r="N181" i="7" s="1"/>
  <c r="R181" i="7" s="1"/>
  <c r="J181" i="7"/>
  <c r="K181" i="7" s="1"/>
  <c r="Q181" i="7" s="1"/>
  <c r="J180" i="7"/>
  <c r="K180" i="7" s="1"/>
  <c r="Q180" i="7" s="1"/>
  <c r="M180" i="7"/>
  <c r="N180" i="7" s="1"/>
  <c r="R180" i="7" s="1"/>
  <c r="J179" i="7"/>
  <c r="K179" i="7" s="1"/>
  <c r="Q179" i="7" s="1"/>
  <c r="M179" i="7"/>
  <c r="N179" i="7" s="1"/>
  <c r="R179" i="7" s="1"/>
  <c r="J177" i="7"/>
  <c r="K177" i="7" s="1"/>
  <c r="Q177" i="7" s="1"/>
  <c r="M177" i="7"/>
  <c r="N177" i="7" s="1"/>
  <c r="R177" i="7" s="1"/>
  <c r="M176" i="7"/>
  <c r="N176" i="7" s="1"/>
  <c r="R176" i="7" s="1"/>
  <c r="J176" i="7"/>
  <c r="K176" i="7" s="1"/>
  <c r="Q176" i="7" s="1"/>
  <c r="M175" i="7"/>
  <c r="N175" i="7" s="1"/>
  <c r="R175" i="7" s="1"/>
  <c r="J175" i="7"/>
  <c r="K175" i="7" s="1"/>
  <c r="Q175" i="7" s="1"/>
  <c r="J174" i="7"/>
  <c r="K174" i="7" s="1"/>
  <c r="Q174" i="7" s="1"/>
  <c r="M174" i="7"/>
  <c r="N174" i="7" s="1"/>
  <c r="R174" i="7" s="1"/>
  <c r="M173" i="7"/>
  <c r="N173" i="7" s="1"/>
  <c r="J173" i="7"/>
  <c r="K173" i="7" s="1"/>
  <c r="J172" i="7"/>
  <c r="K172" i="7" s="1"/>
  <c r="Q172" i="7" s="1"/>
  <c r="M172" i="7"/>
  <c r="N172" i="7" s="1"/>
  <c r="R172" i="7" s="1"/>
  <c r="J171" i="7"/>
  <c r="K171" i="7" s="1"/>
  <c r="Q171" i="7" s="1"/>
  <c r="M171" i="7"/>
  <c r="N171" i="7" s="1"/>
  <c r="R171" i="7" s="1"/>
  <c r="M170" i="7"/>
  <c r="N170" i="7" s="1"/>
  <c r="R170" i="7" s="1"/>
  <c r="J170" i="7"/>
  <c r="K170" i="7" s="1"/>
  <c r="Q170" i="7" s="1"/>
  <c r="M168" i="7"/>
  <c r="N168" i="7" s="1"/>
  <c r="R168" i="7" s="1"/>
  <c r="J168" i="7"/>
  <c r="K168" i="7" s="1"/>
  <c r="Q168" i="7" s="1"/>
  <c r="M167" i="7"/>
  <c r="N167" i="7" s="1"/>
  <c r="R167" i="7" s="1"/>
  <c r="J167" i="7"/>
  <c r="K167" i="7" s="1"/>
  <c r="Q167" i="7" s="1"/>
  <c r="J165" i="7"/>
  <c r="K165" i="7" s="1"/>
  <c r="Q165" i="7" s="1"/>
  <c r="M165" i="7"/>
  <c r="N165" i="7" s="1"/>
  <c r="R165" i="7" s="1"/>
  <c r="M164" i="7"/>
  <c r="N164" i="7" s="1"/>
  <c r="R164" i="7" s="1"/>
  <c r="J164" i="7"/>
  <c r="K164" i="7" s="1"/>
  <c r="Q164" i="7" s="1"/>
  <c r="J163" i="7"/>
  <c r="K163" i="7" s="1"/>
  <c r="Q163" i="7" s="1"/>
  <c r="M163" i="7"/>
  <c r="N163" i="7" s="1"/>
  <c r="R163" i="7" s="1"/>
  <c r="M161" i="7"/>
  <c r="N161" i="7" s="1"/>
  <c r="R161" i="7" s="1"/>
  <c r="J161" i="7"/>
  <c r="K161" i="7" s="1"/>
  <c r="Q161" i="7" s="1"/>
  <c r="J160" i="7"/>
  <c r="K160" i="7" s="1"/>
  <c r="Q160" i="7" s="1"/>
  <c r="M160" i="7"/>
  <c r="N160" i="7" s="1"/>
  <c r="R160" i="7" s="1"/>
  <c r="M159" i="7"/>
  <c r="N159" i="7" s="1"/>
  <c r="R159" i="7" s="1"/>
  <c r="J159" i="7"/>
  <c r="K159" i="7" s="1"/>
  <c r="Q159" i="7" s="1"/>
  <c r="M157" i="7"/>
  <c r="N157" i="7" s="1"/>
  <c r="R157" i="7" s="1"/>
  <c r="J157" i="7"/>
  <c r="K157" i="7" s="1"/>
  <c r="Q157" i="7" s="1"/>
  <c r="J156" i="7"/>
  <c r="K156" i="7" s="1"/>
  <c r="Q156" i="7" s="1"/>
  <c r="M156" i="7"/>
  <c r="N156" i="7" s="1"/>
  <c r="R156" i="7" s="1"/>
  <c r="M155" i="7"/>
  <c r="N155" i="7" s="1"/>
  <c r="R155" i="7" s="1"/>
  <c r="J155" i="7"/>
  <c r="K155" i="7" s="1"/>
  <c r="Q155" i="7" s="1"/>
  <c r="M154" i="7"/>
  <c r="N154" i="7" s="1"/>
  <c r="R154" i="7" s="1"/>
  <c r="J154" i="7"/>
  <c r="K154" i="7" s="1"/>
  <c r="Q154" i="7" s="1"/>
  <c r="M153" i="7"/>
  <c r="N153" i="7" s="1"/>
  <c r="R153" i="7" s="1"/>
  <c r="J153" i="7"/>
  <c r="K153" i="7" s="1"/>
  <c r="Q153" i="7" s="1"/>
  <c r="M151" i="7"/>
  <c r="N151" i="7" s="1"/>
  <c r="R151" i="7" s="1"/>
  <c r="J151" i="7"/>
  <c r="K151" i="7" s="1"/>
  <c r="Q151" i="7" s="1"/>
  <c r="J150" i="7"/>
  <c r="K150" i="7" s="1"/>
  <c r="Q150" i="7" s="1"/>
  <c r="M150" i="7"/>
  <c r="N150" i="7" s="1"/>
  <c r="R150" i="7" s="1"/>
  <c r="M149" i="7"/>
  <c r="N149" i="7" s="1"/>
  <c r="R149" i="7" s="1"/>
  <c r="J149" i="7"/>
  <c r="K149" i="7" s="1"/>
  <c r="Q149" i="7" s="1"/>
  <c r="J148" i="7"/>
  <c r="K148" i="7" s="1"/>
  <c r="Q148" i="7" s="1"/>
  <c r="M148" i="7"/>
  <c r="N148" i="7" s="1"/>
  <c r="R148" i="7" s="1"/>
  <c r="M147" i="7"/>
  <c r="N147" i="7" s="1"/>
  <c r="R147" i="7" s="1"/>
  <c r="J147" i="7"/>
  <c r="K147" i="7" s="1"/>
  <c r="Q147" i="7" s="1"/>
  <c r="M146" i="7"/>
  <c r="N146" i="7" s="1"/>
  <c r="R146" i="7" s="1"/>
  <c r="J146" i="7"/>
  <c r="K146" i="7" s="1"/>
  <c r="Q146" i="7" s="1"/>
  <c r="M145" i="7"/>
  <c r="N145" i="7" s="1"/>
  <c r="R145" i="7" s="1"/>
  <c r="J145" i="7"/>
  <c r="K145" i="7" s="1"/>
  <c r="Q145" i="7" s="1"/>
  <c r="J144" i="7"/>
  <c r="K144" i="7" s="1"/>
  <c r="Q144" i="7" s="1"/>
  <c r="M144" i="7"/>
  <c r="N144" i="7" s="1"/>
  <c r="R144" i="7" s="1"/>
  <c r="M143" i="7"/>
  <c r="N143" i="7" s="1"/>
  <c r="R143" i="7" s="1"/>
  <c r="J143" i="7"/>
  <c r="K143" i="7" s="1"/>
  <c r="Q143" i="7" s="1"/>
  <c r="J142" i="7"/>
  <c r="K142" i="7" s="1"/>
  <c r="Q142" i="7" s="1"/>
  <c r="M142" i="7"/>
  <c r="N142" i="7" s="1"/>
  <c r="R142" i="7" s="1"/>
  <c r="M141" i="7"/>
  <c r="N141" i="7" s="1"/>
  <c r="R141" i="7" s="1"/>
  <c r="J141" i="7"/>
  <c r="K141" i="7" s="1"/>
  <c r="Q141" i="7" s="1"/>
  <c r="J140" i="7"/>
  <c r="K140" i="7" s="1"/>
  <c r="Q140" i="7" s="1"/>
  <c r="M140" i="7"/>
  <c r="N140" i="7" s="1"/>
  <c r="R140" i="7" s="1"/>
  <c r="J139" i="7"/>
  <c r="K139" i="7" s="1"/>
  <c r="Q139" i="7" s="1"/>
  <c r="M139" i="7"/>
  <c r="N139" i="7" s="1"/>
  <c r="R139" i="7" s="1"/>
  <c r="M138" i="7"/>
  <c r="N138" i="7" s="1"/>
  <c r="R138" i="7" s="1"/>
  <c r="J138" i="7"/>
  <c r="K138" i="7" s="1"/>
  <c r="Q138" i="7" s="1"/>
  <c r="J137" i="7"/>
  <c r="K137" i="7" s="1"/>
  <c r="Q137" i="7" s="1"/>
  <c r="M137" i="7"/>
  <c r="N137" i="7" s="1"/>
  <c r="R137" i="7" s="1"/>
  <c r="M136" i="7"/>
  <c r="N136" i="7" s="1"/>
  <c r="R136" i="7" s="1"/>
  <c r="J136" i="7"/>
  <c r="K136" i="7" s="1"/>
  <c r="Q136" i="7" s="1"/>
  <c r="J135" i="7"/>
  <c r="K135" i="7" s="1"/>
  <c r="Q135" i="7" s="1"/>
  <c r="M135" i="7"/>
  <c r="N135" i="7" s="1"/>
  <c r="R135" i="7" s="1"/>
  <c r="M134" i="7"/>
  <c r="N134" i="7" s="1"/>
  <c r="R134" i="7" s="1"/>
  <c r="J134" i="7"/>
  <c r="K134" i="7" s="1"/>
  <c r="Q134" i="7" s="1"/>
  <c r="J133" i="7"/>
  <c r="K133" i="7" s="1"/>
  <c r="Q133" i="7" s="1"/>
  <c r="M133" i="7"/>
  <c r="N133" i="7" s="1"/>
  <c r="R133" i="7" s="1"/>
  <c r="M132" i="7"/>
  <c r="N132" i="7" s="1"/>
  <c r="R132" i="7" s="1"/>
  <c r="J132" i="7"/>
  <c r="K132" i="7" s="1"/>
  <c r="Q132" i="7" s="1"/>
  <c r="J131" i="7"/>
  <c r="K131" i="7" s="1"/>
  <c r="Q131" i="7" s="1"/>
  <c r="M131" i="7"/>
  <c r="N131" i="7" s="1"/>
  <c r="R131" i="7" s="1"/>
  <c r="M130" i="7"/>
  <c r="N130" i="7" s="1"/>
  <c r="R130" i="7" s="1"/>
  <c r="J130" i="7"/>
  <c r="K130" i="7" s="1"/>
  <c r="Q130" i="7" s="1"/>
  <c r="J129" i="7"/>
  <c r="K129" i="7" s="1"/>
  <c r="Q129" i="7" s="1"/>
  <c r="M129" i="7"/>
  <c r="N129" i="7" s="1"/>
  <c r="R129" i="7" s="1"/>
  <c r="J128" i="7"/>
  <c r="K128" i="7" s="1"/>
  <c r="Q128" i="7" s="1"/>
  <c r="M128" i="7"/>
  <c r="N128" i="7" s="1"/>
  <c r="R128" i="7" s="1"/>
  <c r="J127" i="7"/>
  <c r="K127" i="7" s="1"/>
  <c r="Q127" i="7" s="1"/>
  <c r="M127" i="7"/>
  <c r="N127" i="7" s="1"/>
  <c r="R127" i="7" s="1"/>
  <c r="J126" i="7"/>
  <c r="K126" i="7" s="1"/>
  <c r="Q126" i="7" s="1"/>
  <c r="M126" i="7"/>
  <c r="N126" i="7" s="1"/>
  <c r="R126" i="7" s="1"/>
  <c r="M125" i="7"/>
  <c r="N125" i="7" s="1"/>
  <c r="R125" i="7" s="1"/>
  <c r="J125" i="7"/>
  <c r="K125" i="7" s="1"/>
  <c r="Q125" i="7" s="1"/>
  <c r="J124" i="7"/>
  <c r="K124" i="7" s="1"/>
  <c r="Q124" i="7" s="1"/>
  <c r="M124" i="7"/>
  <c r="N124" i="7" s="1"/>
  <c r="R124" i="7" s="1"/>
  <c r="M123" i="7"/>
  <c r="N123" i="7" s="1"/>
  <c r="R123" i="7" s="1"/>
  <c r="J123" i="7"/>
  <c r="K123" i="7" s="1"/>
  <c r="Q123" i="7" s="1"/>
  <c r="M122" i="7"/>
  <c r="N122" i="7" s="1"/>
  <c r="R122" i="7" s="1"/>
  <c r="J122" i="7"/>
  <c r="K122" i="7" s="1"/>
  <c r="Q122" i="7" s="1"/>
  <c r="J120" i="7"/>
  <c r="K120" i="7" s="1"/>
  <c r="Q120" i="7" s="1"/>
  <c r="M120" i="7"/>
  <c r="N120" i="7" s="1"/>
  <c r="R120" i="7" s="1"/>
  <c r="J119" i="7"/>
  <c r="K119" i="7" s="1"/>
  <c r="Q119" i="7" s="1"/>
  <c r="M119" i="7"/>
  <c r="N119" i="7" s="1"/>
  <c r="R119" i="7" s="1"/>
  <c r="J118" i="7"/>
  <c r="K118" i="7" s="1"/>
  <c r="Q118" i="7" s="1"/>
  <c r="M118" i="7"/>
  <c r="N118" i="7" s="1"/>
  <c r="R118" i="7" s="1"/>
  <c r="M117" i="7"/>
  <c r="N117" i="7" s="1"/>
  <c r="R117" i="7" s="1"/>
  <c r="J117" i="7"/>
  <c r="K117" i="7" s="1"/>
  <c r="Q117" i="7" s="1"/>
  <c r="M116" i="7"/>
  <c r="N116" i="7" s="1"/>
  <c r="R116" i="7" s="1"/>
  <c r="J116" i="7"/>
  <c r="K116" i="7" s="1"/>
  <c r="Q116" i="7" s="1"/>
  <c r="J115" i="7"/>
  <c r="K115" i="7" s="1"/>
  <c r="Q115" i="7" s="1"/>
  <c r="M115" i="7"/>
  <c r="N115" i="7" s="1"/>
  <c r="R115" i="7" s="1"/>
  <c r="J114" i="7"/>
  <c r="K114" i="7" s="1"/>
  <c r="Q114" i="7" s="1"/>
  <c r="M114" i="7"/>
  <c r="N114" i="7" s="1"/>
  <c r="R114" i="7" s="1"/>
  <c r="M112" i="7"/>
  <c r="N112" i="7" s="1"/>
  <c r="R112" i="7" s="1"/>
  <c r="J112" i="7"/>
  <c r="K112" i="7" s="1"/>
  <c r="Q112" i="7" s="1"/>
  <c r="M111" i="7"/>
  <c r="N111" i="7" s="1"/>
  <c r="R111" i="7" s="1"/>
  <c r="J111" i="7"/>
  <c r="K111" i="7" s="1"/>
  <c r="Q111" i="7" s="1"/>
  <c r="M110" i="7"/>
  <c r="N110" i="7" s="1"/>
  <c r="R110" i="7" s="1"/>
  <c r="J110" i="7"/>
  <c r="K110" i="7" s="1"/>
  <c r="Q110" i="7" s="1"/>
  <c r="M109" i="7"/>
  <c r="N109" i="7" s="1"/>
  <c r="R109" i="7" s="1"/>
  <c r="J109" i="7"/>
  <c r="K109" i="7" s="1"/>
  <c r="Q109" i="7" s="1"/>
  <c r="M108" i="7"/>
  <c r="N108" i="7" s="1"/>
  <c r="R108" i="7" s="1"/>
  <c r="J108" i="7"/>
  <c r="K108" i="7" s="1"/>
  <c r="Q108" i="7" s="1"/>
  <c r="M107" i="7"/>
  <c r="N107" i="7" s="1"/>
  <c r="R107" i="7" s="1"/>
  <c r="J107" i="7"/>
  <c r="K107" i="7" s="1"/>
  <c r="Q107" i="7" s="1"/>
  <c r="M106" i="7"/>
  <c r="N106" i="7" s="1"/>
  <c r="R106" i="7" s="1"/>
  <c r="J106" i="7"/>
  <c r="K106" i="7" s="1"/>
  <c r="Q106" i="7" s="1"/>
  <c r="J104" i="7"/>
  <c r="K104" i="7" s="1"/>
  <c r="Q104" i="7" s="1"/>
  <c r="M104" i="7"/>
  <c r="N104" i="7" s="1"/>
  <c r="R104" i="7" s="1"/>
  <c r="M103" i="7"/>
  <c r="N103" i="7" s="1"/>
  <c r="R103" i="7" s="1"/>
  <c r="J103" i="7"/>
  <c r="K103" i="7" s="1"/>
  <c r="Q103" i="7" s="1"/>
  <c r="J102" i="7"/>
  <c r="K102" i="7" s="1"/>
  <c r="Q102" i="7" s="1"/>
  <c r="M102" i="7"/>
  <c r="N102" i="7" s="1"/>
  <c r="R102" i="7" s="1"/>
  <c r="M101" i="7"/>
  <c r="N101" i="7" s="1"/>
  <c r="R101" i="7" s="1"/>
  <c r="J101" i="7"/>
  <c r="K101" i="7" s="1"/>
  <c r="Q101" i="7" s="1"/>
  <c r="M100" i="7"/>
  <c r="N100" i="7" s="1"/>
  <c r="R100" i="7" s="1"/>
  <c r="J100" i="7"/>
  <c r="K100" i="7" s="1"/>
  <c r="Q100" i="7" s="1"/>
  <c r="J99" i="7"/>
  <c r="K99" i="7" s="1"/>
  <c r="Q99" i="7" s="1"/>
  <c r="M99" i="7"/>
  <c r="N99" i="7" s="1"/>
  <c r="R99" i="7" s="1"/>
  <c r="M98" i="7"/>
  <c r="N98" i="7" s="1"/>
  <c r="R98" i="7" s="1"/>
  <c r="J98" i="7"/>
  <c r="K98" i="7" s="1"/>
  <c r="Q98" i="7" s="1"/>
  <c r="J97" i="7"/>
  <c r="K97" i="7" s="1"/>
  <c r="Q97" i="7" s="1"/>
  <c r="M97" i="7"/>
  <c r="N97" i="7" s="1"/>
  <c r="R97" i="7" s="1"/>
  <c r="M96" i="7"/>
  <c r="N96" i="7" s="1"/>
  <c r="R96" i="7" s="1"/>
  <c r="J96" i="7"/>
  <c r="K96" i="7" s="1"/>
  <c r="Q96" i="7" s="1"/>
  <c r="M95" i="7"/>
  <c r="N95" i="7" s="1"/>
  <c r="R95" i="7" s="1"/>
  <c r="J95" i="7"/>
  <c r="K95" i="7" s="1"/>
  <c r="Q95" i="7" s="1"/>
  <c r="M94" i="7"/>
  <c r="N94" i="7" s="1"/>
  <c r="R94" i="7" s="1"/>
  <c r="J94" i="7"/>
  <c r="K94" i="7" s="1"/>
  <c r="Q94" i="7" s="1"/>
  <c r="M93" i="7"/>
  <c r="N93" i="7" s="1"/>
  <c r="R93" i="7" s="1"/>
  <c r="J93" i="7"/>
  <c r="K93" i="7" s="1"/>
  <c r="Q93" i="7" s="1"/>
  <c r="J92" i="7"/>
  <c r="K92" i="7" s="1"/>
  <c r="Q92" i="7" s="1"/>
  <c r="M92" i="7"/>
  <c r="N92" i="7" s="1"/>
  <c r="R92" i="7" s="1"/>
  <c r="M84" i="7"/>
  <c r="N84" i="7" s="1"/>
  <c r="R84" i="7" s="1"/>
  <c r="J84" i="7"/>
  <c r="K84" i="7" s="1"/>
  <c r="Q84" i="7" s="1"/>
  <c r="M83" i="7"/>
  <c r="N83" i="7" s="1"/>
  <c r="R83" i="7" s="1"/>
  <c r="J83" i="7"/>
  <c r="K83" i="7" s="1"/>
  <c r="Q83" i="7" s="1"/>
  <c r="M82" i="7"/>
  <c r="N82" i="7" s="1"/>
  <c r="R82" i="7" s="1"/>
  <c r="J82" i="7"/>
  <c r="K82" i="7" s="1"/>
  <c r="Q82" i="7" s="1"/>
  <c r="J81" i="7"/>
  <c r="K81" i="7" s="1"/>
  <c r="Q81" i="7" s="1"/>
  <c r="M81" i="7"/>
  <c r="N81" i="7" s="1"/>
  <c r="R81" i="7" s="1"/>
  <c r="M80" i="7"/>
  <c r="N80" i="7" s="1"/>
  <c r="R80" i="7" s="1"/>
  <c r="J80" i="7"/>
  <c r="K80" i="7" s="1"/>
  <c r="Q80" i="7" s="1"/>
  <c r="M79" i="7"/>
  <c r="N79" i="7" s="1"/>
  <c r="R79" i="7" s="1"/>
  <c r="J79" i="7"/>
  <c r="K79" i="7" s="1"/>
  <c r="Q79" i="7" s="1"/>
  <c r="M78" i="7"/>
  <c r="N78" i="7" s="1"/>
  <c r="R78" i="7" s="1"/>
  <c r="J78" i="7"/>
  <c r="K78" i="7" s="1"/>
  <c r="Q78" i="7" s="1"/>
  <c r="J77" i="7"/>
  <c r="K77" i="7" s="1"/>
  <c r="Q77" i="7" s="1"/>
  <c r="M77" i="7"/>
  <c r="N77" i="7" s="1"/>
  <c r="R77" i="7" s="1"/>
  <c r="M76" i="7"/>
  <c r="N76" i="7" s="1"/>
  <c r="R76" i="7" s="1"/>
  <c r="J76" i="7"/>
  <c r="K76" i="7" s="1"/>
  <c r="Q76" i="7" s="1"/>
  <c r="M75" i="7"/>
  <c r="N75" i="7" s="1"/>
  <c r="R75" i="7" s="1"/>
  <c r="J75" i="7"/>
  <c r="K75" i="7" s="1"/>
  <c r="Q75" i="7" s="1"/>
  <c r="M74" i="7"/>
  <c r="N74" i="7" s="1"/>
  <c r="R74" i="7" s="1"/>
  <c r="J74" i="7"/>
  <c r="K74" i="7" s="1"/>
  <c r="Q74" i="7" s="1"/>
  <c r="M73" i="7"/>
  <c r="N73" i="7" s="1"/>
  <c r="R73" i="7" s="1"/>
  <c r="J73" i="7"/>
  <c r="K73" i="7" s="1"/>
  <c r="Q73" i="7" s="1"/>
  <c r="J72" i="7"/>
  <c r="K72" i="7" s="1"/>
  <c r="Q72" i="7" s="1"/>
  <c r="M72" i="7"/>
  <c r="N72" i="7" s="1"/>
  <c r="R72" i="7" s="1"/>
  <c r="M71" i="7"/>
  <c r="N71" i="7" s="1"/>
  <c r="R71" i="7" s="1"/>
  <c r="J71" i="7"/>
  <c r="K71" i="7" s="1"/>
  <c r="M69" i="7"/>
  <c r="N69" i="7" s="1"/>
  <c r="R69" i="7" s="1"/>
  <c r="J69" i="7"/>
  <c r="K69" i="7" s="1"/>
  <c r="Q69" i="7" s="1"/>
  <c r="M68" i="7"/>
  <c r="N68" i="7" s="1"/>
  <c r="R68" i="7" s="1"/>
  <c r="J68" i="7"/>
  <c r="K68" i="7" s="1"/>
  <c r="Q68" i="7" s="1"/>
  <c r="M67" i="7"/>
  <c r="N67" i="7" s="1"/>
  <c r="R67" i="7" s="1"/>
  <c r="J67" i="7"/>
  <c r="K67" i="7" s="1"/>
  <c r="Q67" i="7" s="1"/>
  <c r="J66" i="7"/>
  <c r="K66" i="7" s="1"/>
  <c r="Q66" i="7" s="1"/>
  <c r="M66" i="7"/>
  <c r="N66" i="7" s="1"/>
  <c r="R66" i="7" s="1"/>
  <c r="J65" i="7"/>
  <c r="K65" i="7" s="1"/>
  <c r="Q65" i="7" s="1"/>
  <c r="M65" i="7"/>
  <c r="N65" i="7" s="1"/>
  <c r="R65" i="7" s="1"/>
  <c r="M64" i="7"/>
  <c r="N64" i="7" s="1"/>
  <c r="R64" i="7" s="1"/>
  <c r="J64" i="7"/>
  <c r="K64" i="7" s="1"/>
  <c r="Q64" i="7" s="1"/>
  <c r="M63" i="7"/>
  <c r="N63" i="7" s="1"/>
  <c r="R63" i="7" s="1"/>
  <c r="J63" i="7"/>
  <c r="K63" i="7" s="1"/>
  <c r="Q63" i="7" s="1"/>
  <c r="M62" i="7"/>
  <c r="N62" i="7" s="1"/>
  <c r="R62" i="7" s="1"/>
  <c r="J62" i="7"/>
  <c r="K62" i="7" s="1"/>
  <c r="Q62" i="7" s="1"/>
  <c r="M61" i="7"/>
  <c r="N61" i="7" s="1"/>
  <c r="R61" i="7" s="1"/>
  <c r="J61" i="7"/>
  <c r="K61" i="7" s="1"/>
  <c r="Q61" i="7" s="1"/>
  <c r="M60" i="7"/>
  <c r="N60" i="7" s="1"/>
  <c r="R60" i="7" s="1"/>
  <c r="J60" i="7"/>
  <c r="K60" i="7" s="1"/>
  <c r="Q60" i="7" s="1"/>
  <c r="M59" i="7"/>
  <c r="N59" i="7" s="1"/>
  <c r="R59" i="7" s="1"/>
  <c r="J59" i="7"/>
  <c r="K59" i="7" s="1"/>
  <c r="Q59" i="7" s="1"/>
  <c r="M58" i="7"/>
  <c r="N58" i="7" s="1"/>
  <c r="R58" i="7" s="1"/>
  <c r="J58" i="7"/>
  <c r="K58" i="7" s="1"/>
  <c r="Q58" i="7" s="1"/>
  <c r="J57" i="7"/>
  <c r="K57" i="7" s="1"/>
  <c r="Q57" i="7" s="1"/>
  <c r="M57" i="7"/>
  <c r="N57" i="7" s="1"/>
  <c r="R57" i="7" s="1"/>
  <c r="J56" i="7"/>
  <c r="K56" i="7" s="1"/>
  <c r="Q56" i="7" s="1"/>
  <c r="M56" i="7"/>
  <c r="N56" i="7" s="1"/>
  <c r="R56" i="7" s="1"/>
  <c r="M55" i="7"/>
  <c r="N55" i="7" s="1"/>
  <c r="R55" i="7" s="1"/>
  <c r="J55" i="7"/>
  <c r="K55" i="7" s="1"/>
  <c r="Q55" i="7" s="1"/>
  <c r="J54" i="7"/>
  <c r="K54" i="7" s="1"/>
  <c r="Q54" i="7" s="1"/>
  <c r="M54" i="7"/>
  <c r="N54" i="7" s="1"/>
  <c r="R54" i="7" s="1"/>
  <c r="J53" i="7"/>
  <c r="K53" i="7" s="1"/>
  <c r="Q53" i="7" s="1"/>
  <c r="M53" i="7"/>
  <c r="N53" i="7" s="1"/>
  <c r="R53" i="7" s="1"/>
  <c r="J52" i="7"/>
  <c r="K52" i="7" s="1"/>
  <c r="Q52" i="7" s="1"/>
  <c r="M52" i="7"/>
  <c r="N52" i="7" s="1"/>
  <c r="R52" i="7" s="1"/>
  <c r="M51" i="7"/>
  <c r="N51" i="7" s="1"/>
  <c r="R51" i="7" s="1"/>
  <c r="J51" i="7"/>
  <c r="K51" i="7" s="1"/>
  <c r="Q51" i="7" s="1"/>
  <c r="J50" i="7"/>
  <c r="K50" i="7" s="1"/>
  <c r="Q50" i="7" s="1"/>
  <c r="M50" i="7"/>
  <c r="N50" i="7" s="1"/>
  <c r="R50" i="7" s="1"/>
  <c r="J49" i="7"/>
  <c r="K49" i="7" s="1"/>
  <c r="Q49" i="7" s="1"/>
  <c r="M49" i="7"/>
  <c r="N49" i="7" s="1"/>
  <c r="R49" i="7" s="1"/>
  <c r="J48" i="7"/>
  <c r="K48" i="7" s="1"/>
  <c r="Q48" i="7" s="1"/>
  <c r="M48" i="7"/>
  <c r="N48" i="7" s="1"/>
  <c r="R48" i="7" s="1"/>
  <c r="J47" i="7"/>
  <c r="K47" i="7" s="1"/>
  <c r="Q47" i="7" s="1"/>
  <c r="M47" i="7"/>
  <c r="N47" i="7" s="1"/>
  <c r="R47" i="7" s="1"/>
  <c r="M46" i="7"/>
  <c r="N46" i="7" s="1"/>
  <c r="R46" i="7" s="1"/>
  <c r="J46" i="7"/>
  <c r="K46" i="7" s="1"/>
  <c r="Q46" i="7" s="1"/>
  <c r="M45" i="7"/>
  <c r="N45" i="7" s="1"/>
  <c r="R45" i="7" s="1"/>
  <c r="J45" i="7"/>
  <c r="K45" i="7" s="1"/>
  <c r="Q45" i="7" s="1"/>
  <c r="M44" i="7"/>
  <c r="N44" i="7" s="1"/>
  <c r="R44" i="7" s="1"/>
  <c r="J44" i="7"/>
  <c r="K44" i="7" s="1"/>
  <c r="Q44" i="7" s="1"/>
  <c r="M43" i="7"/>
  <c r="N43" i="7" s="1"/>
  <c r="R43" i="7" s="1"/>
  <c r="J43" i="7"/>
  <c r="K43" i="7" s="1"/>
  <c r="Q43" i="7" s="1"/>
  <c r="J42" i="7"/>
  <c r="K42" i="7" s="1"/>
  <c r="Q42" i="7" s="1"/>
  <c r="M42" i="7"/>
  <c r="N42" i="7" s="1"/>
  <c r="R42" i="7" s="1"/>
  <c r="J41" i="7"/>
  <c r="K41" i="7" s="1"/>
  <c r="Q41" i="7" s="1"/>
  <c r="M41" i="7"/>
  <c r="N41" i="7" s="1"/>
  <c r="R41" i="7" s="1"/>
  <c r="J40" i="7"/>
  <c r="K40" i="7" s="1"/>
  <c r="Q40" i="7" s="1"/>
  <c r="M40" i="7"/>
  <c r="N40" i="7" s="1"/>
  <c r="R40" i="7" s="1"/>
  <c r="J39" i="7"/>
  <c r="K39" i="7" s="1"/>
  <c r="M39" i="7"/>
  <c r="N39" i="7" s="1"/>
  <c r="J38" i="7"/>
  <c r="K38" i="7" s="1"/>
  <c r="Q38" i="7" s="1"/>
  <c r="M38" i="7"/>
  <c r="N38" i="7" s="1"/>
  <c r="R38" i="7" s="1"/>
  <c r="J37" i="7"/>
  <c r="K37" i="7" s="1"/>
  <c r="Q37" i="7" s="1"/>
  <c r="M37" i="7"/>
  <c r="N37" i="7" s="1"/>
  <c r="R37" i="7" s="1"/>
  <c r="M36" i="7"/>
  <c r="N36" i="7" s="1"/>
  <c r="R36" i="7" s="1"/>
  <c r="J36" i="7"/>
  <c r="K36" i="7" s="1"/>
  <c r="Q36" i="7" s="1"/>
  <c r="J35" i="7"/>
  <c r="K35" i="7" s="1"/>
  <c r="Q35" i="7" s="1"/>
  <c r="M35" i="7"/>
  <c r="N35" i="7" s="1"/>
  <c r="R35" i="7" s="1"/>
  <c r="M34" i="7"/>
  <c r="N34" i="7" s="1"/>
  <c r="R34" i="7" s="1"/>
  <c r="J34" i="7"/>
  <c r="K34" i="7" s="1"/>
  <c r="Q34" i="7" s="1"/>
  <c r="M33" i="7"/>
  <c r="N33" i="7" s="1"/>
  <c r="R33" i="7" s="1"/>
  <c r="J33" i="7"/>
  <c r="K33" i="7" s="1"/>
  <c r="Q33" i="7" s="1"/>
  <c r="M32" i="7"/>
  <c r="N32" i="7" s="1"/>
  <c r="R32" i="7" s="1"/>
  <c r="J32" i="7"/>
  <c r="K32" i="7" s="1"/>
  <c r="Q32" i="7" s="1"/>
  <c r="J31" i="7"/>
  <c r="K31" i="7" s="1"/>
  <c r="Q31" i="7" s="1"/>
  <c r="M31" i="7"/>
  <c r="N31" i="7" s="1"/>
  <c r="R31" i="7" s="1"/>
  <c r="M30" i="7"/>
  <c r="N30" i="7" s="1"/>
  <c r="R30" i="7" s="1"/>
  <c r="J30" i="7"/>
  <c r="K30" i="7" s="1"/>
  <c r="Q30" i="7" s="1"/>
  <c r="J29" i="7"/>
  <c r="K29" i="7" s="1"/>
  <c r="Q29" i="7" s="1"/>
  <c r="M29" i="7"/>
  <c r="N29" i="7" s="1"/>
  <c r="R29" i="7" s="1"/>
  <c r="J27" i="7"/>
  <c r="K27" i="7" s="1"/>
  <c r="Q27" i="7" s="1"/>
  <c r="M27" i="7"/>
  <c r="N27" i="7" s="1"/>
  <c r="R27" i="7" s="1"/>
  <c r="M26" i="7"/>
  <c r="N26" i="7" s="1"/>
  <c r="R26" i="7" s="1"/>
  <c r="J26" i="7"/>
  <c r="K26" i="7" s="1"/>
  <c r="Q26" i="7" s="1"/>
  <c r="M25" i="7"/>
  <c r="N25" i="7" s="1"/>
  <c r="R25" i="7" s="1"/>
  <c r="J25" i="7"/>
  <c r="K25" i="7" s="1"/>
  <c r="Q25" i="7" s="1"/>
  <c r="M24" i="7"/>
  <c r="N24" i="7" s="1"/>
  <c r="R24" i="7" s="1"/>
  <c r="J24" i="7"/>
  <c r="K24" i="7" s="1"/>
  <c r="Q24" i="7" s="1"/>
  <c r="M23" i="7"/>
  <c r="N23" i="7" s="1"/>
  <c r="R23" i="7" s="1"/>
  <c r="J23" i="7"/>
  <c r="K23" i="7" s="1"/>
  <c r="Q23" i="7" s="1"/>
  <c r="M22" i="7"/>
  <c r="N22" i="7" s="1"/>
  <c r="R22" i="7" s="1"/>
  <c r="J22" i="7"/>
  <c r="K22" i="7" s="1"/>
  <c r="Q22" i="7" s="1"/>
  <c r="M20" i="7"/>
  <c r="N20" i="7" s="1"/>
  <c r="R20" i="7" s="1"/>
  <c r="J20" i="7"/>
  <c r="K20" i="7" s="1"/>
  <c r="Q20" i="7" s="1"/>
  <c r="M19" i="7"/>
  <c r="N19" i="7" s="1"/>
  <c r="R19" i="7" s="1"/>
  <c r="J19" i="7"/>
  <c r="K19" i="7" s="1"/>
  <c r="Q19" i="7" s="1"/>
  <c r="M18" i="7"/>
  <c r="N18" i="7" s="1"/>
  <c r="R18" i="7" s="1"/>
  <c r="J18" i="7"/>
  <c r="K18" i="7" s="1"/>
  <c r="Q18" i="7" s="1"/>
  <c r="J17" i="7"/>
  <c r="K17" i="7" s="1"/>
  <c r="Q17" i="7" s="1"/>
  <c r="M17" i="7"/>
  <c r="N17" i="7" s="1"/>
  <c r="R17" i="7" s="1"/>
  <c r="J16" i="7"/>
  <c r="K16" i="7" s="1"/>
  <c r="Q16" i="7" s="1"/>
  <c r="M16" i="7"/>
  <c r="N16" i="7" s="1"/>
  <c r="R16" i="7" s="1"/>
  <c r="J15" i="7"/>
  <c r="K15" i="7" s="1"/>
  <c r="Q15" i="7" s="1"/>
  <c r="M15" i="7"/>
  <c r="N15" i="7" s="1"/>
  <c r="R15" i="7" s="1"/>
  <c r="J14" i="7"/>
  <c r="K14" i="7" s="1"/>
  <c r="Q14" i="7" s="1"/>
  <c r="M14" i="7"/>
  <c r="N14" i="7" s="1"/>
  <c r="R14" i="7" s="1"/>
  <c r="J13" i="7"/>
  <c r="K13" i="7" s="1"/>
  <c r="Q13" i="7" s="1"/>
  <c r="M13" i="7"/>
  <c r="N13" i="7" s="1"/>
  <c r="R13" i="7" s="1"/>
  <c r="Q537" i="7"/>
  <c r="R537" i="7" s="1"/>
  <c r="Q510" i="7"/>
  <c r="R510" i="7" s="1"/>
  <c r="Q491" i="7"/>
  <c r="R491" i="7" s="1"/>
  <c r="Q467" i="7"/>
  <c r="R467" i="7" s="1"/>
  <c r="Q513" i="7"/>
  <c r="R513" i="7" s="1"/>
  <c r="Q516" i="7"/>
  <c r="R516" i="7" s="1"/>
  <c r="Q495" i="7"/>
  <c r="R495" i="7" s="1"/>
  <c r="Q506" i="7"/>
  <c r="R506" i="7" s="1"/>
  <c r="Q492" i="7"/>
  <c r="R492" i="7" s="1"/>
  <c r="Q498" i="7"/>
  <c r="R498" i="7" s="1"/>
  <c r="Q499" i="7"/>
  <c r="R499" i="7" s="1"/>
  <c r="Q505" i="7"/>
  <c r="R505" i="7" s="1"/>
  <c r="Q514" i="7"/>
  <c r="R514" i="7" s="1"/>
  <c r="Q476" i="7"/>
  <c r="R476" i="7" s="1"/>
  <c r="Q494" i="7"/>
  <c r="R494" i="7" s="1"/>
  <c r="Q500" i="7"/>
  <c r="R500" i="7" s="1"/>
  <c r="Q509" i="7"/>
  <c r="R509" i="7" s="1"/>
  <c r="Q512" i="7"/>
  <c r="R512" i="7" s="1"/>
  <c r="Q496" i="7"/>
  <c r="R496" i="7" s="1"/>
  <c r="Q504" i="7"/>
  <c r="R504" i="7" s="1"/>
  <c r="Q508" i="7"/>
  <c r="R508" i="7" s="1"/>
  <c r="Q501" i="7"/>
  <c r="R501" i="7" s="1"/>
  <c r="Q521" i="7"/>
  <c r="R521" i="7" s="1"/>
  <c r="Q525" i="7"/>
  <c r="R525" i="7" s="1"/>
  <c r="Q526" i="7"/>
  <c r="R526" i="7" s="1"/>
  <c r="Q527" i="7"/>
  <c r="R527" i="7" s="1"/>
  <c r="Q528" i="7"/>
  <c r="R528" i="7" s="1"/>
  <c r="Q529" i="7"/>
  <c r="R529" i="7" s="1"/>
  <c r="Q532" i="7"/>
  <c r="R532" i="7" s="1"/>
  <c r="Q533" i="7"/>
  <c r="R533" i="7" s="1"/>
  <c r="Q534" i="7"/>
  <c r="R534" i="7" s="1"/>
  <c r="Q535" i="7"/>
  <c r="R535" i="7" s="1"/>
  <c r="Q493" i="7"/>
  <c r="R493" i="7" s="1"/>
  <c r="Q497" i="7"/>
  <c r="R497" i="7" s="1"/>
  <c r="Q503" i="7"/>
  <c r="R503" i="7" s="1"/>
  <c r="Q507" i="7"/>
  <c r="R507" i="7" s="1"/>
  <c r="Q515" i="7"/>
  <c r="R515" i="7" s="1"/>
  <c r="Q511" i="7"/>
  <c r="R511" i="7" s="1"/>
  <c r="Q469" i="7"/>
  <c r="R469" i="7" s="1"/>
  <c r="Q473" i="7"/>
  <c r="R473" i="7" s="1"/>
  <c r="Q482" i="7"/>
  <c r="R482" i="7" s="1"/>
  <c r="Q484" i="7"/>
  <c r="R484" i="7" s="1"/>
  <c r="Q487" i="7"/>
  <c r="R487" i="7" s="1"/>
  <c r="Q490" i="7"/>
  <c r="R490" i="7" s="1"/>
  <c r="Q488" i="7"/>
  <c r="R488" i="7" s="1"/>
  <c r="Q471" i="7"/>
  <c r="R471" i="7" s="1"/>
  <c r="Q480" i="7"/>
  <c r="R480" i="7" s="1"/>
  <c r="Q485" i="7"/>
  <c r="R485" i="7" s="1"/>
  <c r="Q466" i="7"/>
  <c r="R466" i="7" s="1"/>
  <c r="Q472" i="7"/>
  <c r="R472" i="7" s="1"/>
  <c r="Q474" i="7"/>
  <c r="R474" i="7" s="1"/>
  <c r="Q477" i="7"/>
  <c r="R477" i="7" s="1"/>
  <c r="Q479" i="7"/>
  <c r="R479" i="7" s="1"/>
  <c r="Q483" i="7"/>
  <c r="R483" i="7" s="1"/>
  <c r="Q489" i="7"/>
  <c r="R489" i="7" s="1"/>
  <c r="Q481" i="7"/>
  <c r="R481" i="7" s="1"/>
  <c r="Q536" i="7"/>
  <c r="R536" i="7" s="1"/>
  <c r="Q538" i="7"/>
  <c r="R538" i="7" s="1"/>
  <c r="Q541" i="7"/>
  <c r="R541" i="7" s="1"/>
  <c r="Q465" i="7"/>
  <c r="R465" i="7" s="1"/>
  <c r="Q468" i="7"/>
  <c r="R468" i="7" s="1"/>
  <c r="Q475" i="7"/>
  <c r="R475" i="7" s="1"/>
  <c r="Q478" i="7"/>
  <c r="R478" i="7" s="1"/>
  <c r="Q470" i="7"/>
  <c r="R470" i="7" s="1"/>
  <c r="Q486" i="7"/>
  <c r="R486" i="7" s="1"/>
  <c r="Q540" i="7"/>
  <c r="R540" i="7" s="1"/>
  <c r="Q539" i="7"/>
  <c r="R539" i="7" s="1"/>
  <c r="K346" i="7"/>
  <c r="K368" i="7" s="1"/>
  <c r="Y665" i="5"/>
  <c r="Z665" i="5" s="1"/>
  <c r="Y521" i="5"/>
  <c r="Z521" i="5" s="1"/>
  <c r="Y591" i="5"/>
  <c r="Z591" i="5" s="1"/>
  <c r="Y586" i="5"/>
  <c r="Z586" i="5" s="1"/>
  <c r="Y578" i="5"/>
  <c r="Z578" i="5" s="1"/>
  <c r="Y669" i="5"/>
  <c r="Z669" i="5" s="1"/>
  <c r="Y666" i="5"/>
  <c r="Z666" i="5" s="1"/>
  <c r="Y662" i="5"/>
  <c r="Z662" i="5" s="1"/>
  <c r="Y650" i="5"/>
  <c r="Z650" i="5" s="1"/>
  <c r="Y647" i="5"/>
  <c r="Z647" i="5" s="1"/>
  <c r="Y634" i="5"/>
  <c r="Z634" i="5" s="1"/>
  <c r="Y628" i="5"/>
  <c r="Z628" i="5" s="1"/>
  <c r="Y613" i="5"/>
  <c r="Z613" i="5" s="1"/>
  <c r="Y648" i="5"/>
  <c r="Z648" i="5" s="1"/>
  <c r="Y646" i="5"/>
  <c r="Z646" i="5" s="1"/>
  <c r="Y531" i="5"/>
  <c r="Z531" i="5" s="1"/>
  <c r="Y523" i="5"/>
  <c r="Z523" i="5" s="1"/>
  <c r="Y661" i="5"/>
  <c r="Z661" i="5" s="1"/>
  <c r="Y630" i="5"/>
  <c r="Z630" i="5" s="1"/>
  <c r="Y583" i="5"/>
  <c r="Z583" i="5" s="1"/>
  <c r="Y524" i="5"/>
  <c r="Z524" i="5" s="1"/>
  <c r="Y595" i="5"/>
  <c r="Z595" i="5" s="1"/>
  <c r="Y548" i="5"/>
  <c r="Z548" i="5" s="1"/>
  <c r="Y522" i="5"/>
  <c r="Z522" i="5" s="1"/>
  <c r="Y518" i="5"/>
  <c r="Z518" i="5" s="1"/>
  <c r="Y653" i="5"/>
  <c r="Z653" i="5" s="1"/>
  <c r="Y574" i="5"/>
  <c r="Z574" i="5" s="1"/>
  <c r="Y533" i="5"/>
  <c r="Z533" i="5" s="1"/>
  <c r="Y589" i="5"/>
  <c r="Z589" i="5" s="1"/>
  <c r="Y557" i="5"/>
  <c r="Z557" i="5" s="1"/>
  <c r="Y547" i="5"/>
  <c r="Z547" i="5" s="1"/>
  <c r="Y640" i="5"/>
  <c r="Z640" i="5" s="1"/>
  <c r="Y608" i="5"/>
  <c r="Z608" i="5" s="1"/>
  <c r="Y590" i="5"/>
  <c r="Z590" i="5" s="1"/>
  <c r="Y559" i="5"/>
  <c r="Z559" i="5" s="1"/>
  <c r="Y543" i="5"/>
  <c r="Z543" i="5" s="1"/>
  <c r="Y535" i="5"/>
  <c r="Z535" i="5" s="1"/>
  <c r="Y582" i="5"/>
  <c r="Z582" i="5" s="1"/>
  <c r="Y575" i="5"/>
  <c r="Z575" i="5" s="1"/>
  <c r="Y564" i="5"/>
  <c r="Z564" i="5" s="1"/>
  <c r="Y536" i="5"/>
  <c r="Z536" i="5" s="1"/>
  <c r="Y520" i="5"/>
  <c r="Z520" i="5" s="1"/>
  <c r="Y644" i="5"/>
  <c r="Z644" i="5" s="1"/>
  <c r="Y549" i="5"/>
  <c r="Z549" i="5" s="1"/>
  <c r="Y519" i="5"/>
  <c r="Z519" i="5" s="1"/>
  <c r="Y525" i="5"/>
  <c r="Z525" i="5" s="1"/>
  <c r="Y651" i="5"/>
  <c r="Z651" i="5" s="1"/>
  <c r="Y633" i="5"/>
  <c r="Z633" i="5" s="1"/>
  <c r="Y592" i="5"/>
  <c r="Z592" i="5" s="1"/>
  <c r="Y570" i="5"/>
  <c r="Z570" i="5" s="1"/>
  <c r="Y667" i="5"/>
  <c r="Z667" i="5" s="1"/>
  <c r="Y663" i="5"/>
  <c r="Z663" i="5" s="1"/>
  <c r="Y659" i="5"/>
  <c r="Z659" i="5" s="1"/>
  <c r="Y635" i="5"/>
  <c r="Z635" i="5" s="1"/>
  <c r="Y627" i="5"/>
  <c r="Z627" i="5" s="1"/>
  <c r="Y624" i="5"/>
  <c r="Z624" i="5" s="1"/>
  <c r="Y621" i="5"/>
  <c r="Z621" i="5" s="1"/>
  <c r="Y599" i="5"/>
  <c r="Z599" i="5" s="1"/>
  <c r="Y596" i="5"/>
  <c r="Z596" i="5" s="1"/>
  <c r="Y593" i="5"/>
  <c r="Z593" i="5" s="1"/>
  <c r="Y579" i="5"/>
  <c r="Z579" i="5" s="1"/>
  <c r="Y545" i="5"/>
  <c r="Z545" i="5" s="1"/>
  <c r="Y542" i="5"/>
  <c r="Z542" i="5" s="1"/>
  <c r="Y537" i="5"/>
  <c r="Z537" i="5" s="1"/>
  <c r="Y515" i="5"/>
  <c r="Z515" i="5" s="1"/>
  <c r="Y642" i="5"/>
  <c r="Z642" i="5" s="1"/>
  <c r="Y629" i="5"/>
  <c r="Z629" i="5" s="1"/>
  <c r="Y626" i="5"/>
  <c r="Z626" i="5" s="1"/>
  <c r="Y622" i="5"/>
  <c r="Z622" i="5" s="1"/>
  <c r="Y611" i="5"/>
  <c r="Z611" i="5" s="1"/>
  <c r="Y598" i="5"/>
  <c r="Z598" i="5" s="1"/>
  <c r="Y584" i="5"/>
  <c r="Z584" i="5" s="1"/>
  <c r="Y558" i="5"/>
  <c r="Z558" i="5" s="1"/>
  <c r="Y544" i="5"/>
  <c r="Z544" i="5" s="1"/>
  <c r="Y514" i="5"/>
  <c r="Z514" i="5" s="1"/>
  <c r="B67" i="6"/>
  <c r="B60" i="6"/>
  <c r="B61" i="6" s="1"/>
  <c r="B62" i="6" s="1"/>
  <c r="B63" i="6" s="1"/>
  <c r="B64" i="6" s="1"/>
  <c r="B65" i="6" s="1"/>
  <c r="B66" i="6" s="1"/>
  <c r="M55" i="6"/>
  <c r="N55" i="6" s="1"/>
  <c r="R55" i="6" s="1"/>
  <c r="J55" i="6"/>
  <c r="K55" i="6" s="1"/>
  <c r="Q55" i="6" s="1"/>
  <c r="M50" i="6"/>
  <c r="N50" i="6" s="1"/>
  <c r="R50" i="6" s="1"/>
  <c r="J50" i="6"/>
  <c r="K50" i="6" s="1"/>
  <c r="Q50" i="6" s="1"/>
  <c r="M49" i="6"/>
  <c r="N49" i="6" s="1"/>
  <c r="R49" i="6" s="1"/>
  <c r="J49" i="6"/>
  <c r="K49" i="6" s="1"/>
  <c r="Q49" i="6" s="1"/>
  <c r="M48" i="6"/>
  <c r="N48" i="6" s="1"/>
  <c r="R48" i="6" s="1"/>
  <c r="J48" i="6"/>
  <c r="K48" i="6" s="1"/>
  <c r="Q48" i="6" s="1"/>
  <c r="M44" i="6"/>
  <c r="N44" i="6" s="1"/>
  <c r="R44" i="6" s="1"/>
  <c r="J44" i="6"/>
  <c r="K44" i="6" s="1"/>
  <c r="Q44" i="6" s="1"/>
  <c r="M43" i="6"/>
  <c r="J43" i="6"/>
  <c r="M39" i="6"/>
  <c r="N39" i="6" s="1"/>
  <c r="R39" i="6" s="1"/>
  <c r="J39" i="6"/>
  <c r="K39" i="6" s="1"/>
  <c r="Q39" i="6" s="1"/>
  <c r="M34" i="6"/>
  <c r="N34" i="6" s="1"/>
  <c r="R34" i="6" s="1"/>
  <c r="J34" i="6"/>
  <c r="K34" i="6" s="1"/>
  <c r="Q34" i="6" s="1"/>
  <c r="M33" i="6"/>
  <c r="N33" i="6" s="1"/>
  <c r="J33" i="6"/>
  <c r="K33" i="6" s="1"/>
  <c r="M30" i="6"/>
  <c r="N30" i="6" s="1"/>
  <c r="R30" i="6" s="1"/>
  <c r="J30" i="6"/>
  <c r="K30" i="6" s="1"/>
  <c r="Q30" i="6" s="1"/>
  <c r="J29" i="6"/>
  <c r="K29" i="6" s="1"/>
  <c r="M29" i="6"/>
  <c r="N29" i="6" s="1"/>
  <c r="B29" i="6"/>
  <c r="B30" i="6" s="1"/>
  <c r="B31" i="6"/>
  <c r="B32" i="6" s="1"/>
  <c r="B33" i="6" s="1"/>
  <c r="B34" i="6" s="1"/>
  <c r="M27" i="6"/>
  <c r="N27" i="6" s="1"/>
  <c r="R27" i="6" s="1"/>
  <c r="J27" i="6"/>
  <c r="K27" i="6" s="1"/>
  <c r="Q27" i="6" s="1"/>
  <c r="M26" i="6"/>
  <c r="J26" i="6"/>
  <c r="M24" i="6"/>
  <c r="N24" i="6" s="1"/>
  <c r="R24" i="6" s="1"/>
  <c r="J24" i="6"/>
  <c r="K24" i="6" s="1"/>
  <c r="Q24" i="6" s="1"/>
  <c r="M23" i="6"/>
  <c r="J23" i="6"/>
  <c r="M19" i="6"/>
  <c r="N19" i="6" s="1"/>
  <c r="R19" i="6" s="1"/>
  <c r="J19" i="6"/>
  <c r="K19" i="6" s="1"/>
  <c r="Q19" i="6" s="1"/>
  <c r="M18" i="6"/>
  <c r="N18" i="6" s="1"/>
  <c r="J18" i="6"/>
  <c r="K18" i="6" s="1"/>
  <c r="M16" i="6"/>
  <c r="N16" i="6" s="1"/>
  <c r="R16" i="6" s="1"/>
  <c r="J16" i="6"/>
  <c r="K16" i="6" s="1"/>
  <c r="Q16" i="6" s="1"/>
  <c r="M15" i="6"/>
  <c r="N15" i="6" s="1"/>
  <c r="J15" i="6"/>
  <c r="K15" i="6" s="1"/>
  <c r="M13" i="6"/>
  <c r="N13" i="6" s="1"/>
  <c r="R13" i="6" s="1"/>
  <c r="J13" i="6"/>
  <c r="K13" i="6" s="1"/>
  <c r="Q13" i="6" s="1"/>
  <c r="M12" i="6"/>
  <c r="N12" i="6" s="1"/>
  <c r="J12" i="6"/>
  <c r="K12" i="6" s="1"/>
  <c r="B14" i="6"/>
  <c r="B12" i="6"/>
  <c r="B13" i="6" s="1"/>
  <c r="M9" i="6"/>
  <c r="N9" i="6" s="1"/>
  <c r="R9" i="6" s="1"/>
  <c r="J9" i="6"/>
  <c r="K9" i="6" s="1"/>
  <c r="Q9" i="6" s="1"/>
  <c r="M8" i="6"/>
  <c r="N8" i="6" s="1"/>
  <c r="R8" i="6" s="1"/>
  <c r="J8" i="6"/>
  <c r="K8" i="6" s="1"/>
  <c r="Q8" i="6" s="1"/>
  <c r="M7" i="6"/>
  <c r="J7" i="6"/>
  <c r="M10" i="6"/>
  <c r="N10" i="6" s="1"/>
  <c r="R10" i="6" s="1"/>
  <c r="J10" i="6"/>
  <c r="K10" i="6" s="1"/>
  <c r="Q10" i="6" s="1"/>
  <c r="M11" i="6"/>
  <c r="N11" i="6" s="1"/>
  <c r="J11" i="6"/>
  <c r="K11" i="6" s="1"/>
  <c r="J14" i="6"/>
  <c r="K14" i="6" s="1"/>
  <c r="Q14" i="6" s="1"/>
  <c r="M14" i="6"/>
  <c r="N14" i="6" s="1"/>
  <c r="R14" i="6" s="1"/>
  <c r="M17" i="6"/>
  <c r="N17" i="6" s="1"/>
  <c r="R17" i="6" s="1"/>
  <c r="J17" i="6"/>
  <c r="K17" i="6" s="1"/>
  <c r="Q17" i="6" s="1"/>
  <c r="M20" i="6"/>
  <c r="N20" i="6" s="1"/>
  <c r="R20" i="6" s="1"/>
  <c r="J20" i="6"/>
  <c r="K20" i="6" s="1"/>
  <c r="Q20" i="6" s="1"/>
  <c r="M25" i="6"/>
  <c r="N25" i="6" s="1"/>
  <c r="R25" i="6" s="1"/>
  <c r="J25" i="6"/>
  <c r="K25" i="6" s="1"/>
  <c r="Q25" i="6" s="1"/>
  <c r="J28" i="6"/>
  <c r="K28" i="6" s="1"/>
  <c r="Q28" i="6" s="1"/>
  <c r="M28" i="6"/>
  <c r="N28" i="6" s="1"/>
  <c r="R28" i="6" s="1"/>
  <c r="M31" i="6"/>
  <c r="N31" i="6" s="1"/>
  <c r="R31" i="6" s="1"/>
  <c r="J31" i="6"/>
  <c r="K31" i="6" s="1"/>
  <c r="Q31" i="6" s="1"/>
  <c r="M32" i="6"/>
  <c r="N32" i="6" s="1"/>
  <c r="R32" i="6" s="1"/>
  <c r="J32" i="6"/>
  <c r="K32" i="6" s="1"/>
  <c r="Q32" i="6" s="1"/>
  <c r="M35" i="6"/>
  <c r="N35" i="6" s="1"/>
  <c r="R35" i="6" s="1"/>
  <c r="J35" i="6"/>
  <c r="K35" i="6" s="1"/>
  <c r="Q35" i="6" s="1"/>
  <c r="M36" i="6"/>
  <c r="N36" i="6" s="1"/>
  <c r="R36" i="6" s="1"/>
  <c r="J36" i="6"/>
  <c r="K36" i="6" s="1"/>
  <c r="Q36" i="6" s="1"/>
  <c r="J37" i="6"/>
  <c r="K37" i="6" s="1"/>
  <c r="Q37" i="6" s="1"/>
  <c r="M37" i="6"/>
  <c r="N37" i="6" s="1"/>
  <c r="R37" i="6" s="1"/>
  <c r="M38" i="6"/>
  <c r="N38" i="6" s="1"/>
  <c r="R38" i="6" s="1"/>
  <c r="J38" i="6"/>
  <c r="K38" i="6" s="1"/>
  <c r="Q38" i="6" s="1"/>
  <c r="M40" i="6"/>
  <c r="N40" i="6" s="1"/>
  <c r="R40" i="6" s="1"/>
  <c r="J40" i="6"/>
  <c r="K40" i="6" s="1"/>
  <c r="Q40" i="6" s="1"/>
  <c r="M45" i="6"/>
  <c r="N45" i="6" s="1"/>
  <c r="R45" i="6" s="1"/>
  <c r="J45" i="6"/>
  <c r="K45" i="6" s="1"/>
  <c r="Q45" i="6" s="1"/>
  <c r="J46" i="6"/>
  <c r="K46" i="6" s="1"/>
  <c r="Q46" i="6" s="1"/>
  <c r="M46" i="6"/>
  <c r="N46" i="6" s="1"/>
  <c r="R46" i="6" s="1"/>
  <c r="M47" i="6"/>
  <c r="N47" i="6" s="1"/>
  <c r="J47" i="6"/>
  <c r="K47" i="6" s="1"/>
  <c r="J51" i="6"/>
  <c r="K51" i="6" s="1"/>
  <c r="Q51" i="6" s="1"/>
  <c r="M51" i="6"/>
  <c r="N51" i="6" s="1"/>
  <c r="R51" i="6" s="1"/>
  <c r="J52" i="6"/>
  <c r="K52" i="6" s="1"/>
  <c r="Q52" i="6" s="1"/>
  <c r="M52" i="6"/>
  <c r="N52" i="6" s="1"/>
  <c r="R52" i="6" s="1"/>
  <c r="J53" i="6"/>
  <c r="K53" i="6" s="1"/>
  <c r="Q53" i="6" s="1"/>
  <c r="M53" i="6"/>
  <c r="N53" i="6" s="1"/>
  <c r="R53" i="6" s="1"/>
  <c r="M54" i="6"/>
  <c r="N54" i="6" s="1"/>
  <c r="R54" i="6" s="1"/>
  <c r="J54" i="6"/>
  <c r="K54" i="6" s="1"/>
  <c r="Q54" i="6" s="1"/>
  <c r="B413" i="5"/>
  <c r="B418" i="5"/>
  <c r="V631" i="5"/>
  <c r="B355" i="5"/>
  <c r="B356" i="5"/>
  <c r="B357" i="5" s="1"/>
  <c r="B358" i="5" s="1"/>
  <c r="B321" i="5"/>
  <c r="B297" i="5"/>
  <c r="B298" i="5" s="1"/>
  <c r="B301" i="5" s="1"/>
  <c r="B302" i="5" s="1"/>
  <c r="B303" i="5" s="1"/>
  <c r="B304" i="5" s="1"/>
  <c r="B305" i="5" s="1"/>
  <c r="B306" i="5" s="1"/>
  <c r="B307" i="5" s="1"/>
  <c r="B308" i="5" s="1"/>
  <c r="B309" i="5" s="1"/>
  <c r="B310" i="5" s="1"/>
  <c r="B311" i="5" s="1"/>
  <c r="B312" i="5" s="1"/>
  <c r="B313" i="5" s="1"/>
  <c r="B314" i="5" s="1"/>
  <c r="B296" i="5"/>
  <c r="B163" i="5"/>
  <c r="B164" i="5"/>
  <c r="R225" i="4"/>
  <c r="S225" i="4" s="1"/>
  <c r="R257" i="4"/>
  <c r="S257" i="4" s="1"/>
  <c r="R238" i="4"/>
  <c r="S238" i="4" s="1"/>
  <c r="R213" i="4"/>
  <c r="S213" i="4" s="1"/>
  <c r="R211" i="4"/>
  <c r="S211" i="4" s="1"/>
  <c r="R138" i="4"/>
  <c r="S138" i="4" s="1"/>
  <c r="R129" i="4"/>
  <c r="S129" i="4" s="1"/>
  <c r="R98" i="4"/>
  <c r="S98" i="4" s="1"/>
  <c r="R217" i="4"/>
  <c r="S217" i="4" s="1"/>
  <c r="R254" i="4"/>
  <c r="S254" i="4" s="1"/>
  <c r="R249" i="4"/>
  <c r="S249" i="4" s="1"/>
  <c r="R132" i="4"/>
  <c r="S132" i="4" s="1"/>
  <c r="R258" i="4"/>
  <c r="S258" i="4" s="1"/>
  <c r="R109" i="4"/>
  <c r="S109" i="4" s="1"/>
  <c r="R206" i="4"/>
  <c r="S206" i="4" s="1"/>
  <c r="R142" i="4"/>
  <c r="S142" i="4" s="1"/>
  <c r="R127" i="4"/>
  <c r="S127" i="4" s="1"/>
  <c r="R248" i="4"/>
  <c r="S248" i="4" s="1"/>
  <c r="R205" i="4"/>
  <c r="S205" i="4" s="1"/>
  <c r="R190" i="4"/>
  <c r="S190" i="4" s="1"/>
  <c r="R180" i="4"/>
  <c r="S180" i="4" s="1"/>
  <c r="R170" i="4"/>
  <c r="S170" i="4" s="1"/>
  <c r="R168" i="4"/>
  <c r="S168" i="4" s="1"/>
  <c r="R161" i="4"/>
  <c r="S161" i="4" s="1"/>
  <c r="R155" i="4"/>
  <c r="S155" i="4" s="1"/>
  <c r="R147" i="4"/>
  <c r="S147" i="4" s="1"/>
  <c r="R115" i="4"/>
  <c r="S115" i="4" s="1"/>
  <c r="R209" i="4"/>
  <c r="S209" i="4" s="1"/>
  <c r="R223" i="4"/>
  <c r="S223" i="4" s="1"/>
  <c r="R263" i="4"/>
  <c r="S263" i="4" s="1"/>
  <c r="R100" i="4"/>
  <c r="S100" i="4" s="1"/>
  <c r="R236" i="4"/>
  <c r="S236" i="4" s="1"/>
  <c r="R186" i="4"/>
  <c r="S186" i="4" s="1"/>
  <c r="R157" i="4"/>
  <c r="S157" i="4" s="1"/>
  <c r="R99" i="4"/>
  <c r="S99" i="4" s="1"/>
  <c r="R243" i="4"/>
  <c r="S243" i="4" s="1"/>
  <c r="R173" i="4"/>
  <c r="S173" i="4" s="1"/>
  <c r="R165" i="4"/>
  <c r="S165" i="4" s="1"/>
  <c r="R119" i="4"/>
  <c r="S119" i="4" s="1"/>
  <c r="R108" i="4"/>
  <c r="S108" i="4" s="1"/>
  <c r="R103" i="4"/>
  <c r="S103" i="4" s="1"/>
  <c r="R235" i="4"/>
  <c r="S235" i="4" s="1"/>
  <c r="R171" i="4"/>
  <c r="S171" i="4" s="1"/>
  <c r="R167" i="4"/>
  <c r="S167" i="4" s="1"/>
  <c r="R106" i="4"/>
  <c r="S106" i="4" s="1"/>
  <c r="R222" i="4"/>
  <c r="S222" i="4" s="1"/>
  <c r="R201" i="4"/>
  <c r="S201" i="4" s="1"/>
  <c r="R182" i="4"/>
  <c r="S182" i="4" s="1"/>
  <c r="R164" i="4"/>
  <c r="S164" i="4" s="1"/>
  <c r="R159" i="4"/>
  <c r="S159" i="4" s="1"/>
  <c r="R125" i="4"/>
  <c r="S125" i="4" s="1"/>
  <c r="R112" i="4"/>
  <c r="S112" i="4" s="1"/>
  <c r="R253" i="4"/>
  <c r="S253" i="4" s="1"/>
  <c r="R215" i="4"/>
  <c r="S215" i="4" s="1"/>
  <c r="R207" i="4"/>
  <c r="S207" i="4" s="1"/>
  <c r="R149" i="4"/>
  <c r="S149" i="4" s="1"/>
  <c r="R234" i="4"/>
  <c r="S234" i="4" s="1"/>
  <c r="R183" i="4"/>
  <c r="S183" i="4" s="1"/>
  <c r="R166" i="4"/>
  <c r="S166" i="4" s="1"/>
  <c r="R151" i="4"/>
  <c r="S151" i="4" s="1"/>
  <c r="R137" i="4"/>
  <c r="S137" i="4" s="1"/>
  <c r="R246" i="4"/>
  <c r="S246" i="4" s="1"/>
  <c r="R237" i="4"/>
  <c r="S237" i="4" s="1"/>
  <c r="R231" i="4"/>
  <c r="S231" i="4" s="1"/>
  <c r="R224" i="4"/>
  <c r="S224" i="4" s="1"/>
  <c r="R221" i="4"/>
  <c r="S221" i="4" s="1"/>
  <c r="R208" i="4"/>
  <c r="S208" i="4" s="1"/>
  <c r="R202" i="4"/>
  <c r="S202" i="4" s="1"/>
  <c r="R200" i="4"/>
  <c r="S200" i="4" s="1"/>
  <c r="R197" i="4"/>
  <c r="S197" i="4" s="1"/>
  <c r="R158" i="4"/>
  <c r="S158" i="4" s="1"/>
  <c r="R139" i="4"/>
  <c r="S139" i="4" s="1"/>
  <c r="R136" i="4"/>
  <c r="S136" i="4" s="1"/>
  <c r="R133" i="4"/>
  <c r="S133" i="4" s="1"/>
  <c r="R130" i="4"/>
  <c r="S130" i="4" s="1"/>
  <c r="R126" i="4"/>
  <c r="S126" i="4" s="1"/>
  <c r="R226" i="4"/>
  <c r="S226" i="4" s="1"/>
  <c r="R228" i="4"/>
  <c r="S228" i="4" s="1"/>
  <c r="R214" i="4"/>
  <c r="S214" i="4" s="1"/>
  <c r="R194" i="4"/>
  <c r="S194" i="4" s="1"/>
  <c r="R110" i="4"/>
  <c r="S110" i="4" s="1"/>
  <c r="R185" i="4"/>
  <c r="S185" i="4" s="1"/>
  <c r="R184" i="4"/>
  <c r="S184" i="4" s="1"/>
  <c r="R178" i="4"/>
  <c r="S178" i="4" s="1"/>
  <c r="R175" i="4"/>
  <c r="S175" i="4" s="1"/>
  <c r="R172" i="4"/>
  <c r="S172" i="4" s="1"/>
  <c r="R162" i="4"/>
  <c r="S162" i="4" s="1"/>
  <c r="R154" i="4"/>
  <c r="S154" i="4" s="1"/>
  <c r="R140" i="4"/>
  <c r="S140" i="4" s="1"/>
  <c r="R128" i="4"/>
  <c r="S128" i="4" s="1"/>
  <c r="R120" i="4"/>
  <c r="S120" i="4" s="1"/>
  <c r="R114" i="4"/>
  <c r="S114" i="4" s="1"/>
  <c r="R111" i="4"/>
  <c r="S111" i="4" s="1"/>
  <c r="R105" i="4"/>
  <c r="S105" i="4" s="1"/>
  <c r="R102" i="4"/>
  <c r="S102" i="4" s="1"/>
  <c r="R212" i="4"/>
  <c r="S212" i="4" s="1"/>
  <c r="R169" i="4"/>
  <c r="S169" i="4" s="1"/>
  <c r="R163" i="4"/>
  <c r="S163" i="4" s="1"/>
  <c r="R160" i="4"/>
  <c r="S160" i="4" s="1"/>
  <c r="R153" i="4"/>
  <c r="S153" i="4" s="1"/>
  <c r="R150" i="4"/>
  <c r="S150" i="4" s="1"/>
  <c r="R135" i="4"/>
  <c r="S135" i="4" s="1"/>
  <c r="R264" i="4"/>
  <c r="S264" i="4" s="1"/>
  <c r="R242" i="4"/>
  <c r="S242" i="4" s="1"/>
  <c r="R187" i="4"/>
  <c r="S187" i="4" s="1"/>
  <c r="R259" i="4"/>
  <c r="S259" i="4" s="1"/>
  <c r="R250" i="4"/>
  <c r="S250" i="4" s="1"/>
  <c r="R199" i="4"/>
  <c r="S199" i="4" s="1"/>
  <c r="R152" i="4"/>
  <c r="S152" i="4" s="1"/>
  <c r="R145" i="4"/>
  <c r="S145" i="4" s="1"/>
  <c r="R131" i="4"/>
  <c r="S131" i="4" s="1"/>
  <c r="R124" i="4"/>
  <c r="S124" i="4" s="1"/>
  <c r="R122" i="4"/>
  <c r="S122" i="4" s="1"/>
  <c r="R116" i="4"/>
  <c r="S116" i="4" s="1"/>
  <c r="R107" i="4"/>
  <c r="S107" i="4" s="1"/>
  <c r="R198" i="4"/>
  <c r="S198" i="4" s="1"/>
  <c r="R191" i="4"/>
  <c r="S191" i="4" s="1"/>
  <c r="R189" i="4"/>
  <c r="S189" i="4" s="1"/>
  <c r="R181" i="4"/>
  <c r="S181" i="4" s="1"/>
  <c r="R176" i="4"/>
  <c r="S176" i="4" s="1"/>
  <c r="R143" i="4"/>
  <c r="S143" i="4" s="1"/>
  <c r="R134" i="4"/>
  <c r="S134" i="4" s="1"/>
  <c r="R117" i="4"/>
  <c r="S117" i="4" s="1"/>
  <c r="R101" i="4"/>
  <c r="S101" i="4" s="1"/>
  <c r="R255" i="4"/>
  <c r="S255" i="4" s="1"/>
  <c r="R252" i="4"/>
  <c r="S252" i="4" s="1"/>
  <c r="R251" i="4"/>
  <c r="S251" i="4" s="1"/>
  <c r="R247" i="4"/>
  <c r="S247" i="4" s="1"/>
  <c r="R245" i="4"/>
  <c r="S245" i="4" s="1"/>
  <c r="R241" i="4"/>
  <c r="S241" i="4" s="1"/>
  <c r="R240" i="4"/>
  <c r="S240" i="4" s="1"/>
  <c r="R233" i="4"/>
  <c r="S233" i="4" s="1"/>
  <c r="R232" i="4"/>
  <c r="S232" i="4" s="1"/>
  <c r="R229" i="4"/>
  <c r="S229" i="4" s="1"/>
  <c r="R227" i="4"/>
  <c r="S227" i="4" s="1"/>
  <c r="R219" i="4"/>
  <c r="S219" i="4" s="1"/>
  <c r="R218" i="4"/>
  <c r="S218" i="4" s="1"/>
  <c r="R216" i="4"/>
  <c r="S216" i="4" s="1"/>
  <c r="R210" i="4"/>
  <c r="S210" i="4" s="1"/>
  <c r="R204" i="4"/>
  <c r="S204" i="4" s="1"/>
  <c r="R195" i="4"/>
  <c r="S195" i="4" s="1"/>
  <c r="R192" i="4"/>
  <c r="S192" i="4" s="1"/>
  <c r="R188" i="4"/>
  <c r="S188" i="4" s="1"/>
  <c r="R179" i="4"/>
  <c r="S179" i="4" s="1"/>
  <c r="R177" i="4"/>
  <c r="S177" i="4" s="1"/>
  <c r="R156" i="4"/>
  <c r="S156" i="4" s="1"/>
  <c r="R148" i="4"/>
  <c r="S148" i="4" s="1"/>
  <c r="R146" i="4"/>
  <c r="S146" i="4" s="1"/>
  <c r="R144" i="4"/>
  <c r="S144" i="4" s="1"/>
  <c r="R141" i="4"/>
  <c r="S141" i="4" s="1"/>
  <c r="R123" i="4"/>
  <c r="S123" i="4" s="1"/>
  <c r="R121" i="4"/>
  <c r="S121" i="4" s="1"/>
  <c r="R118" i="4"/>
  <c r="S118" i="4" s="1"/>
  <c r="R113" i="4"/>
  <c r="S113" i="4" s="1"/>
  <c r="R104" i="4"/>
  <c r="S104" i="4" s="1"/>
  <c r="R256" i="4"/>
  <c r="S256" i="4" s="1"/>
  <c r="R244" i="4"/>
  <c r="S244" i="4" s="1"/>
  <c r="R239" i="4"/>
  <c r="S239" i="4" s="1"/>
  <c r="R230" i="4"/>
  <c r="S230" i="4" s="1"/>
  <c r="R220" i="4"/>
  <c r="S220" i="4" s="1"/>
  <c r="R203" i="4"/>
  <c r="S203" i="4" s="1"/>
  <c r="R196" i="4"/>
  <c r="S196" i="4" s="1"/>
  <c r="R193" i="4"/>
  <c r="S193" i="4" s="1"/>
  <c r="R174" i="4"/>
  <c r="S174" i="4" s="1"/>
  <c r="M79" i="4"/>
  <c r="N79" i="4" s="1"/>
  <c r="J79" i="4"/>
  <c r="K79" i="4" s="1"/>
  <c r="J77" i="4"/>
  <c r="K77" i="4" s="1"/>
  <c r="M77" i="4"/>
  <c r="N77" i="4" s="1"/>
  <c r="B204" i="5"/>
  <c r="B206" i="5" s="1"/>
  <c r="B205" i="5"/>
  <c r="B222" i="5"/>
  <c r="B223" i="5"/>
  <c r="B224" i="5" s="1"/>
  <c r="B226" i="5" s="1"/>
  <c r="B227" i="5" s="1"/>
  <c r="B229" i="5" s="1"/>
  <c r="B230" i="5" s="1"/>
  <c r="B185" i="5"/>
  <c r="B187" i="5" s="1"/>
  <c r="B184" i="5"/>
  <c r="B186" i="5" s="1"/>
  <c r="B152" i="5"/>
  <c r="B153" i="5"/>
  <c r="B121" i="5"/>
  <c r="B122" i="5"/>
  <c r="B123" i="5" s="1"/>
  <c r="B124" i="5" s="1"/>
  <c r="B125" i="5" s="1"/>
  <c r="B126" i="5" s="1"/>
  <c r="B127" i="5" s="1"/>
  <c r="B105" i="5"/>
  <c r="B110" i="5"/>
  <c r="B82" i="5"/>
  <c r="B83" i="5"/>
  <c r="B58" i="5"/>
  <c r="B60" i="5" s="1"/>
  <c r="B59" i="5"/>
  <c r="B27" i="5"/>
  <c r="B29" i="5"/>
  <c r="R97" i="4"/>
  <c r="S97" i="4" s="1"/>
  <c r="M80" i="4"/>
  <c r="J80" i="4"/>
  <c r="M78" i="4"/>
  <c r="J78" i="4"/>
  <c r="M76" i="4"/>
  <c r="J76" i="4"/>
  <c r="M75" i="4"/>
  <c r="N75" i="4" s="1"/>
  <c r="J75" i="4"/>
  <c r="K75" i="4" s="1"/>
  <c r="M74" i="4"/>
  <c r="J74" i="4"/>
  <c r="M73" i="4"/>
  <c r="J73" i="4"/>
  <c r="M72" i="4"/>
  <c r="J72" i="4"/>
  <c r="J71" i="4"/>
  <c r="K71" i="4" s="1"/>
  <c r="M71" i="4"/>
  <c r="N71" i="4" s="1"/>
  <c r="J70" i="4"/>
  <c r="M70" i="4"/>
  <c r="M69" i="4"/>
  <c r="J69" i="4"/>
  <c r="M68" i="4"/>
  <c r="J68" i="4"/>
  <c r="M67" i="4"/>
  <c r="N67" i="4" s="1"/>
  <c r="J67" i="4"/>
  <c r="K67" i="4" s="1"/>
  <c r="M66" i="4"/>
  <c r="J66" i="4"/>
  <c r="M65" i="4"/>
  <c r="N65" i="4" s="1"/>
  <c r="J65" i="4"/>
  <c r="K65" i="4" s="1"/>
  <c r="M64" i="4"/>
  <c r="J64" i="4"/>
  <c r="M63" i="4"/>
  <c r="N63" i="4" s="1"/>
  <c r="J63" i="4"/>
  <c r="K63" i="4" s="1"/>
  <c r="M62" i="4"/>
  <c r="J62" i="4"/>
  <c r="M61" i="4"/>
  <c r="J61" i="4"/>
  <c r="M60" i="4"/>
  <c r="J60" i="4"/>
  <c r="M59" i="4"/>
  <c r="J59" i="4"/>
  <c r="M56" i="4"/>
  <c r="J56" i="4"/>
  <c r="M55" i="4"/>
  <c r="N55" i="4" s="1"/>
  <c r="S55" i="4" s="1"/>
  <c r="J55" i="4"/>
  <c r="K55" i="4" s="1"/>
  <c r="R55" i="4" s="1"/>
  <c r="M54" i="4"/>
  <c r="J54" i="4"/>
  <c r="J53" i="4"/>
  <c r="K53" i="4" s="1"/>
  <c r="R53" i="4" s="1"/>
  <c r="M53" i="4"/>
  <c r="N53" i="4" s="1"/>
  <c r="S53" i="4" s="1"/>
  <c r="M52" i="4"/>
  <c r="J52" i="4"/>
  <c r="M51" i="4"/>
  <c r="J51" i="4"/>
  <c r="J50" i="4"/>
  <c r="M50" i="4"/>
  <c r="M49" i="4"/>
  <c r="N49" i="4" s="1"/>
  <c r="S49" i="4" s="1"/>
  <c r="J49" i="4"/>
  <c r="K49" i="4" s="1"/>
  <c r="R49" i="4" s="1"/>
  <c r="M48" i="4"/>
  <c r="J48" i="4"/>
  <c r="M47" i="4"/>
  <c r="J47" i="4"/>
  <c r="M46" i="4"/>
  <c r="J46" i="4"/>
  <c r="M45" i="4"/>
  <c r="N45" i="4" s="1"/>
  <c r="S45" i="4" s="1"/>
  <c r="J45" i="4"/>
  <c r="K45" i="4" s="1"/>
  <c r="R45" i="4" s="1"/>
  <c r="M44" i="4"/>
  <c r="J44" i="4"/>
  <c r="M43" i="4"/>
  <c r="N43" i="4" s="1"/>
  <c r="S43" i="4" s="1"/>
  <c r="J43" i="4"/>
  <c r="K43" i="4" s="1"/>
  <c r="R43" i="4" s="1"/>
  <c r="M42" i="4"/>
  <c r="J42" i="4"/>
  <c r="M41" i="4"/>
  <c r="N41" i="4" s="1"/>
  <c r="S41" i="4" s="1"/>
  <c r="J41" i="4"/>
  <c r="K41" i="4" s="1"/>
  <c r="R41" i="4" s="1"/>
  <c r="M40" i="4"/>
  <c r="J40" i="4"/>
  <c r="M39" i="4"/>
  <c r="N39" i="4" s="1"/>
  <c r="S39" i="4" s="1"/>
  <c r="J39" i="4"/>
  <c r="K39" i="4" s="1"/>
  <c r="R39" i="4" s="1"/>
  <c r="M38" i="4"/>
  <c r="J38" i="4"/>
  <c r="M37" i="4"/>
  <c r="N37" i="4" s="1"/>
  <c r="S37" i="4" s="1"/>
  <c r="S57" i="4" s="1"/>
  <c r="S86" i="4" s="1"/>
  <c r="J37" i="4"/>
  <c r="K37" i="4" s="1"/>
  <c r="R37" i="4" s="1"/>
  <c r="M36" i="4"/>
  <c r="J36" i="4"/>
  <c r="M35" i="4"/>
  <c r="J35" i="4"/>
  <c r="M34" i="4"/>
  <c r="J34" i="4"/>
  <c r="M33" i="4"/>
  <c r="J33" i="4"/>
  <c r="M30" i="4"/>
  <c r="J30" i="4"/>
  <c r="M29" i="4"/>
  <c r="N29" i="4" s="1"/>
  <c r="S29" i="4" s="1"/>
  <c r="J29" i="4"/>
  <c r="K29" i="4" s="1"/>
  <c r="R29" i="4" s="1"/>
  <c r="M28" i="4"/>
  <c r="J28" i="4"/>
  <c r="M27" i="4"/>
  <c r="N27" i="4" s="1"/>
  <c r="S27" i="4" s="1"/>
  <c r="J27" i="4"/>
  <c r="K27" i="4" s="1"/>
  <c r="R27" i="4" s="1"/>
  <c r="M26" i="4"/>
  <c r="J26" i="4"/>
  <c r="M25" i="4"/>
  <c r="N25" i="4" s="1"/>
  <c r="S25" i="4" s="1"/>
  <c r="J25" i="4"/>
  <c r="K25" i="4" s="1"/>
  <c r="R25" i="4" s="1"/>
  <c r="J24" i="4"/>
  <c r="M24" i="4"/>
  <c r="M23" i="4"/>
  <c r="J23" i="4"/>
  <c r="M22" i="4"/>
  <c r="J22" i="4"/>
  <c r="M21" i="4"/>
  <c r="N21" i="4" s="1"/>
  <c r="S21" i="4" s="1"/>
  <c r="J21" i="4"/>
  <c r="K21" i="4" s="1"/>
  <c r="R21" i="4" s="1"/>
  <c r="M20" i="4"/>
  <c r="J20" i="4"/>
  <c r="M19" i="4"/>
  <c r="J19" i="4"/>
  <c r="M18" i="4"/>
  <c r="J18" i="4"/>
  <c r="M17" i="4"/>
  <c r="N17" i="4" s="1"/>
  <c r="S17" i="4" s="1"/>
  <c r="J17" i="4"/>
  <c r="K17" i="4" s="1"/>
  <c r="R17" i="4" s="1"/>
  <c r="M16" i="4"/>
  <c r="J16" i="4"/>
  <c r="M15" i="4"/>
  <c r="N15" i="4" s="1"/>
  <c r="S15" i="4" s="1"/>
  <c r="J15" i="4"/>
  <c r="K15" i="4" s="1"/>
  <c r="R15" i="4" s="1"/>
  <c r="M14" i="4"/>
  <c r="J14" i="4"/>
  <c r="M13" i="4"/>
  <c r="N13" i="4" s="1"/>
  <c r="J13" i="4"/>
  <c r="K13" i="4" s="1"/>
  <c r="M12" i="4"/>
  <c r="J12" i="4"/>
  <c r="M11" i="4"/>
  <c r="J11" i="4"/>
  <c r="M10" i="4"/>
  <c r="J10" i="4"/>
  <c r="M9" i="4"/>
  <c r="J9" i="4"/>
  <c r="M7" i="4"/>
  <c r="J7" i="4"/>
  <c r="B128" i="5" l="1"/>
  <c r="B130" i="5" s="1"/>
  <c r="B129" i="5"/>
  <c r="M85" i="5"/>
  <c r="N85" i="5" s="1"/>
  <c r="O85" i="5" s="1"/>
  <c r="Y85" i="5" s="1"/>
  <c r="B86" i="5"/>
  <c r="B84" i="5"/>
  <c r="B85" i="5" s="1"/>
  <c r="U337" i="5"/>
  <c r="U332" i="5"/>
  <c r="V332" i="5" s="1"/>
  <c r="Z332" i="5" s="1"/>
  <c r="U331" i="5"/>
  <c r="V331" i="5" s="1"/>
  <c r="Z331" i="5" s="1"/>
  <c r="U328" i="5"/>
  <c r="V328" i="5" s="1"/>
  <c r="Z328" i="5" s="1"/>
  <c r="U325" i="5"/>
  <c r="V325" i="5" s="1"/>
  <c r="Z325" i="5" s="1"/>
  <c r="U321" i="5"/>
  <c r="V321" i="5" s="1"/>
  <c r="Z321" i="5" s="1"/>
  <c r="U317" i="5"/>
  <c r="U312" i="5"/>
  <c r="V312" i="5" s="1"/>
  <c r="Z312" i="5" s="1"/>
  <c r="U297" i="5"/>
  <c r="U310" i="5"/>
  <c r="V310" i="5" s="1"/>
  <c r="Z310" i="5" s="1"/>
  <c r="U340" i="5"/>
  <c r="V340" i="5" s="1"/>
  <c r="Z340" i="5" s="1"/>
  <c r="U329" i="5"/>
  <c r="V329" i="5" s="1"/>
  <c r="Z329" i="5" s="1"/>
  <c r="U326" i="5"/>
  <c r="V326" i="5" s="1"/>
  <c r="Z326" i="5" s="1"/>
  <c r="U322" i="5"/>
  <c r="V322" i="5" s="1"/>
  <c r="Z322" i="5" s="1"/>
  <c r="U313" i="5"/>
  <c r="V313" i="5" s="1"/>
  <c r="Z313" i="5" s="1"/>
  <c r="U304" i="5"/>
  <c r="U288" i="5"/>
  <c r="U319" i="5"/>
  <c r="V319" i="5" s="1"/>
  <c r="Z319" i="5" s="1"/>
  <c r="U287" i="5"/>
  <c r="U175" i="5"/>
  <c r="V175" i="5" s="1"/>
  <c r="Z175" i="5" s="1"/>
  <c r="U311" i="5"/>
  <c r="V311" i="5" s="1"/>
  <c r="Z311" i="5" s="1"/>
  <c r="U338" i="5"/>
  <c r="V338" i="5" s="1"/>
  <c r="Z338" i="5" s="1"/>
  <c r="Z68" i="5"/>
  <c r="V569" i="5"/>
  <c r="Y68" i="5"/>
  <c r="O569" i="5"/>
  <c r="U336" i="5"/>
  <c r="V336" i="5" s="1"/>
  <c r="Z336" i="5" s="1"/>
  <c r="U323" i="5"/>
  <c r="V323" i="5" s="1"/>
  <c r="Z323" i="5" s="1"/>
  <c r="U318" i="5"/>
  <c r="V318" i="5" s="1"/>
  <c r="Z318" i="5" s="1"/>
  <c r="U316" i="5"/>
  <c r="V316" i="5" s="1"/>
  <c r="Z316" i="5" s="1"/>
  <c r="U339" i="5"/>
  <c r="V339" i="5" s="1"/>
  <c r="Z339" i="5" s="1"/>
  <c r="U335" i="5"/>
  <c r="V335" i="5" s="1"/>
  <c r="Z335" i="5" s="1"/>
  <c r="U334" i="5"/>
  <c r="V334" i="5" s="1"/>
  <c r="Z334" i="5" s="1"/>
  <c r="U330" i="5"/>
  <c r="V330" i="5" s="1"/>
  <c r="Z330" i="5" s="1"/>
  <c r="U327" i="5"/>
  <c r="V327" i="5" s="1"/>
  <c r="Z327" i="5" s="1"/>
  <c r="U324" i="5"/>
  <c r="V324" i="5" s="1"/>
  <c r="Z324" i="5" s="1"/>
  <c r="U320" i="5"/>
  <c r="V320" i="5" s="1"/>
  <c r="Z320" i="5" s="1"/>
  <c r="U315" i="5"/>
  <c r="V315" i="5" s="1"/>
  <c r="Z315" i="5" s="1"/>
  <c r="U188" i="5"/>
  <c r="V188" i="5" s="1"/>
  <c r="Z188" i="5" s="1"/>
  <c r="U187" i="5"/>
  <c r="V187" i="5" s="1"/>
  <c r="Z187" i="5" s="1"/>
  <c r="U186" i="5"/>
  <c r="V186" i="5" s="1"/>
  <c r="Z186" i="5" s="1"/>
  <c r="U185" i="5"/>
  <c r="V185" i="5" s="1"/>
  <c r="Z185" i="5" s="1"/>
  <c r="U184" i="5"/>
  <c r="U183" i="5"/>
  <c r="U182" i="5"/>
  <c r="U181" i="5"/>
  <c r="U179" i="5"/>
  <c r="V179" i="5" s="1"/>
  <c r="Z179" i="5" s="1"/>
  <c r="U178" i="5"/>
  <c r="V178" i="5" s="1"/>
  <c r="Z178" i="5" s="1"/>
  <c r="U177" i="5"/>
  <c r="V177" i="5" s="1"/>
  <c r="Z177" i="5" s="1"/>
  <c r="U176" i="5"/>
  <c r="V176" i="5" s="1"/>
  <c r="Z176" i="5" s="1"/>
  <c r="U174" i="5"/>
  <c r="V174" i="5" s="1"/>
  <c r="Z174" i="5" s="1"/>
  <c r="U173" i="5"/>
  <c r="U172" i="5"/>
  <c r="V172" i="5" s="1"/>
  <c r="Z172" i="5" s="1"/>
  <c r="U171" i="5"/>
  <c r="V171" i="5" s="1"/>
  <c r="Z171" i="5" s="1"/>
  <c r="U170" i="5"/>
  <c r="U169" i="5"/>
  <c r="U168" i="5"/>
  <c r="U167" i="5"/>
  <c r="U166" i="5"/>
  <c r="U165" i="5"/>
  <c r="U163" i="5"/>
  <c r="U155" i="5"/>
  <c r="U154" i="5"/>
  <c r="U299" i="5"/>
  <c r="U423" i="5"/>
  <c r="V423" i="5" s="1"/>
  <c r="Z423" i="5" s="1"/>
  <c r="U424" i="5"/>
  <c r="V424" i="5" s="1"/>
  <c r="Z424" i="5" s="1"/>
  <c r="U427" i="5"/>
  <c r="V427" i="5" s="1"/>
  <c r="Z427" i="5" s="1"/>
  <c r="U425" i="5"/>
  <c r="V425" i="5" s="1"/>
  <c r="Z425" i="5" s="1"/>
  <c r="U418" i="5"/>
  <c r="V418" i="5" s="1"/>
  <c r="Z418" i="5" s="1"/>
  <c r="U422" i="5"/>
  <c r="V422" i="5" s="1"/>
  <c r="Z422" i="5" s="1"/>
  <c r="U417" i="5"/>
  <c r="V417" i="5" s="1"/>
  <c r="Z417" i="5" s="1"/>
  <c r="U414" i="5"/>
  <c r="V414" i="5" s="1"/>
  <c r="Z414" i="5" s="1"/>
  <c r="U399" i="5"/>
  <c r="U428" i="5"/>
  <c r="V428" i="5" s="1"/>
  <c r="Z428" i="5" s="1"/>
  <c r="U421" i="5"/>
  <c r="V421" i="5" s="1"/>
  <c r="Z421" i="5" s="1"/>
  <c r="U420" i="5"/>
  <c r="V420" i="5" s="1"/>
  <c r="Z420" i="5" s="1"/>
  <c r="U412" i="5"/>
  <c r="V412" i="5" s="1"/>
  <c r="Z412" i="5" s="1"/>
  <c r="U411" i="5"/>
  <c r="V411" i="5" s="1"/>
  <c r="Z411" i="5" s="1"/>
  <c r="U409" i="5"/>
  <c r="V409" i="5" s="1"/>
  <c r="Z409" i="5" s="1"/>
  <c r="U403" i="5"/>
  <c r="U419" i="5"/>
  <c r="V419" i="5" s="1"/>
  <c r="Z419" i="5" s="1"/>
  <c r="U415" i="5"/>
  <c r="V415" i="5" s="1"/>
  <c r="Z415" i="5" s="1"/>
  <c r="V400" i="5"/>
  <c r="Z400" i="5" s="1"/>
  <c r="U416" i="5"/>
  <c r="U426" i="5"/>
  <c r="V426" i="5" s="1"/>
  <c r="Z426" i="5" s="1"/>
  <c r="U410" i="5"/>
  <c r="V410" i="5" s="1"/>
  <c r="Z410" i="5" s="1"/>
  <c r="B34" i="5"/>
  <c r="B30" i="5"/>
  <c r="B31" i="5" s="1"/>
  <c r="B32" i="5" s="1"/>
  <c r="U217" i="5"/>
  <c r="U211" i="5"/>
  <c r="V211" i="5" s="1"/>
  <c r="Z211" i="5" s="1"/>
  <c r="U247" i="5"/>
  <c r="U200" i="5"/>
  <c r="U213" i="5"/>
  <c r="V213" i="5" s="1"/>
  <c r="Z213" i="5" s="1"/>
  <c r="U397" i="5"/>
  <c r="U256" i="5"/>
  <c r="V256" i="5" s="1"/>
  <c r="Z256" i="5" s="1"/>
  <c r="U255" i="5"/>
  <c r="V255" i="5" s="1"/>
  <c r="Z255" i="5" s="1"/>
  <c r="U254" i="5"/>
  <c r="V254" i="5" s="1"/>
  <c r="Z254" i="5" s="1"/>
  <c r="U253" i="5"/>
  <c r="V253" i="5" s="1"/>
  <c r="Z253" i="5" s="1"/>
  <c r="U252" i="5"/>
  <c r="V252" i="5" s="1"/>
  <c r="Z252" i="5" s="1"/>
  <c r="U251" i="5"/>
  <c r="V251" i="5" s="1"/>
  <c r="Z251" i="5" s="1"/>
  <c r="U250" i="5"/>
  <c r="V250" i="5" s="1"/>
  <c r="Z250" i="5" s="1"/>
  <c r="U249" i="5"/>
  <c r="V249" i="5" s="1"/>
  <c r="Z249" i="5" s="1"/>
  <c r="U248" i="5"/>
  <c r="U245" i="5"/>
  <c r="V245" i="5" s="1"/>
  <c r="Z245" i="5" s="1"/>
  <c r="U244" i="5"/>
  <c r="V244" i="5" s="1"/>
  <c r="Z244" i="5" s="1"/>
  <c r="U243" i="5"/>
  <c r="V243" i="5" s="1"/>
  <c r="Z243" i="5" s="1"/>
  <c r="U242" i="5"/>
  <c r="V242" i="5" s="1"/>
  <c r="Z242" i="5" s="1"/>
  <c r="U241" i="5"/>
  <c r="V241" i="5" s="1"/>
  <c r="Z241" i="5" s="1"/>
  <c r="U240" i="5"/>
  <c r="V240" i="5" s="1"/>
  <c r="Z240" i="5" s="1"/>
  <c r="U239" i="5"/>
  <c r="V239" i="5" s="1"/>
  <c r="Z239" i="5" s="1"/>
  <c r="U238" i="5"/>
  <c r="V238" i="5" s="1"/>
  <c r="Z238" i="5" s="1"/>
  <c r="U237" i="5"/>
  <c r="V237" i="5" s="1"/>
  <c r="Z237" i="5" s="1"/>
  <c r="U236" i="5"/>
  <c r="V236" i="5" s="1"/>
  <c r="Z236" i="5" s="1"/>
  <c r="U235" i="5"/>
  <c r="V235" i="5" s="1"/>
  <c r="Z235" i="5" s="1"/>
  <c r="U234" i="5"/>
  <c r="V234" i="5" s="1"/>
  <c r="Z234" i="5" s="1"/>
  <c r="U233" i="5"/>
  <c r="V233" i="5" s="1"/>
  <c r="Z233" i="5" s="1"/>
  <c r="U232" i="5"/>
  <c r="U231" i="5"/>
  <c r="U229" i="5"/>
  <c r="V229" i="5" s="1"/>
  <c r="Z229" i="5" s="1"/>
  <c r="U228" i="5"/>
  <c r="U227" i="5"/>
  <c r="V227" i="5" s="1"/>
  <c r="Z227" i="5" s="1"/>
  <c r="U226" i="5"/>
  <c r="V226" i="5" s="1"/>
  <c r="Z226" i="5" s="1"/>
  <c r="U225" i="5"/>
  <c r="U224" i="5"/>
  <c r="V224" i="5" s="1"/>
  <c r="Z224" i="5" s="1"/>
  <c r="U223" i="5"/>
  <c r="V223" i="5" s="1"/>
  <c r="Z223" i="5" s="1"/>
  <c r="U222" i="5"/>
  <c r="V222" i="5" s="1"/>
  <c r="Z222" i="5" s="1"/>
  <c r="U221" i="5"/>
  <c r="V221" i="5" s="1"/>
  <c r="Z221" i="5" s="1"/>
  <c r="U220" i="5"/>
  <c r="V220" i="5" s="1"/>
  <c r="Z220" i="5" s="1"/>
  <c r="U219" i="5"/>
  <c r="U218" i="5"/>
  <c r="U215" i="5"/>
  <c r="V215" i="5" s="1"/>
  <c r="Z215" i="5" s="1"/>
  <c r="U214" i="5"/>
  <c r="V214" i="5" s="1"/>
  <c r="Z214" i="5" s="1"/>
  <c r="U212" i="5"/>
  <c r="U210" i="5"/>
  <c r="V210" i="5" s="1"/>
  <c r="Z210" i="5" s="1"/>
  <c r="U209" i="5"/>
  <c r="V209" i="5" s="1"/>
  <c r="Z209" i="5" s="1"/>
  <c r="U208" i="5"/>
  <c r="V208" i="5" s="1"/>
  <c r="Z208" i="5" s="1"/>
  <c r="U207" i="5"/>
  <c r="V207" i="5" s="1"/>
  <c r="Z207" i="5" s="1"/>
  <c r="U206" i="5"/>
  <c r="V206" i="5" s="1"/>
  <c r="Z206" i="5" s="1"/>
  <c r="U205" i="5"/>
  <c r="V205" i="5" s="1"/>
  <c r="Z205" i="5" s="1"/>
  <c r="U204" i="5"/>
  <c r="V204" i="5" s="1"/>
  <c r="Z204" i="5" s="1"/>
  <c r="U203" i="5"/>
  <c r="V203" i="5" s="1"/>
  <c r="Z203" i="5" s="1"/>
  <c r="U202" i="5"/>
  <c r="U201" i="5"/>
  <c r="U198" i="5"/>
  <c r="V198" i="5" s="1"/>
  <c r="Z198" i="5" s="1"/>
  <c r="U197" i="5"/>
  <c r="V197" i="5" s="1"/>
  <c r="Z197" i="5" s="1"/>
  <c r="U196" i="5"/>
  <c r="V196" i="5" s="1"/>
  <c r="Z196" i="5" s="1"/>
  <c r="U195" i="5"/>
  <c r="V195" i="5" s="1"/>
  <c r="Z195" i="5" s="1"/>
  <c r="U194" i="5"/>
  <c r="V194" i="5" s="1"/>
  <c r="Z194" i="5" s="1"/>
  <c r="U193" i="5"/>
  <c r="V193" i="5" s="1"/>
  <c r="Z193" i="5" s="1"/>
  <c r="U192" i="5"/>
  <c r="V192" i="5" s="1"/>
  <c r="Z192" i="5" s="1"/>
  <c r="U191" i="5"/>
  <c r="V191" i="5" s="1"/>
  <c r="Z191" i="5" s="1"/>
  <c r="U190" i="5"/>
  <c r="V190" i="5" s="1"/>
  <c r="Z190" i="5" s="1"/>
  <c r="U189" i="5"/>
  <c r="U47" i="5"/>
  <c r="U45" i="5"/>
  <c r="V45" i="5" s="1"/>
  <c r="Z45" i="5" s="1"/>
  <c r="U44" i="5"/>
  <c r="V44" i="5" s="1"/>
  <c r="Z44" i="5" s="1"/>
  <c r="U43" i="5"/>
  <c r="V43" i="5" s="1"/>
  <c r="Z43" i="5" s="1"/>
  <c r="U42" i="5"/>
  <c r="V42" i="5" s="1"/>
  <c r="Z42" i="5" s="1"/>
  <c r="U41" i="5"/>
  <c r="V41" i="5" s="1"/>
  <c r="Z41" i="5" s="1"/>
  <c r="U39" i="5"/>
  <c r="V39" i="5" s="1"/>
  <c r="Z39" i="5" s="1"/>
  <c r="U38" i="5"/>
  <c r="V38" i="5" s="1"/>
  <c r="Z38" i="5" s="1"/>
  <c r="U37" i="5"/>
  <c r="V37" i="5" s="1"/>
  <c r="Z37" i="5" s="1"/>
  <c r="U36" i="5"/>
  <c r="V36" i="5" s="1"/>
  <c r="Z36" i="5" s="1"/>
  <c r="U35" i="5"/>
  <c r="V35" i="5" s="1"/>
  <c r="Z35" i="5" s="1"/>
  <c r="U34" i="5"/>
  <c r="V34" i="5" s="1"/>
  <c r="Z34" i="5" s="1"/>
  <c r="U484" i="5"/>
  <c r="V484" i="5" s="1"/>
  <c r="Z484" i="5" s="1"/>
  <c r="U475" i="5"/>
  <c r="V475" i="5" s="1"/>
  <c r="Z475" i="5" s="1"/>
  <c r="U462" i="5"/>
  <c r="U457" i="5"/>
  <c r="V457" i="5" s="1"/>
  <c r="Z457" i="5" s="1"/>
  <c r="U454" i="5"/>
  <c r="V454" i="5" s="1"/>
  <c r="Z454" i="5" s="1"/>
  <c r="U451" i="5"/>
  <c r="V451" i="5" s="1"/>
  <c r="Z451" i="5" s="1"/>
  <c r="U433" i="5"/>
  <c r="V433" i="5" s="1"/>
  <c r="Z433" i="5" s="1"/>
  <c r="U386" i="5"/>
  <c r="V386" i="5" s="1"/>
  <c r="Z386" i="5" s="1"/>
  <c r="U377" i="5"/>
  <c r="V377" i="5" s="1"/>
  <c r="Z377" i="5" s="1"/>
  <c r="U390" i="5"/>
  <c r="U380" i="5"/>
  <c r="V380" i="5" s="1"/>
  <c r="Z380" i="5" s="1"/>
  <c r="U379" i="5"/>
  <c r="V379" i="5" s="1"/>
  <c r="Z379" i="5" s="1"/>
  <c r="U372" i="5"/>
  <c r="V372" i="5" s="1"/>
  <c r="Z372" i="5" s="1"/>
  <c r="U370" i="5"/>
  <c r="V370" i="5" s="1"/>
  <c r="Z370" i="5" s="1"/>
  <c r="U269" i="5"/>
  <c r="V269" i="5" s="1"/>
  <c r="Z269" i="5" s="1"/>
  <c r="U481" i="5"/>
  <c r="V481" i="5" s="1"/>
  <c r="Z481" i="5" s="1"/>
  <c r="U470" i="5"/>
  <c r="V470" i="5" s="1"/>
  <c r="Z470" i="5" s="1"/>
  <c r="U382" i="5"/>
  <c r="V382" i="5" s="1"/>
  <c r="Z382" i="5" s="1"/>
  <c r="U371" i="5"/>
  <c r="V371" i="5" s="1"/>
  <c r="Z371" i="5" s="1"/>
  <c r="U364" i="5"/>
  <c r="V364" i="5" s="1"/>
  <c r="Z364" i="5" s="1"/>
  <c r="U355" i="5"/>
  <c r="V355" i="5" s="1"/>
  <c r="Z355" i="5" s="1"/>
  <c r="U431" i="5"/>
  <c r="V431" i="5" s="1"/>
  <c r="Z431" i="5" s="1"/>
  <c r="U374" i="5"/>
  <c r="V374" i="5" s="1"/>
  <c r="Z374" i="5" s="1"/>
  <c r="U285" i="5"/>
  <c r="V285" i="5" s="1"/>
  <c r="Z285" i="5" s="1"/>
  <c r="U283" i="5"/>
  <c r="V283" i="5" s="1"/>
  <c r="Z283" i="5" s="1"/>
  <c r="U277" i="5"/>
  <c r="V277" i="5" s="1"/>
  <c r="Z277" i="5" s="1"/>
  <c r="U482" i="5"/>
  <c r="V482" i="5" s="1"/>
  <c r="Z482" i="5" s="1"/>
  <c r="U450" i="5"/>
  <c r="V450" i="5" s="1"/>
  <c r="Z450" i="5" s="1"/>
  <c r="U437" i="5"/>
  <c r="V437" i="5" s="1"/>
  <c r="Z437" i="5" s="1"/>
  <c r="U387" i="5"/>
  <c r="V387" i="5" s="1"/>
  <c r="Z387" i="5" s="1"/>
  <c r="U383" i="5"/>
  <c r="V383" i="5" s="1"/>
  <c r="Z383" i="5" s="1"/>
  <c r="U365" i="5"/>
  <c r="V365" i="5" s="1"/>
  <c r="Z365" i="5" s="1"/>
  <c r="U389" i="5"/>
  <c r="U275" i="5"/>
  <c r="V275" i="5" s="1"/>
  <c r="Z275" i="5" s="1"/>
  <c r="U271" i="5"/>
  <c r="V271" i="5" s="1"/>
  <c r="Z271" i="5" s="1"/>
  <c r="U480" i="5"/>
  <c r="V480" i="5" s="1"/>
  <c r="Z480" i="5" s="1"/>
  <c r="U384" i="5"/>
  <c r="V384" i="5" s="1"/>
  <c r="Z384" i="5" s="1"/>
  <c r="U369" i="5"/>
  <c r="V369" i="5" s="1"/>
  <c r="Z369" i="5" s="1"/>
  <c r="U284" i="5"/>
  <c r="V284" i="5" s="1"/>
  <c r="Z284" i="5" s="1"/>
  <c r="U274" i="5"/>
  <c r="V274" i="5" s="1"/>
  <c r="Z274" i="5" s="1"/>
  <c r="U259" i="5"/>
  <c r="V259" i="5" s="1"/>
  <c r="Z259" i="5" s="1"/>
  <c r="U258" i="5"/>
  <c r="V258" i="5" s="1"/>
  <c r="Z258" i="5" s="1"/>
  <c r="U257" i="5"/>
  <c r="V257" i="5" s="1"/>
  <c r="Z257" i="5" s="1"/>
  <c r="U478" i="5"/>
  <c r="V478" i="5" s="1"/>
  <c r="Z478" i="5" s="1"/>
  <c r="U463" i="5"/>
  <c r="V463" i="5" s="1"/>
  <c r="Z463" i="5" s="1"/>
  <c r="U449" i="5"/>
  <c r="V449" i="5" s="1"/>
  <c r="Z449" i="5" s="1"/>
  <c r="U444" i="5"/>
  <c r="V444" i="5" s="1"/>
  <c r="Z444" i="5" s="1"/>
  <c r="U434" i="5"/>
  <c r="V434" i="5" s="1"/>
  <c r="Z434" i="5" s="1"/>
  <c r="U385" i="5"/>
  <c r="V385" i="5" s="1"/>
  <c r="Z385" i="5" s="1"/>
  <c r="U381" i="5"/>
  <c r="V381" i="5" s="1"/>
  <c r="Z381" i="5" s="1"/>
  <c r="U273" i="5"/>
  <c r="V273" i="5" s="1"/>
  <c r="Z273" i="5" s="1"/>
  <c r="U270" i="5"/>
  <c r="V270" i="5" s="1"/>
  <c r="Z270" i="5" s="1"/>
  <c r="U265" i="5"/>
  <c r="V265" i="5" s="1"/>
  <c r="Z265" i="5" s="1"/>
  <c r="U264" i="5"/>
  <c r="V264" i="5" s="1"/>
  <c r="Z264" i="5" s="1"/>
  <c r="U263" i="5"/>
  <c r="U260" i="5"/>
  <c r="V260" i="5" s="1"/>
  <c r="Z260" i="5" s="1"/>
  <c r="U483" i="5"/>
  <c r="V483" i="5" s="1"/>
  <c r="Z483" i="5" s="1"/>
  <c r="U474" i="5"/>
  <c r="V474" i="5" s="1"/>
  <c r="Z474" i="5" s="1"/>
  <c r="U467" i="5"/>
  <c r="V467" i="5" s="1"/>
  <c r="Z467" i="5" s="1"/>
  <c r="U440" i="5"/>
  <c r="V440" i="5" s="1"/>
  <c r="Z440" i="5" s="1"/>
  <c r="U376" i="5"/>
  <c r="U361" i="5"/>
  <c r="V361" i="5" s="1"/>
  <c r="Z361" i="5" s="1"/>
  <c r="U358" i="5"/>
  <c r="V358" i="5" s="1"/>
  <c r="Z358" i="5" s="1"/>
  <c r="U373" i="5"/>
  <c r="V373" i="5" s="1"/>
  <c r="Z373" i="5" s="1"/>
  <c r="U281" i="5"/>
  <c r="V281" i="5" s="1"/>
  <c r="Z281" i="5" s="1"/>
  <c r="U272" i="5"/>
  <c r="V272" i="5" s="1"/>
  <c r="Z272" i="5" s="1"/>
  <c r="U479" i="5"/>
  <c r="V479" i="5" s="1"/>
  <c r="Z479" i="5" s="1"/>
  <c r="U459" i="5"/>
  <c r="V459" i="5" s="1"/>
  <c r="Z459" i="5" s="1"/>
  <c r="U429" i="5"/>
  <c r="V429" i="5" s="1"/>
  <c r="Z429" i="5" s="1"/>
  <c r="U279" i="5"/>
  <c r="U266" i="5"/>
  <c r="V266" i="5" s="1"/>
  <c r="Z266" i="5" s="1"/>
  <c r="U352" i="5"/>
  <c r="V352" i="5" s="1"/>
  <c r="Z352" i="5" s="1"/>
  <c r="U350" i="5"/>
  <c r="V350" i="5" s="1"/>
  <c r="Z350" i="5" s="1"/>
  <c r="U351" i="5"/>
  <c r="V351" i="5" s="1"/>
  <c r="Z351" i="5" s="1"/>
  <c r="U342" i="5"/>
  <c r="V342" i="5" s="1"/>
  <c r="Z342" i="5" s="1"/>
  <c r="U282" i="5"/>
  <c r="V282" i="5" s="1"/>
  <c r="Z282" i="5" s="1"/>
  <c r="U280" i="5"/>
  <c r="V280" i="5" s="1"/>
  <c r="Z280" i="5" s="1"/>
  <c r="U262" i="5"/>
  <c r="U453" i="5"/>
  <c r="V453" i="5" s="1"/>
  <c r="Z453" i="5" s="1"/>
  <c r="U473" i="5"/>
  <c r="V473" i="5" s="1"/>
  <c r="Z473" i="5" s="1"/>
  <c r="U471" i="5"/>
  <c r="V471" i="5" s="1"/>
  <c r="Z471" i="5" s="1"/>
  <c r="U465" i="5"/>
  <c r="V465" i="5" s="1"/>
  <c r="Z465" i="5" s="1"/>
  <c r="U464" i="5"/>
  <c r="U460" i="5"/>
  <c r="V460" i="5" s="1"/>
  <c r="Z460" i="5" s="1"/>
  <c r="U456" i="5"/>
  <c r="V456" i="5" s="1"/>
  <c r="Z456" i="5" s="1"/>
  <c r="U455" i="5"/>
  <c r="V455" i="5" s="1"/>
  <c r="Z455" i="5" s="1"/>
  <c r="U430" i="5"/>
  <c r="V430" i="5" s="1"/>
  <c r="Z430" i="5" s="1"/>
  <c r="U341" i="5"/>
  <c r="V341" i="5" s="1"/>
  <c r="Z341" i="5" s="1"/>
  <c r="U267" i="5"/>
  <c r="V267" i="5" s="1"/>
  <c r="Z267" i="5" s="1"/>
  <c r="U476" i="5"/>
  <c r="U472" i="5"/>
  <c r="V472" i="5" s="1"/>
  <c r="Z472" i="5" s="1"/>
  <c r="U469" i="5"/>
  <c r="V469" i="5" s="1"/>
  <c r="Z469" i="5" s="1"/>
  <c r="U468" i="5"/>
  <c r="V468" i="5" s="1"/>
  <c r="Z468" i="5" s="1"/>
  <c r="U466" i="5"/>
  <c r="V466" i="5" s="1"/>
  <c r="Z466" i="5" s="1"/>
  <c r="U458" i="5"/>
  <c r="V458" i="5" s="1"/>
  <c r="Z458" i="5" s="1"/>
  <c r="U452" i="5"/>
  <c r="U447" i="5"/>
  <c r="V447" i="5" s="1"/>
  <c r="Z447" i="5" s="1"/>
  <c r="U446" i="5"/>
  <c r="V446" i="5" s="1"/>
  <c r="Z446" i="5" s="1"/>
  <c r="U445" i="5"/>
  <c r="V445" i="5" s="1"/>
  <c r="Z445" i="5" s="1"/>
  <c r="U443" i="5"/>
  <c r="V443" i="5" s="1"/>
  <c r="Z443" i="5" s="1"/>
  <c r="U442" i="5"/>
  <c r="V442" i="5" s="1"/>
  <c r="Z442" i="5" s="1"/>
  <c r="U441" i="5"/>
  <c r="V441" i="5" s="1"/>
  <c r="Z441" i="5" s="1"/>
  <c r="U439" i="5"/>
  <c r="V439" i="5" s="1"/>
  <c r="Z439" i="5" s="1"/>
  <c r="U438" i="5"/>
  <c r="V438" i="5" s="1"/>
  <c r="Z438" i="5" s="1"/>
  <c r="U436" i="5"/>
  <c r="V436" i="5" s="1"/>
  <c r="Z436" i="5" s="1"/>
  <c r="U435" i="5"/>
  <c r="U378" i="5"/>
  <c r="U368" i="5"/>
  <c r="V368" i="5" s="1"/>
  <c r="Z368" i="5" s="1"/>
  <c r="U276" i="5"/>
  <c r="V276" i="5" s="1"/>
  <c r="Z276" i="5" s="1"/>
  <c r="U268" i="5"/>
  <c r="V268" i="5" s="1"/>
  <c r="Z268" i="5" s="1"/>
  <c r="U367" i="5"/>
  <c r="V367" i="5" s="1"/>
  <c r="Z367" i="5" s="1"/>
  <c r="U366" i="5"/>
  <c r="U362" i="5"/>
  <c r="V362" i="5" s="1"/>
  <c r="Z362" i="5" s="1"/>
  <c r="U360" i="5"/>
  <c r="V360" i="5" s="1"/>
  <c r="Z360" i="5" s="1"/>
  <c r="U359" i="5"/>
  <c r="V359" i="5" s="1"/>
  <c r="Z359" i="5" s="1"/>
  <c r="U357" i="5"/>
  <c r="V357" i="5" s="1"/>
  <c r="Z357" i="5" s="1"/>
  <c r="U356" i="5"/>
  <c r="V356" i="5" s="1"/>
  <c r="Z356" i="5" s="1"/>
  <c r="U354" i="5"/>
  <c r="V354" i="5" s="1"/>
  <c r="Z354" i="5" s="1"/>
  <c r="U353" i="5"/>
  <c r="U348" i="5"/>
  <c r="V348" i="5" s="1"/>
  <c r="Z348" i="5" s="1"/>
  <c r="U347" i="5"/>
  <c r="V347" i="5" s="1"/>
  <c r="Z347" i="5" s="1"/>
  <c r="U346" i="5"/>
  <c r="V346" i="5" s="1"/>
  <c r="Z346" i="5" s="1"/>
  <c r="U344" i="5"/>
  <c r="V344" i="5" s="1"/>
  <c r="Z344" i="5" s="1"/>
  <c r="U343" i="5"/>
  <c r="V343" i="5" s="1"/>
  <c r="Z343" i="5" s="1"/>
  <c r="U152" i="5"/>
  <c r="V152" i="5" s="1"/>
  <c r="Z152" i="5" s="1"/>
  <c r="U151" i="5"/>
  <c r="V151" i="5" s="1"/>
  <c r="Z151" i="5" s="1"/>
  <c r="U150" i="5"/>
  <c r="V150" i="5" s="1"/>
  <c r="Z150" i="5" s="1"/>
  <c r="U149" i="5"/>
  <c r="V149" i="5" s="1"/>
  <c r="Z149" i="5" s="1"/>
  <c r="U148" i="5"/>
  <c r="U145" i="5"/>
  <c r="V145" i="5" s="1"/>
  <c r="Z145" i="5" s="1"/>
  <c r="U144" i="5"/>
  <c r="U143" i="5"/>
  <c r="U141" i="5"/>
  <c r="V141" i="5" s="1"/>
  <c r="Z141" i="5" s="1"/>
  <c r="U140" i="5"/>
  <c r="V140" i="5" s="1"/>
  <c r="Z140" i="5" s="1"/>
  <c r="U139" i="5"/>
  <c r="V139" i="5" s="1"/>
  <c r="Z139" i="5" s="1"/>
  <c r="U138" i="5"/>
  <c r="V138" i="5" s="1"/>
  <c r="Z138" i="5" s="1"/>
  <c r="U137" i="5"/>
  <c r="V137" i="5" s="1"/>
  <c r="Z137" i="5" s="1"/>
  <c r="U133" i="5"/>
  <c r="V133" i="5" s="1"/>
  <c r="Z133" i="5" s="1"/>
  <c r="U132" i="5"/>
  <c r="V132" i="5" s="1"/>
  <c r="Z132" i="5" s="1"/>
  <c r="U131" i="5"/>
  <c r="V131" i="5" s="1"/>
  <c r="Z131" i="5" s="1"/>
  <c r="U122" i="5"/>
  <c r="V122" i="5" s="1"/>
  <c r="Z122" i="5" s="1"/>
  <c r="U121" i="5"/>
  <c r="V121" i="5" s="1"/>
  <c r="Z121" i="5" s="1"/>
  <c r="U120" i="5"/>
  <c r="V120" i="5" s="1"/>
  <c r="Z120" i="5" s="1"/>
  <c r="U119" i="5"/>
  <c r="V119" i="5" s="1"/>
  <c r="Z119" i="5" s="1"/>
  <c r="U118" i="5"/>
  <c r="V118" i="5" s="1"/>
  <c r="Z118" i="5" s="1"/>
  <c r="U117" i="5"/>
  <c r="V117" i="5" s="1"/>
  <c r="Z117" i="5" s="1"/>
  <c r="U116" i="5"/>
  <c r="U114" i="5"/>
  <c r="V114" i="5" s="1"/>
  <c r="Z114" i="5" s="1"/>
  <c r="U113" i="5"/>
  <c r="V113" i="5" s="1"/>
  <c r="Z113" i="5" s="1"/>
  <c r="U112" i="5"/>
  <c r="V112" i="5" s="1"/>
  <c r="Z112" i="5" s="1"/>
  <c r="U111" i="5"/>
  <c r="V111" i="5" s="1"/>
  <c r="Z111" i="5" s="1"/>
  <c r="U110" i="5"/>
  <c r="V110" i="5" s="1"/>
  <c r="Z110" i="5" s="1"/>
  <c r="U107" i="5"/>
  <c r="V107" i="5" s="1"/>
  <c r="Z107" i="5" s="1"/>
  <c r="U106" i="5"/>
  <c r="V106" i="5" s="1"/>
  <c r="Z106" i="5" s="1"/>
  <c r="U105" i="5"/>
  <c r="V105" i="5" s="1"/>
  <c r="Z105" i="5" s="1"/>
  <c r="U104" i="5"/>
  <c r="V104" i="5" s="1"/>
  <c r="Z104" i="5" s="1"/>
  <c r="U101" i="5"/>
  <c r="V101" i="5" s="1"/>
  <c r="Z101" i="5" s="1"/>
  <c r="U98" i="5"/>
  <c r="V98" i="5" s="1"/>
  <c r="U94" i="5"/>
  <c r="V94" i="5" s="1"/>
  <c r="Z94" i="5" s="1"/>
  <c r="U93" i="5"/>
  <c r="V93" i="5" s="1"/>
  <c r="Z93" i="5" s="1"/>
  <c r="U92" i="5"/>
  <c r="U88" i="5"/>
  <c r="V88" i="5" s="1"/>
  <c r="Z88" i="5" s="1"/>
  <c r="U87" i="5"/>
  <c r="V87" i="5" s="1"/>
  <c r="Z87" i="5" s="1"/>
  <c r="U86" i="5"/>
  <c r="V86" i="5" s="1"/>
  <c r="Z86" i="5" s="1"/>
  <c r="U83" i="5"/>
  <c r="V83" i="5" s="1"/>
  <c r="Z83" i="5" s="1"/>
  <c r="U82" i="5"/>
  <c r="V82" i="5" s="1"/>
  <c r="Z82" i="5" s="1"/>
  <c r="U80" i="5"/>
  <c r="V80" i="5" s="1"/>
  <c r="Z80" i="5" s="1"/>
  <c r="U78" i="5"/>
  <c r="V78" i="5" s="1"/>
  <c r="Z78" i="5" s="1"/>
  <c r="U77" i="5"/>
  <c r="V77" i="5" s="1"/>
  <c r="Z77" i="5" s="1"/>
  <c r="U76" i="5"/>
  <c r="V76" i="5" s="1"/>
  <c r="Z76" i="5" s="1"/>
  <c r="U75" i="5"/>
  <c r="V75" i="5" s="1"/>
  <c r="Z75" i="5" s="1"/>
  <c r="U74" i="5"/>
  <c r="V74" i="5" s="1"/>
  <c r="Z74" i="5" s="1"/>
  <c r="U73" i="5"/>
  <c r="U71" i="5"/>
  <c r="V71" i="5" s="1"/>
  <c r="Z71" i="5" s="1"/>
  <c r="U70" i="5"/>
  <c r="V70" i="5" s="1"/>
  <c r="Z70" i="5" s="1"/>
  <c r="U66" i="5"/>
  <c r="V66" i="5" s="1"/>
  <c r="Z66" i="5" s="1"/>
  <c r="U65" i="5"/>
  <c r="V65" i="5" s="1"/>
  <c r="Z65" i="5" s="1"/>
  <c r="U64" i="5"/>
  <c r="V64" i="5" s="1"/>
  <c r="Z64" i="5" s="1"/>
  <c r="U63" i="5"/>
  <c r="V63" i="5" s="1"/>
  <c r="Z63" i="5" s="1"/>
  <c r="U62" i="5"/>
  <c r="V62" i="5" s="1"/>
  <c r="Z62" i="5" s="1"/>
  <c r="U61" i="5"/>
  <c r="V61" i="5" s="1"/>
  <c r="Z61" i="5" s="1"/>
  <c r="U60" i="5"/>
  <c r="V60" i="5" s="1"/>
  <c r="Z60" i="5" s="1"/>
  <c r="U59" i="5"/>
  <c r="V59" i="5" s="1"/>
  <c r="Z59" i="5" s="1"/>
  <c r="U58" i="5"/>
  <c r="V58" i="5" s="1"/>
  <c r="Z58" i="5" s="1"/>
  <c r="U54" i="5"/>
  <c r="V54" i="5" s="1"/>
  <c r="Z54" i="5" s="1"/>
  <c r="U50" i="5"/>
  <c r="V50" i="5" s="1"/>
  <c r="Z50" i="5" s="1"/>
  <c r="U49" i="5"/>
  <c r="V49" i="5" s="1"/>
  <c r="Z49" i="5" s="1"/>
  <c r="U48" i="5"/>
  <c r="V48" i="5" s="1"/>
  <c r="Z48" i="5" s="1"/>
  <c r="U40" i="5"/>
  <c r="V40" i="5" s="1"/>
  <c r="Z40" i="5" s="1"/>
  <c r="U33" i="5"/>
  <c r="V33" i="5" s="1"/>
  <c r="Z33" i="5" s="1"/>
  <c r="U29" i="5"/>
  <c r="V29" i="5" s="1"/>
  <c r="Z29" i="5" s="1"/>
  <c r="U28" i="5"/>
  <c r="V28" i="5" s="1"/>
  <c r="Z28" i="5" s="1"/>
  <c r="U27" i="5"/>
  <c r="V27" i="5" s="1"/>
  <c r="Z27" i="5" s="1"/>
  <c r="U26" i="5"/>
  <c r="V26" i="5" s="1"/>
  <c r="Z26" i="5" s="1"/>
  <c r="U25" i="5"/>
  <c r="U23" i="5"/>
  <c r="V23" i="5" s="1"/>
  <c r="Z23" i="5" s="1"/>
  <c r="U22" i="5"/>
  <c r="V22" i="5" s="1"/>
  <c r="Z22" i="5" s="1"/>
  <c r="U21" i="5"/>
  <c r="V21" i="5" s="1"/>
  <c r="Z21" i="5" s="1"/>
  <c r="U20" i="5"/>
  <c r="V20" i="5" s="1"/>
  <c r="Z20" i="5" s="1"/>
  <c r="U19" i="5"/>
  <c r="V19" i="5" s="1"/>
  <c r="Z19" i="5" s="1"/>
  <c r="U18" i="5"/>
  <c r="V18" i="5" s="1"/>
  <c r="Z18" i="5" s="1"/>
  <c r="U17" i="5"/>
  <c r="U13" i="5"/>
  <c r="V13" i="5" s="1"/>
  <c r="Z13" i="5" s="1"/>
  <c r="U12" i="5"/>
  <c r="V12" i="5" s="1"/>
  <c r="Z12" i="5" s="1"/>
  <c r="U11" i="5"/>
  <c r="V11" i="5" s="1"/>
  <c r="Z11" i="5" s="1"/>
  <c r="U10" i="5"/>
  <c r="U9" i="5"/>
  <c r="U8" i="5"/>
  <c r="U7" i="5"/>
  <c r="U345" i="5"/>
  <c r="V345" i="5" s="1"/>
  <c r="Z345" i="5" s="1"/>
  <c r="N12" i="5"/>
  <c r="O12" i="5" s="1"/>
  <c r="Y12" i="5" s="1"/>
  <c r="N11" i="5"/>
  <c r="O11" i="5" s="1"/>
  <c r="Y11" i="5" s="1"/>
  <c r="N10" i="5"/>
  <c r="N9" i="5"/>
  <c r="N8" i="5"/>
  <c r="N474" i="5"/>
  <c r="O474" i="5" s="1"/>
  <c r="Y474" i="5" s="1"/>
  <c r="N444" i="5"/>
  <c r="O444" i="5" s="1"/>
  <c r="Y444" i="5" s="1"/>
  <c r="N440" i="5"/>
  <c r="O440" i="5" s="1"/>
  <c r="Y440" i="5" s="1"/>
  <c r="N437" i="5"/>
  <c r="O437" i="5" s="1"/>
  <c r="Y437" i="5" s="1"/>
  <c r="N426" i="5"/>
  <c r="O426" i="5" s="1"/>
  <c r="Y426" i="5" s="1"/>
  <c r="N423" i="5"/>
  <c r="O423" i="5" s="1"/>
  <c r="Y423" i="5" s="1"/>
  <c r="N200" i="5"/>
  <c r="N428" i="5"/>
  <c r="O428" i="5" s="1"/>
  <c r="Y428" i="5" s="1"/>
  <c r="N447" i="5"/>
  <c r="O447" i="5" s="1"/>
  <c r="Y447" i="5" s="1"/>
  <c r="N446" i="5"/>
  <c r="O446" i="5" s="1"/>
  <c r="Y446" i="5" s="1"/>
  <c r="N425" i="5"/>
  <c r="O425" i="5" s="1"/>
  <c r="Y425" i="5" s="1"/>
  <c r="N420" i="5"/>
  <c r="O420" i="5" s="1"/>
  <c r="Y420" i="5" s="1"/>
  <c r="N418" i="5"/>
  <c r="O418" i="5" s="1"/>
  <c r="Y418" i="5" s="1"/>
  <c r="N408" i="5"/>
  <c r="O408" i="5" s="1"/>
  <c r="Y408" i="5" s="1"/>
  <c r="N402" i="5"/>
  <c r="O402" i="5" s="1"/>
  <c r="Y402" i="5" s="1"/>
  <c r="N201" i="5"/>
  <c r="N196" i="5"/>
  <c r="O196" i="5" s="1"/>
  <c r="Y196" i="5" s="1"/>
  <c r="N193" i="5"/>
  <c r="O193" i="5" s="1"/>
  <c r="Y193" i="5" s="1"/>
  <c r="N191" i="5"/>
  <c r="O191" i="5" s="1"/>
  <c r="Y191" i="5" s="1"/>
  <c r="N190" i="5"/>
  <c r="O190" i="5" s="1"/>
  <c r="Y190" i="5" s="1"/>
  <c r="N184" i="5"/>
  <c r="N174" i="5"/>
  <c r="O174" i="5" s="1"/>
  <c r="Y174" i="5" s="1"/>
  <c r="N37" i="5"/>
  <c r="O37" i="5" s="1"/>
  <c r="Y37" i="5" s="1"/>
  <c r="N25" i="5"/>
  <c r="N479" i="5"/>
  <c r="O479" i="5" s="1"/>
  <c r="Y479" i="5" s="1"/>
  <c r="N470" i="5"/>
  <c r="O470" i="5" s="1"/>
  <c r="Y470" i="5" s="1"/>
  <c r="N433" i="5"/>
  <c r="O433" i="5" s="1"/>
  <c r="Y433" i="5" s="1"/>
  <c r="N429" i="5"/>
  <c r="O429" i="5" s="1"/>
  <c r="Y429" i="5" s="1"/>
  <c r="N419" i="5"/>
  <c r="O419" i="5" s="1"/>
  <c r="Y419" i="5" s="1"/>
  <c r="N417" i="5"/>
  <c r="O417" i="5" s="1"/>
  <c r="Y417" i="5" s="1"/>
  <c r="N414" i="5"/>
  <c r="O414" i="5" s="1"/>
  <c r="Y414" i="5" s="1"/>
  <c r="N416" i="5"/>
  <c r="N468" i="5"/>
  <c r="O468" i="5" s="1"/>
  <c r="Y468" i="5" s="1"/>
  <c r="N441" i="5"/>
  <c r="O441" i="5" s="1"/>
  <c r="Y441" i="5" s="1"/>
  <c r="N438" i="5"/>
  <c r="O438" i="5" s="1"/>
  <c r="Y438" i="5" s="1"/>
  <c r="N411" i="5"/>
  <c r="O411" i="5" s="1"/>
  <c r="Y411" i="5" s="1"/>
  <c r="N407" i="5"/>
  <c r="O407" i="5" s="1"/>
  <c r="Y407" i="5" s="1"/>
  <c r="N401" i="5"/>
  <c r="O401" i="5" s="1"/>
  <c r="Y401" i="5" s="1"/>
  <c r="N400" i="5"/>
  <c r="N188" i="5"/>
  <c r="O188" i="5" s="1"/>
  <c r="Y188" i="5" s="1"/>
  <c r="N182" i="5"/>
  <c r="N170" i="5"/>
  <c r="N168" i="5"/>
  <c r="N152" i="5"/>
  <c r="O152" i="5" s="1"/>
  <c r="Y152" i="5" s="1"/>
  <c r="N151" i="5"/>
  <c r="O151" i="5" s="1"/>
  <c r="Y151" i="5" s="1"/>
  <c r="N140" i="5"/>
  <c r="O140" i="5" s="1"/>
  <c r="Y140" i="5" s="1"/>
  <c r="N116" i="5"/>
  <c r="N43" i="5"/>
  <c r="O43" i="5" s="1"/>
  <c r="Y43" i="5" s="1"/>
  <c r="N26" i="5"/>
  <c r="O26" i="5" s="1"/>
  <c r="Y26" i="5" s="1"/>
  <c r="N21" i="5"/>
  <c r="O21" i="5" s="1"/>
  <c r="Y21" i="5" s="1"/>
  <c r="N484" i="5"/>
  <c r="O484" i="5" s="1"/>
  <c r="Y484" i="5" s="1"/>
  <c r="N483" i="5"/>
  <c r="O483" i="5" s="1"/>
  <c r="Y483" i="5" s="1"/>
  <c r="N481" i="5"/>
  <c r="O481" i="5" s="1"/>
  <c r="Y481" i="5" s="1"/>
  <c r="N480" i="5"/>
  <c r="O480" i="5" s="1"/>
  <c r="Y480" i="5" s="1"/>
  <c r="N475" i="5"/>
  <c r="O475" i="5" s="1"/>
  <c r="Y475" i="5" s="1"/>
  <c r="N462" i="5"/>
  <c r="N459" i="5"/>
  <c r="O459" i="5" s="1"/>
  <c r="Y459" i="5" s="1"/>
  <c r="N457" i="5"/>
  <c r="O457" i="5" s="1"/>
  <c r="Y457" i="5" s="1"/>
  <c r="N451" i="5"/>
  <c r="O451" i="5" s="1"/>
  <c r="Y451" i="5" s="1"/>
  <c r="N450" i="5"/>
  <c r="O450" i="5" s="1"/>
  <c r="Y450" i="5" s="1"/>
  <c r="N415" i="5"/>
  <c r="O415" i="5" s="1"/>
  <c r="Y415" i="5" s="1"/>
  <c r="N455" i="5"/>
  <c r="O455" i="5" s="1"/>
  <c r="Y455" i="5" s="1"/>
  <c r="N452" i="5"/>
  <c r="N436" i="5"/>
  <c r="O436" i="5" s="1"/>
  <c r="Y436" i="5" s="1"/>
  <c r="N431" i="5"/>
  <c r="O431" i="5" s="1"/>
  <c r="Y431" i="5" s="1"/>
  <c r="N427" i="5"/>
  <c r="O427" i="5" s="1"/>
  <c r="Y427" i="5" s="1"/>
  <c r="N409" i="5"/>
  <c r="O409" i="5" s="1"/>
  <c r="Y409" i="5" s="1"/>
  <c r="N206" i="5"/>
  <c r="O206" i="5" s="1"/>
  <c r="Y206" i="5" s="1"/>
  <c r="N195" i="5"/>
  <c r="O195" i="5" s="1"/>
  <c r="Y195" i="5" s="1"/>
  <c r="N192" i="5"/>
  <c r="O192" i="5" s="1"/>
  <c r="Y192" i="5" s="1"/>
  <c r="N181" i="5"/>
  <c r="N173" i="5"/>
  <c r="N172" i="5"/>
  <c r="O172" i="5" s="1"/>
  <c r="Y172" i="5" s="1"/>
  <c r="N171" i="5"/>
  <c r="O171" i="5" s="1"/>
  <c r="Y171" i="5" s="1"/>
  <c r="N165" i="5"/>
  <c r="N154" i="5"/>
  <c r="N35" i="5"/>
  <c r="O35" i="5" s="1"/>
  <c r="Y35" i="5" s="1"/>
  <c r="N27" i="5"/>
  <c r="O27" i="5" s="1"/>
  <c r="Y27" i="5" s="1"/>
  <c r="N19" i="5"/>
  <c r="O19" i="5" s="1"/>
  <c r="Y19" i="5" s="1"/>
  <c r="N17" i="5"/>
  <c r="N482" i="5"/>
  <c r="O482" i="5" s="1"/>
  <c r="Y482" i="5" s="1"/>
  <c r="N478" i="5"/>
  <c r="O478" i="5" s="1"/>
  <c r="Y478" i="5" s="1"/>
  <c r="N467" i="5"/>
  <c r="O467" i="5" s="1"/>
  <c r="Y467" i="5" s="1"/>
  <c r="N463" i="5"/>
  <c r="O463" i="5" s="1"/>
  <c r="Y463" i="5" s="1"/>
  <c r="N454" i="5"/>
  <c r="O454" i="5" s="1"/>
  <c r="Y454" i="5" s="1"/>
  <c r="N449" i="5"/>
  <c r="O449" i="5" s="1"/>
  <c r="Y449" i="5" s="1"/>
  <c r="N434" i="5"/>
  <c r="O434" i="5" s="1"/>
  <c r="Y434" i="5" s="1"/>
  <c r="N422" i="5"/>
  <c r="O422" i="5" s="1"/>
  <c r="Y422" i="5" s="1"/>
  <c r="N430" i="5"/>
  <c r="O430" i="5" s="1"/>
  <c r="Y430" i="5" s="1"/>
  <c r="N175" i="5"/>
  <c r="O175" i="5" s="1"/>
  <c r="Y175" i="5" s="1"/>
  <c r="N472" i="5"/>
  <c r="O472" i="5" s="1"/>
  <c r="Y472" i="5" s="1"/>
  <c r="N466" i="5"/>
  <c r="O466" i="5" s="1"/>
  <c r="Y466" i="5" s="1"/>
  <c r="N435" i="5"/>
  <c r="N421" i="5"/>
  <c r="O421" i="5" s="1"/>
  <c r="Y421" i="5" s="1"/>
  <c r="N410" i="5"/>
  <c r="O410" i="5" s="1"/>
  <c r="Y410" i="5" s="1"/>
  <c r="N406" i="5"/>
  <c r="O406" i="5" s="1"/>
  <c r="Y406" i="5" s="1"/>
  <c r="N405" i="5"/>
  <c r="O405" i="5" s="1"/>
  <c r="Y405" i="5" s="1"/>
  <c r="N404" i="5"/>
  <c r="O404" i="5" s="1"/>
  <c r="Y404" i="5" s="1"/>
  <c r="N403" i="5"/>
  <c r="O403" i="5" s="1"/>
  <c r="Y403" i="5" s="1"/>
  <c r="N205" i="5"/>
  <c r="O205" i="5" s="1"/>
  <c r="Y205" i="5" s="1"/>
  <c r="N198" i="5"/>
  <c r="O198" i="5" s="1"/>
  <c r="Y198" i="5" s="1"/>
  <c r="N194" i="5"/>
  <c r="O194" i="5" s="1"/>
  <c r="Y194" i="5" s="1"/>
  <c r="N186" i="5"/>
  <c r="O186" i="5" s="1"/>
  <c r="Y186" i="5" s="1"/>
  <c r="N183" i="5"/>
  <c r="N178" i="5"/>
  <c r="O178" i="5" s="1"/>
  <c r="Y178" i="5" s="1"/>
  <c r="N176" i="5"/>
  <c r="O176" i="5" s="1"/>
  <c r="Y176" i="5" s="1"/>
  <c r="N145" i="5"/>
  <c r="O145" i="5" s="1"/>
  <c r="Y145" i="5" s="1"/>
  <c r="N144" i="5"/>
  <c r="N143" i="5"/>
  <c r="N141" i="5"/>
  <c r="O141" i="5" s="1"/>
  <c r="Y141" i="5" s="1"/>
  <c r="N139" i="5"/>
  <c r="O139" i="5" s="1"/>
  <c r="Y139" i="5" s="1"/>
  <c r="N137" i="5"/>
  <c r="O137" i="5" s="1"/>
  <c r="Y137" i="5" s="1"/>
  <c r="N119" i="5"/>
  <c r="O119" i="5" s="1"/>
  <c r="Y119" i="5" s="1"/>
  <c r="N118" i="5"/>
  <c r="O118" i="5" s="1"/>
  <c r="Y118" i="5" s="1"/>
  <c r="N117" i="5"/>
  <c r="O117" i="5" s="1"/>
  <c r="Y117" i="5" s="1"/>
  <c r="N112" i="5"/>
  <c r="O112" i="5" s="1"/>
  <c r="Y112" i="5" s="1"/>
  <c r="N111" i="5"/>
  <c r="O111" i="5" s="1"/>
  <c r="Y111" i="5" s="1"/>
  <c r="N45" i="5"/>
  <c r="O45" i="5" s="1"/>
  <c r="Y45" i="5" s="1"/>
  <c r="N36" i="5"/>
  <c r="O36" i="5" s="1"/>
  <c r="Y36" i="5" s="1"/>
  <c r="N28" i="5"/>
  <c r="O28" i="5" s="1"/>
  <c r="Y28" i="5" s="1"/>
  <c r="N22" i="5"/>
  <c r="O22" i="5" s="1"/>
  <c r="Y22" i="5" s="1"/>
  <c r="N202" i="5"/>
  <c r="N189" i="5"/>
  <c r="N185" i="5"/>
  <c r="O185" i="5" s="1"/>
  <c r="Y185" i="5" s="1"/>
  <c r="N179" i="5"/>
  <c r="O179" i="5" s="1"/>
  <c r="Y179" i="5" s="1"/>
  <c r="N33" i="5"/>
  <c r="O33" i="5" s="1"/>
  <c r="Y33" i="5" s="1"/>
  <c r="N169" i="5"/>
  <c r="N167" i="5"/>
  <c r="N166" i="5"/>
  <c r="N122" i="5"/>
  <c r="O122" i="5" s="1"/>
  <c r="Y122" i="5" s="1"/>
  <c r="N121" i="5"/>
  <c r="O121" i="5" s="1"/>
  <c r="Y121" i="5" s="1"/>
  <c r="N120" i="5"/>
  <c r="O120" i="5" s="1"/>
  <c r="Y120" i="5" s="1"/>
  <c r="N113" i="5"/>
  <c r="O113" i="5" s="1"/>
  <c r="Y113" i="5" s="1"/>
  <c r="N47" i="5"/>
  <c r="N44" i="5"/>
  <c r="O44" i="5" s="1"/>
  <c r="Y44" i="5" s="1"/>
  <c r="N40" i="5"/>
  <c r="O40" i="5" s="1"/>
  <c r="Y40" i="5" s="1"/>
  <c r="N34" i="5"/>
  <c r="O34" i="5" s="1"/>
  <c r="Y34" i="5" s="1"/>
  <c r="N23" i="5"/>
  <c r="O23" i="5" s="1"/>
  <c r="Y23" i="5" s="1"/>
  <c r="N13" i="5"/>
  <c r="O13" i="5" s="1"/>
  <c r="Y13" i="5" s="1"/>
  <c r="N453" i="5"/>
  <c r="O453" i="5" s="1"/>
  <c r="Y453" i="5" s="1"/>
  <c r="N424" i="5"/>
  <c r="O424" i="5" s="1"/>
  <c r="Y424" i="5" s="1"/>
  <c r="N473" i="5"/>
  <c r="O473" i="5" s="1"/>
  <c r="Y473" i="5" s="1"/>
  <c r="N471" i="5"/>
  <c r="O471" i="5" s="1"/>
  <c r="Y471" i="5" s="1"/>
  <c r="N465" i="5"/>
  <c r="O465" i="5" s="1"/>
  <c r="Y465" i="5" s="1"/>
  <c r="N464" i="5"/>
  <c r="N460" i="5"/>
  <c r="O460" i="5" s="1"/>
  <c r="Y460" i="5" s="1"/>
  <c r="N456" i="5"/>
  <c r="O456" i="5" s="1"/>
  <c r="Y456" i="5" s="1"/>
  <c r="N476" i="5"/>
  <c r="N469" i="5"/>
  <c r="O469" i="5" s="1"/>
  <c r="Y469" i="5" s="1"/>
  <c r="N458" i="5"/>
  <c r="O458" i="5" s="1"/>
  <c r="Y458" i="5" s="1"/>
  <c r="N445" i="5"/>
  <c r="O445" i="5" s="1"/>
  <c r="Y445" i="5" s="1"/>
  <c r="N443" i="5"/>
  <c r="O443" i="5" s="1"/>
  <c r="Y443" i="5" s="1"/>
  <c r="N442" i="5"/>
  <c r="O442" i="5" s="1"/>
  <c r="Y442" i="5" s="1"/>
  <c r="N439" i="5"/>
  <c r="O439" i="5" s="1"/>
  <c r="Y439" i="5" s="1"/>
  <c r="N412" i="5"/>
  <c r="O412" i="5" s="1"/>
  <c r="Y412" i="5" s="1"/>
  <c r="N207" i="5"/>
  <c r="O207" i="5" s="1"/>
  <c r="Y207" i="5" s="1"/>
  <c r="N204" i="5"/>
  <c r="O204" i="5" s="1"/>
  <c r="Y204" i="5" s="1"/>
  <c r="N203" i="5"/>
  <c r="O203" i="5" s="1"/>
  <c r="Y203" i="5" s="1"/>
  <c r="N197" i="5"/>
  <c r="O197" i="5" s="1"/>
  <c r="Y197" i="5" s="1"/>
  <c r="N187" i="5"/>
  <c r="O187" i="5" s="1"/>
  <c r="Y187" i="5" s="1"/>
  <c r="N177" i="5"/>
  <c r="O177" i="5" s="1"/>
  <c r="Y177" i="5" s="1"/>
  <c r="N155" i="5"/>
  <c r="N150" i="5"/>
  <c r="O150" i="5" s="1"/>
  <c r="Y150" i="5" s="1"/>
  <c r="N149" i="5"/>
  <c r="O149" i="5" s="1"/>
  <c r="Y149" i="5" s="1"/>
  <c r="N148" i="5"/>
  <c r="N138" i="5"/>
  <c r="O138" i="5" s="1"/>
  <c r="Y138" i="5" s="1"/>
  <c r="N133" i="5"/>
  <c r="O133" i="5" s="1"/>
  <c r="Y133" i="5" s="1"/>
  <c r="N132" i="5"/>
  <c r="O132" i="5" s="1"/>
  <c r="Y132" i="5" s="1"/>
  <c r="N131" i="5"/>
  <c r="O131" i="5" s="1"/>
  <c r="Y131" i="5" s="1"/>
  <c r="N114" i="5"/>
  <c r="O114" i="5" s="1"/>
  <c r="Y114" i="5" s="1"/>
  <c r="N39" i="5"/>
  <c r="O39" i="5" s="1"/>
  <c r="Y39" i="5" s="1"/>
  <c r="N42" i="5"/>
  <c r="O42" i="5" s="1"/>
  <c r="Y42" i="5" s="1"/>
  <c r="N110" i="5"/>
  <c r="O110" i="5" s="1"/>
  <c r="Y110" i="5" s="1"/>
  <c r="N107" i="5"/>
  <c r="O107" i="5" s="1"/>
  <c r="Y107" i="5" s="1"/>
  <c r="N106" i="5"/>
  <c r="O106" i="5" s="1"/>
  <c r="Y106" i="5" s="1"/>
  <c r="N105" i="5"/>
  <c r="O105" i="5" s="1"/>
  <c r="Y105" i="5" s="1"/>
  <c r="N104" i="5"/>
  <c r="O104" i="5" s="1"/>
  <c r="Y104" i="5" s="1"/>
  <c r="N101" i="5"/>
  <c r="O101" i="5" s="1"/>
  <c r="Y101" i="5" s="1"/>
  <c r="N98" i="5"/>
  <c r="O98" i="5" s="1"/>
  <c r="N94" i="5"/>
  <c r="O94" i="5" s="1"/>
  <c r="Y94" i="5" s="1"/>
  <c r="N93" i="5"/>
  <c r="O93" i="5" s="1"/>
  <c r="Y93" i="5" s="1"/>
  <c r="N92" i="5"/>
  <c r="N88" i="5"/>
  <c r="O88" i="5" s="1"/>
  <c r="Y88" i="5" s="1"/>
  <c r="N87" i="5"/>
  <c r="O87" i="5" s="1"/>
  <c r="Y87" i="5" s="1"/>
  <c r="N86" i="5"/>
  <c r="O86" i="5" s="1"/>
  <c r="Y86" i="5" s="1"/>
  <c r="N83" i="5"/>
  <c r="O83" i="5" s="1"/>
  <c r="Y83" i="5" s="1"/>
  <c r="N82" i="5"/>
  <c r="O82" i="5" s="1"/>
  <c r="Y82" i="5" s="1"/>
  <c r="N80" i="5"/>
  <c r="O80" i="5" s="1"/>
  <c r="Y80" i="5" s="1"/>
  <c r="N78" i="5"/>
  <c r="O78" i="5" s="1"/>
  <c r="Y78" i="5" s="1"/>
  <c r="N77" i="5"/>
  <c r="O77" i="5" s="1"/>
  <c r="Y77" i="5" s="1"/>
  <c r="N76" i="5"/>
  <c r="O76" i="5" s="1"/>
  <c r="Y76" i="5" s="1"/>
  <c r="N75" i="5"/>
  <c r="O75" i="5" s="1"/>
  <c r="Y75" i="5" s="1"/>
  <c r="N74" i="5"/>
  <c r="O74" i="5" s="1"/>
  <c r="Y74" i="5" s="1"/>
  <c r="N73" i="5"/>
  <c r="N71" i="5"/>
  <c r="O71" i="5" s="1"/>
  <c r="Y71" i="5" s="1"/>
  <c r="N70" i="5"/>
  <c r="O70" i="5" s="1"/>
  <c r="Y70" i="5" s="1"/>
  <c r="N66" i="5"/>
  <c r="O66" i="5" s="1"/>
  <c r="Y66" i="5" s="1"/>
  <c r="N65" i="5"/>
  <c r="O65" i="5" s="1"/>
  <c r="Y65" i="5" s="1"/>
  <c r="N64" i="5"/>
  <c r="O64" i="5" s="1"/>
  <c r="Y64" i="5" s="1"/>
  <c r="N63" i="5"/>
  <c r="O63" i="5" s="1"/>
  <c r="Y63" i="5" s="1"/>
  <c r="N62" i="5"/>
  <c r="O62" i="5" s="1"/>
  <c r="Y62" i="5" s="1"/>
  <c r="N61" i="5"/>
  <c r="O61" i="5" s="1"/>
  <c r="Y61" i="5" s="1"/>
  <c r="N60" i="5"/>
  <c r="O60" i="5" s="1"/>
  <c r="Y60" i="5" s="1"/>
  <c r="N59" i="5"/>
  <c r="O59" i="5" s="1"/>
  <c r="Y59" i="5" s="1"/>
  <c r="N58" i="5"/>
  <c r="O58" i="5" s="1"/>
  <c r="Y58" i="5" s="1"/>
  <c r="N54" i="5"/>
  <c r="O54" i="5" s="1"/>
  <c r="Y54" i="5" s="1"/>
  <c r="N50" i="5"/>
  <c r="O50" i="5" s="1"/>
  <c r="Y50" i="5" s="1"/>
  <c r="N49" i="5"/>
  <c r="O49" i="5" s="1"/>
  <c r="Y49" i="5" s="1"/>
  <c r="N48" i="5"/>
  <c r="O48" i="5" s="1"/>
  <c r="Y48" i="5" s="1"/>
  <c r="N41" i="5"/>
  <c r="O41" i="5" s="1"/>
  <c r="Y41" i="5" s="1"/>
  <c r="N38" i="5"/>
  <c r="O38" i="5" s="1"/>
  <c r="Y38" i="5" s="1"/>
  <c r="N29" i="5"/>
  <c r="O29" i="5" s="1"/>
  <c r="Y29" i="5" s="1"/>
  <c r="N20" i="5"/>
  <c r="O20" i="5" s="1"/>
  <c r="Y20" i="5" s="1"/>
  <c r="N18" i="5"/>
  <c r="O18" i="5" s="1"/>
  <c r="Y18" i="5" s="1"/>
  <c r="N215" i="5"/>
  <c r="O215" i="5" s="1"/>
  <c r="Y215" i="5" s="1"/>
  <c r="N218" i="5"/>
  <c r="N208" i="5"/>
  <c r="O208" i="5" s="1"/>
  <c r="Y208" i="5" s="1"/>
  <c r="N211" i="5"/>
  <c r="O211" i="5" s="1"/>
  <c r="Y211" i="5" s="1"/>
  <c r="N212" i="5"/>
  <c r="N209" i="5"/>
  <c r="O209" i="5" s="1"/>
  <c r="Y209" i="5" s="1"/>
  <c r="N217" i="5"/>
  <c r="N219" i="5"/>
  <c r="N210" i="5"/>
  <c r="O210" i="5" s="1"/>
  <c r="Y210" i="5" s="1"/>
  <c r="N220" i="5"/>
  <c r="O220" i="5" s="1"/>
  <c r="Y220" i="5" s="1"/>
  <c r="N214" i="5"/>
  <c r="O214" i="5" s="1"/>
  <c r="Y214" i="5" s="1"/>
  <c r="N213" i="5"/>
  <c r="O213" i="5" s="1"/>
  <c r="Y213" i="5" s="1"/>
  <c r="N399" i="5"/>
  <c r="N377" i="5"/>
  <c r="O377" i="5" s="1"/>
  <c r="Y377" i="5" s="1"/>
  <c r="N371" i="5"/>
  <c r="O371" i="5" s="1"/>
  <c r="Y371" i="5" s="1"/>
  <c r="N350" i="5"/>
  <c r="N345" i="5"/>
  <c r="O345" i="5" s="1"/>
  <c r="Y345" i="5" s="1"/>
  <c r="N342" i="5"/>
  <c r="O342" i="5" s="1"/>
  <c r="Y342" i="5" s="1"/>
  <c r="N323" i="5"/>
  <c r="O323" i="5" s="1"/>
  <c r="Y323" i="5" s="1"/>
  <c r="N386" i="5"/>
  <c r="O386" i="5" s="1"/>
  <c r="Y386" i="5" s="1"/>
  <c r="N381" i="5"/>
  <c r="O381" i="5" s="1"/>
  <c r="Y381" i="5" s="1"/>
  <c r="N364" i="5"/>
  <c r="O364" i="5" s="1"/>
  <c r="Y364" i="5" s="1"/>
  <c r="N358" i="5"/>
  <c r="O358" i="5" s="1"/>
  <c r="Y358" i="5" s="1"/>
  <c r="N355" i="5"/>
  <c r="O355" i="5" s="1"/>
  <c r="Y355" i="5" s="1"/>
  <c r="N352" i="5"/>
  <c r="O352" i="5" s="1"/>
  <c r="Y352" i="5" s="1"/>
  <c r="N336" i="5"/>
  <c r="O336" i="5" s="1"/>
  <c r="Y336" i="5" s="1"/>
  <c r="N334" i="5"/>
  <c r="N327" i="5"/>
  <c r="O327" i="5" s="1"/>
  <c r="Y327" i="5" s="1"/>
  <c r="N318" i="5"/>
  <c r="O318" i="5" s="1"/>
  <c r="Y318" i="5" s="1"/>
  <c r="N315" i="5"/>
  <c r="O315" i="5" s="1"/>
  <c r="Y315" i="5" s="1"/>
  <c r="N387" i="5"/>
  <c r="O387" i="5" s="1"/>
  <c r="Y387" i="5" s="1"/>
  <c r="N384" i="5"/>
  <c r="O384" i="5" s="1"/>
  <c r="Y384" i="5" s="1"/>
  <c r="N383" i="5"/>
  <c r="O383" i="5" s="1"/>
  <c r="Y383" i="5" s="1"/>
  <c r="N382" i="5"/>
  <c r="O382" i="5" s="1"/>
  <c r="Y382" i="5" s="1"/>
  <c r="N376" i="5"/>
  <c r="N369" i="5"/>
  <c r="O369" i="5" s="1"/>
  <c r="Y369" i="5" s="1"/>
  <c r="N361" i="5"/>
  <c r="O361" i="5" s="1"/>
  <c r="Y361" i="5" s="1"/>
  <c r="N339" i="5"/>
  <c r="O339" i="5" s="1"/>
  <c r="Y339" i="5" s="1"/>
  <c r="N330" i="5"/>
  <c r="O330" i="5" s="1"/>
  <c r="Y330" i="5" s="1"/>
  <c r="N299" i="5"/>
  <c r="N385" i="5"/>
  <c r="O385" i="5" s="1"/>
  <c r="Y385" i="5" s="1"/>
  <c r="N365" i="5"/>
  <c r="O365" i="5" s="1"/>
  <c r="Y365" i="5" s="1"/>
  <c r="N351" i="5"/>
  <c r="O351" i="5" s="1"/>
  <c r="Y351" i="5" s="1"/>
  <c r="N335" i="5"/>
  <c r="O335" i="5" s="1"/>
  <c r="Y335" i="5" s="1"/>
  <c r="N324" i="5"/>
  <c r="O324" i="5" s="1"/>
  <c r="Y324" i="5" s="1"/>
  <c r="N320" i="5"/>
  <c r="O320" i="5" s="1"/>
  <c r="Y320" i="5" s="1"/>
  <c r="N316" i="5"/>
  <c r="O316" i="5" s="1"/>
  <c r="Y316" i="5" s="1"/>
  <c r="N282" i="5"/>
  <c r="O282" i="5" s="1"/>
  <c r="Y282" i="5" s="1"/>
  <c r="N280" i="5"/>
  <c r="O280" i="5" s="1"/>
  <c r="Y280" i="5" s="1"/>
  <c r="N262" i="5"/>
  <c r="N247" i="5"/>
  <c r="N267" i="5"/>
  <c r="O267" i="5" s="1"/>
  <c r="Y267" i="5" s="1"/>
  <c r="N341" i="5"/>
  <c r="O341" i="5" s="1"/>
  <c r="Y341" i="5" s="1"/>
  <c r="N397" i="5"/>
  <c r="N390" i="5"/>
  <c r="N389" i="5"/>
  <c r="N380" i="5"/>
  <c r="O380" i="5" s="1"/>
  <c r="Y380" i="5" s="1"/>
  <c r="N379" i="5"/>
  <c r="O379" i="5" s="1"/>
  <c r="Y379" i="5" s="1"/>
  <c r="N378" i="5"/>
  <c r="N374" i="5"/>
  <c r="O374" i="5" s="1"/>
  <c r="Y374" i="5" s="1"/>
  <c r="N373" i="5"/>
  <c r="O373" i="5" s="1"/>
  <c r="Y373" i="5" s="1"/>
  <c r="N372" i="5"/>
  <c r="O372" i="5" s="1"/>
  <c r="Y372" i="5" s="1"/>
  <c r="N370" i="5"/>
  <c r="O370" i="5" s="1"/>
  <c r="Y370" i="5" s="1"/>
  <c r="N368" i="5"/>
  <c r="O368" i="5" s="1"/>
  <c r="Y368" i="5" s="1"/>
  <c r="N367" i="5"/>
  <c r="O367" i="5" s="1"/>
  <c r="Y367" i="5" s="1"/>
  <c r="N366" i="5"/>
  <c r="N362" i="5"/>
  <c r="O362" i="5" s="1"/>
  <c r="Y362" i="5" s="1"/>
  <c r="N360" i="5"/>
  <c r="O360" i="5" s="1"/>
  <c r="Y360" i="5" s="1"/>
  <c r="N359" i="5"/>
  <c r="O359" i="5" s="1"/>
  <c r="Y359" i="5" s="1"/>
  <c r="N357" i="5"/>
  <c r="O357" i="5" s="1"/>
  <c r="Y357" i="5" s="1"/>
  <c r="N356" i="5"/>
  <c r="O356" i="5" s="1"/>
  <c r="Y356" i="5" s="1"/>
  <c r="N354" i="5"/>
  <c r="O354" i="5" s="1"/>
  <c r="Y354" i="5" s="1"/>
  <c r="N353" i="5"/>
  <c r="N348" i="5"/>
  <c r="O348" i="5" s="1"/>
  <c r="Y348" i="5" s="1"/>
  <c r="N347" i="5"/>
  <c r="O347" i="5" s="1"/>
  <c r="Y347" i="5" s="1"/>
  <c r="N346" i="5"/>
  <c r="O346" i="5" s="1"/>
  <c r="Y346" i="5" s="1"/>
  <c r="N344" i="5"/>
  <c r="O344" i="5" s="1"/>
  <c r="Y344" i="5" s="1"/>
  <c r="N343" i="5"/>
  <c r="O343" i="5" s="1"/>
  <c r="Y343" i="5" s="1"/>
  <c r="N340" i="5"/>
  <c r="O340" i="5" s="1"/>
  <c r="Y340" i="5" s="1"/>
  <c r="N338" i="5"/>
  <c r="O338" i="5" s="1"/>
  <c r="Y338" i="5" s="1"/>
  <c r="N337" i="5"/>
  <c r="N332" i="5"/>
  <c r="O332" i="5" s="1"/>
  <c r="Y332" i="5" s="1"/>
  <c r="N331" i="5"/>
  <c r="O331" i="5" s="1"/>
  <c r="Y331" i="5" s="1"/>
  <c r="N329" i="5"/>
  <c r="O329" i="5" s="1"/>
  <c r="Y329" i="5" s="1"/>
  <c r="N328" i="5"/>
  <c r="O328" i="5" s="1"/>
  <c r="Y328" i="5" s="1"/>
  <c r="N326" i="5"/>
  <c r="O326" i="5" s="1"/>
  <c r="Y326" i="5" s="1"/>
  <c r="N325" i="5"/>
  <c r="O325" i="5" s="1"/>
  <c r="Y325" i="5" s="1"/>
  <c r="N322" i="5"/>
  <c r="O322" i="5" s="1"/>
  <c r="Y322" i="5" s="1"/>
  <c r="N321" i="5"/>
  <c r="O321" i="5" s="1"/>
  <c r="Y321" i="5" s="1"/>
  <c r="N319" i="5"/>
  <c r="O319" i="5" s="1"/>
  <c r="Y319" i="5" s="1"/>
  <c r="N317" i="5"/>
  <c r="N313" i="5"/>
  <c r="O313" i="5" s="1"/>
  <c r="Y313" i="5" s="1"/>
  <c r="N312" i="5"/>
  <c r="O312" i="5" s="1"/>
  <c r="Y312" i="5" s="1"/>
  <c r="N311" i="5"/>
  <c r="O311" i="5" s="1"/>
  <c r="Y311" i="5" s="1"/>
  <c r="N310" i="5"/>
  <c r="O310" i="5" s="1"/>
  <c r="Y310" i="5" s="1"/>
  <c r="N309" i="5"/>
  <c r="O309" i="5" s="1"/>
  <c r="Y309" i="5" s="1"/>
  <c r="N308" i="5"/>
  <c r="O308" i="5" s="1"/>
  <c r="Y308" i="5" s="1"/>
  <c r="N307" i="5"/>
  <c r="O307" i="5" s="1"/>
  <c r="Y307" i="5" s="1"/>
  <c r="N306" i="5"/>
  <c r="O306" i="5" s="1"/>
  <c r="Y306" i="5" s="1"/>
  <c r="N305" i="5"/>
  <c r="O305" i="5" s="1"/>
  <c r="Y305" i="5" s="1"/>
  <c r="N304" i="5"/>
  <c r="O304" i="5" s="1"/>
  <c r="Y304" i="5" s="1"/>
  <c r="N303" i="5"/>
  <c r="O303" i="5" s="1"/>
  <c r="Y303" i="5" s="1"/>
  <c r="N302" i="5"/>
  <c r="O302" i="5" s="1"/>
  <c r="Y302" i="5" s="1"/>
  <c r="N301" i="5"/>
  <c r="O301" i="5" s="1"/>
  <c r="Y301" i="5" s="1"/>
  <c r="N300" i="5"/>
  <c r="N297" i="5"/>
  <c r="N288" i="5"/>
  <c r="N287" i="5"/>
  <c r="N285" i="5"/>
  <c r="O285" i="5" s="1"/>
  <c r="Y285" i="5" s="1"/>
  <c r="N284" i="5"/>
  <c r="O284" i="5" s="1"/>
  <c r="Y284" i="5" s="1"/>
  <c r="N283" i="5"/>
  <c r="O283" i="5" s="1"/>
  <c r="Y283" i="5" s="1"/>
  <c r="N281" i="5"/>
  <c r="O281" i="5" s="1"/>
  <c r="Y281" i="5" s="1"/>
  <c r="N279" i="5"/>
  <c r="N277" i="5"/>
  <c r="O277" i="5" s="1"/>
  <c r="Y277" i="5" s="1"/>
  <c r="N276" i="5"/>
  <c r="O276" i="5" s="1"/>
  <c r="Y276" i="5" s="1"/>
  <c r="N275" i="5"/>
  <c r="O275" i="5" s="1"/>
  <c r="Y275" i="5" s="1"/>
  <c r="N274" i="5"/>
  <c r="O274" i="5" s="1"/>
  <c r="Y274" i="5" s="1"/>
  <c r="N273" i="5"/>
  <c r="O273" i="5" s="1"/>
  <c r="Y273" i="5" s="1"/>
  <c r="N272" i="5"/>
  <c r="O272" i="5" s="1"/>
  <c r="Y272" i="5" s="1"/>
  <c r="N271" i="5"/>
  <c r="O271" i="5" s="1"/>
  <c r="Y271" i="5" s="1"/>
  <c r="N270" i="5"/>
  <c r="O270" i="5" s="1"/>
  <c r="Y270" i="5" s="1"/>
  <c r="N269" i="5"/>
  <c r="O269" i="5" s="1"/>
  <c r="Y269" i="5" s="1"/>
  <c r="N268" i="5"/>
  <c r="O268" i="5" s="1"/>
  <c r="Y268" i="5" s="1"/>
  <c r="N266" i="5"/>
  <c r="O266" i="5" s="1"/>
  <c r="Y266" i="5" s="1"/>
  <c r="N265" i="5"/>
  <c r="O265" i="5" s="1"/>
  <c r="Y265" i="5" s="1"/>
  <c r="N264" i="5"/>
  <c r="O264" i="5" s="1"/>
  <c r="Y264" i="5" s="1"/>
  <c r="N263" i="5"/>
  <c r="N260" i="5"/>
  <c r="O260" i="5" s="1"/>
  <c r="Y260" i="5" s="1"/>
  <c r="N259" i="5"/>
  <c r="O259" i="5" s="1"/>
  <c r="Y259" i="5" s="1"/>
  <c r="N258" i="5"/>
  <c r="O258" i="5" s="1"/>
  <c r="Y258" i="5" s="1"/>
  <c r="N257" i="5"/>
  <c r="O257" i="5" s="1"/>
  <c r="Y257" i="5" s="1"/>
  <c r="N256" i="5"/>
  <c r="O256" i="5" s="1"/>
  <c r="Y256" i="5" s="1"/>
  <c r="N255" i="5"/>
  <c r="O255" i="5" s="1"/>
  <c r="Y255" i="5" s="1"/>
  <c r="N254" i="5"/>
  <c r="O254" i="5" s="1"/>
  <c r="Y254" i="5" s="1"/>
  <c r="N253" i="5"/>
  <c r="O253" i="5" s="1"/>
  <c r="Y253" i="5" s="1"/>
  <c r="N252" i="5"/>
  <c r="O252" i="5" s="1"/>
  <c r="Y252" i="5" s="1"/>
  <c r="N251" i="5"/>
  <c r="O251" i="5" s="1"/>
  <c r="Y251" i="5" s="1"/>
  <c r="N250" i="5"/>
  <c r="O250" i="5" s="1"/>
  <c r="Y250" i="5" s="1"/>
  <c r="N249" i="5"/>
  <c r="O249" i="5" s="1"/>
  <c r="Y249" i="5" s="1"/>
  <c r="N248" i="5"/>
  <c r="N245" i="5"/>
  <c r="O245" i="5" s="1"/>
  <c r="Y245" i="5" s="1"/>
  <c r="N244" i="5"/>
  <c r="O244" i="5" s="1"/>
  <c r="Y244" i="5" s="1"/>
  <c r="N243" i="5"/>
  <c r="O243" i="5" s="1"/>
  <c r="Y243" i="5" s="1"/>
  <c r="N242" i="5"/>
  <c r="O242" i="5" s="1"/>
  <c r="Y242" i="5" s="1"/>
  <c r="N241" i="5"/>
  <c r="O241" i="5" s="1"/>
  <c r="Y241" i="5" s="1"/>
  <c r="N240" i="5"/>
  <c r="O240" i="5" s="1"/>
  <c r="Y240" i="5" s="1"/>
  <c r="N239" i="5"/>
  <c r="O239" i="5" s="1"/>
  <c r="Y239" i="5" s="1"/>
  <c r="N238" i="5"/>
  <c r="O238" i="5" s="1"/>
  <c r="Y238" i="5" s="1"/>
  <c r="N237" i="5"/>
  <c r="O237" i="5" s="1"/>
  <c r="Y237" i="5" s="1"/>
  <c r="N236" i="5"/>
  <c r="O236" i="5" s="1"/>
  <c r="Y236" i="5" s="1"/>
  <c r="N235" i="5"/>
  <c r="O235" i="5" s="1"/>
  <c r="Y235" i="5" s="1"/>
  <c r="N234" i="5"/>
  <c r="O234" i="5" s="1"/>
  <c r="Y234" i="5" s="1"/>
  <c r="N233" i="5"/>
  <c r="O233" i="5" s="1"/>
  <c r="Y233" i="5" s="1"/>
  <c r="N232" i="5"/>
  <c r="N231" i="5"/>
  <c r="N229" i="5"/>
  <c r="O229" i="5" s="1"/>
  <c r="Y229" i="5" s="1"/>
  <c r="N228" i="5"/>
  <c r="N227" i="5"/>
  <c r="O227" i="5" s="1"/>
  <c r="Y227" i="5" s="1"/>
  <c r="N226" i="5"/>
  <c r="O226" i="5" s="1"/>
  <c r="Y226" i="5" s="1"/>
  <c r="N225" i="5"/>
  <c r="N224" i="5"/>
  <c r="O224" i="5" s="1"/>
  <c r="Y224" i="5" s="1"/>
  <c r="N223" i="5"/>
  <c r="O223" i="5" s="1"/>
  <c r="Y223" i="5" s="1"/>
  <c r="N222" i="5"/>
  <c r="O222" i="5" s="1"/>
  <c r="Y222" i="5" s="1"/>
  <c r="N221" i="5"/>
  <c r="O221" i="5" s="1"/>
  <c r="Y221" i="5" s="1"/>
  <c r="N7" i="5"/>
  <c r="J64" i="3"/>
  <c r="I487" i="3" s="1"/>
  <c r="J121" i="3"/>
  <c r="I493" i="3" s="1"/>
  <c r="J229" i="3"/>
  <c r="I506" i="3" s="1"/>
  <c r="J311" i="3"/>
  <c r="I515" i="3" s="1"/>
  <c r="N165" i="3"/>
  <c r="M498" i="3" s="1"/>
  <c r="N204" i="3"/>
  <c r="M502" i="3" s="1"/>
  <c r="N212" i="3"/>
  <c r="M504" i="3" s="1"/>
  <c r="N229" i="3"/>
  <c r="M506" i="3" s="1"/>
  <c r="N255" i="3"/>
  <c r="M509" i="3" s="1"/>
  <c r="N265" i="3"/>
  <c r="M510" i="3" s="1"/>
  <c r="N275" i="3"/>
  <c r="M511" i="3" s="1"/>
  <c r="N326" i="3"/>
  <c r="M517" i="3" s="1"/>
  <c r="N334" i="3"/>
  <c r="M518" i="3" s="1"/>
  <c r="N345" i="3"/>
  <c r="M519" i="3" s="1"/>
  <c r="N362" i="3"/>
  <c r="M521" i="3" s="1"/>
  <c r="N371" i="3"/>
  <c r="M522" i="3" s="1"/>
  <c r="N385" i="3"/>
  <c r="M523" i="3" s="1"/>
  <c r="N445" i="3"/>
  <c r="M529" i="3" s="1"/>
  <c r="N452" i="3"/>
  <c r="M530" i="3" s="1"/>
  <c r="I483" i="3"/>
  <c r="J26" i="3"/>
  <c r="I484" i="3" s="1"/>
  <c r="J50" i="3"/>
  <c r="I486" i="3" s="1"/>
  <c r="J72" i="3"/>
  <c r="I488" i="3" s="1"/>
  <c r="J82" i="3"/>
  <c r="I489" i="3" s="1"/>
  <c r="J148" i="3"/>
  <c r="I496" i="3" s="1"/>
  <c r="J246" i="3"/>
  <c r="I508" i="3" s="1"/>
  <c r="J265" i="3"/>
  <c r="I510" i="3" s="1"/>
  <c r="J320" i="3"/>
  <c r="I516" i="3" s="1"/>
  <c r="J326" i="3"/>
  <c r="I517" i="3" s="1"/>
  <c r="J334" i="3"/>
  <c r="I518" i="3" s="1"/>
  <c r="J385" i="3"/>
  <c r="I523" i="3" s="1"/>
  <c r="J294" i="3"/>
  <c r="I513" i="3" s="1"/>
  <c r="J371" i="3"/>
  <c r="I522" i="3" s="1"/>
  <c r="J398" i="3"/>
  <c r="I525" i="3" s="1"/>
  <c r="J413" i="3"/>
  <c r="I526" i="3" s="1"/>
  <c r="J423" i="3"/>
  <c r="I527" i="3" s="1"/>
  <c r="J431" i="3"/>
  <c r="I528" i="3" s="1"/>
  <c r="J445" i="3"/>
  <c r="I529" i="3" s="1"/>
  <c r="J452" i="3"/>
  <c r="I530" i="3" s="1"/>
  <c r="J460" i="3"/>
  <c r="I531" i="3" s="1"/>
  <c r="J468" i="3"/>
  <c r="I532" i="3" s="1"/>
  <c r="J474" i="3"/>
  <c r="I533" i="3" s="1"/>
  <c r="J275" i="3"/>
  <c r="I511" i="3" s="1"/>
  <c r="N481" i="3"/>
  <c r="M534" i="3" s="1"/>
  <c r="J481" i="3"/>
  <c r="I534" i="3" s="1"/>
  <c r="N354" i="3"/>
  <c r="N413" i="3"/>
  <c r="M526" i="3" s="1"/>
  <c r="J140" i="3"/>
  <c r="I495" i="3" s="1"/>
  <c r="J195" i="3"/>
  <c r="I501" i="3" s="1"/>
  <c r="J255" i="3"/>
  <c r="I509" i="3" s="1"/>
  <c r="J345" i="3"/>
  <c r="I519" i="3" s="1"/>
  <c r="N15" i="3"/>
  <c r="M483" i="3" s="1"/>
  <c r="N26" i="3"/>
  <c r="M484" i="3" s="1"/>
  <c r="N38" i="3"/>
  <c r="M485" i="3" s="1"/>
  <c r="N93" i="3"/>
  <c r="M490" i="3" s="1"/>
  <c r="N131" i="3"/>
  <c r="M494" i="3" s="1"/>
  <c r="N239" i="3"/>
  <c r="M507" i="3" s="1"/>
  <c r="J105" i="3"/>
  <c r="I491" i="3" s="1"/>
  <c r="J174" i="3"/>
  <c r="I499" i="3" s="1"/>
  <c r="J204" i="3"/>
  <c r="I502" i="3" s="1"/>
  <c r="J239" i="3"/>
  <c r="I507" i="3" s="1"/>
  <c r="N140" i="3"/>
  <c r="M495" i="3" s="1"/>
  <c r="N460" i="3"/>
  <c r="M531" i="3" s="1"/>
  <c r="J362" i="3"/>
  <c r="I521" i="3" s="1"/>
  <c r="N113" i="3"/>
  <c r="M492" i="3" s="1"/>
  <c r="N221" i="3"/>
  <c r="M505" i="3" s="1"/>
  <c r="J186" i="3"/>
  <c r="I500" i="3" s="1"/>
  <c r="N174" i="3"/>
  <c r="M499" i="3" s="1"/>
  <c r="N186" i="3"/>
  <c r="M500" i="3" s="1"/>
  <c r="N148" i="3"/>
  <c r="M496" i="3" s="1"/>
  <c r="J286" i="3"/>
  <c r="I512" i="3" s="1"/>
  <c r="N158" i="3"/>
  <c r="M497" i="3" s="1"/>
  <c r="N105" i="3"/>
  <c r="M491" i="3" s="1"/>
  <c r="J93" i="3"/>
  <c r="I490" i="3" s="1"/>
  <c r="N311" i="3"/>
  <c r="M515" i="3" s="1"/>
  <c r="J354" i="3"/>
  <c r="I520" i="3" s="1"/>
  <c r="N64" i="3"/>
  <c r="M487" i="3" s="1"/>
  <c r="J221" i="3"/>
  <c r="I505" i="3" s="1"/>
  <c r="J38" i="3"/>
  <c r="I485" i="3" s="1"/>
  <c r="J158" i="3"/>
  <c r="I497" i="3" s="1"/>
  <c r="N474" i="3"/>
  <c r="M533" i="3" s="1"/>
  <c r="N286" i="3"/>
  <c r="M512" i="3" s="1"/>
  <c r="N82" i="3"/>
  <c r="M489" i="3" s="1"/>
  <c r="J131" i="3"/>
  <c r="I494" i="3" s="1"/>
  <c r="J212" i="3"/>
  <c r="I504" i="3" s="1"/>
  <c r="J524" i="3" s="1"/>
  <c r="J303" i="3"/>
  <c r="I514" i="3" s="1"/>
  <c r="N423" i="3"/>
  <c r="M527" i="3" s="1"/>
  <c r="N50" i="3"/>
  <c r="M486" i="3" s="1"/>
  <c r="G564" i="3"/>
  <c r="G565" i="3" s="1"/>
  <c r="G550" i="3"/>
  <c r="G549" i="3"/>
  <c r="G551" i="3" s="1"/>
  <c r="R22" i="6"/>
  <c r="Q22" i="6"/>
  <c r="N189" i="6"/>
  <c r="R189" i="6" s="1"/>
  <c r="R33" i="6"/>
  <c r="K189" i="6"/>
  <c r="Q189" i="6" s="1"/>
  <c r="Q33" i="6"/>
  <c r="K198" i="6"/>
  <c r="Q198" i="6" s="1"/>
  <c r="Q29" i="6"/>
  <c r="R29" i="6"/>
  <c r="N198" i="6"/>
  <c r="R198" i="6" s="1"/>
  <c r="R18" i="6"/>
  <c r="N195" i="6"/>
  <c r="R195" i="6" s="1"/>
  <c r="K195" i="6"/>
  <c r="Q195" i="6" s="1"/>
  <c r="Q18" i="6"/>
  <c r="R15" i="6"/>
  <c r="N188" i="6"/>
  <c r="R188" i="6" s="1"/>
  <c r="K188" i="6"/>
  <c r="Q188" i="6" s="1"/>
  <c r="Q15" i="6"/>
  <c r="N79" i="6"/>
  <c r="R79" i="6" s="1"/>
  <c r="R12" i="6"/>
  <c r="Q12" i="6"/>
  <c r="K79" i="6"/>
  <c r="Q79" i="6" s="1"/>
  <c r="R11" i="6"/>
  <c r="N89" i="6"/>
  <c r="R89" i="6" s="1"/>
  <c r="Q11" i="6"/>
  <c r="K89" i="6"/>
  <c r="Q89" i="6" s="1"/>
  <c r="N31" i="4"/>
  <c r="S13" i="4"/>
  <c r="S31" i="4" s="1"/>
  <c r="S84" i="4" s="1"/>
  <c r="K31" i="4"/>
  <c r="R13" i="4"/>
  <c r="R273" i="7"/>
  <c r="Q273" i="7"/>
  <c r="R173" i="7"/>
  <c r="Q173" i="7"/>
  <c r="Q39" i="7"/>
  <c r="R39" i="7"/>
  <c r="Q71" i="7"/>
  <c r="K85" i="7"/>
  <c r="K90" i="7" s="1"/>
  <c r="R317" i="7"/>
  <c r="N520" i="7"/>
  <c r="Q317" i="7"/>
  <c r="K520" i="7"/>
  <c r="M364" i="7"/>
  <c r="M370" i="7" s="1"/>
  <c r="J364" i="7"/>
  <c r="J370" i="7" s="1"/>
  <c r="M357" i="7"/>
  <c r="M369" i="7" s="1"/>
  <c r="J357" i="7"/>
  <c r="J369" i="7" s="1"/>
  <c r="M346" i="7"/>
  <c r="M368" i="7" s="1"/>
  <c r="Q346" i="7"/>
  <c r="Q368" i="7" s="1"/>
  <c r="J346" i="7"/>
  <c r="J368" i="7" s="1"/>
  <c r="M341" i="7"/>
  <c r="M367" i="7" s="1"/>
  <c r="J341" i="7"/>
  <c r="J367" i="7" s="1"/>
  <c r="M307" i="7"/>
  <c r="M366" i="7" s="1"/>
  <c r="M371" i="7" s="1"/>
  <c r="J307" i="7"/>
  <c r="J366" i="7" s="1"/>
  <c r="J371" i="7" s="1"/>
  <c r="M282" i="7"/>
  <c r="M288" i="7" s="1"/>
  <c r="J282" i="7"/>
  <c r="J288" i="7" s="1"/>
  <c r="J267" i="7"/>
  <c r="J287" i="7" s="1"/>
  <c r="M267" i="7"/>
  <c r="M287" i="7" s="1"/>
  <c r="J257" i="7"/>
  <c r="J286" i="7" s="1"/>
  <c r="M257" i="7"/>
  <c r="M286" i="7" s="1"/>
  <c r="M213" i="7"/>
  <c r="M285" i="7" s="1"/>
  <c r="J213" i="7"/>
  <c r="J285" i="7" s="1"/>
  <c r="M205" i="7"/>
  <c r="M284" i="7" s="1"/>
  <c r="J205" i="7"/>
  <c r="J284" i="7" s="1"/>
  <c r="M184" i="7"/>
  <c r="M190" i="7" s="1"/>
  <c r="J184" i="7"/>
  <c r="J190" i="7" s="1"/>
  <c r="J169" i="7"/>
  <c r="J189" i="7" s="1"/>
  <c r="M169" i="7"/>
  <c r="M189" i="7" s="1"/>
  <c r="J158" i="7"/>
  <c r="J188" i="7" s="1"/>
  <c r="M158" i="7"/>
  <c r="M188" i="7" s="1"/>
  <c r="M113" i="7"/>
  <c r="M187" i="7" s="1"/>
  <c r="J113" i="7"/>
  <c r="J187" i="7" s="1"/>
  <c r="J105" i="7"/>
  <c r="J186" i="7" s="1"/>
  <c r="M105" i="7"/>
  <c r="M186" i="7" s="1"/>
  <c r="J85" i="7"/>
  <c r="J90" i="7" s="1"/>
  <c r="M85" i="7"/>
  <c r="M90" i="7" s="1"/>
  <c r="K518" i="7"/>
  <c r="N518" i="7"/>
  <c r="N523" i="7"/>
  <c r="K523" i="7"/>
  <c r="N522" i="7"/>
  <c r="K522" i="7"/>
  <c r="K519" i="7"/>
  <c r="N519" i="7"/>
  <c r="J70" i="7"/>
  <c r="J89" i="7" s="1"/>
  <c r="M70" i="7"/>
  <c r="M89" i="7" s="1"/>
  <c r="J28" i="7"/>
  <c r="J88" i="7" s="1"/>
  <c r="M28" i="7"/>
  <c r="M88" i="7" s="1"/>
  <c r="M21" i="7"/>
  <c r="M87" i="7" s="1"/>
  <c r="J21" i="7"/>
  <c r="J87" i="7" s="1"/>
  <c r="R47" i="6"/>
  <c r="N200" i="6"/>
  <c r="R200" i="6" s="1"/>
  <c r="Q47" i="6"/>
  <c r="K200" i="6"/>
  <c r="Q200" i="6" s="1"/>
  <c r="K191" i="6"/>
  <c r="Q191" i="6" s="1"/>
  <c r="N191" i="6"/>
  <c r="R191" i="6" s="1"/>
  <c r="N43" i="6"/>
  <c r="M56" i="6"/>
  <c r="K43" i="6"/>
  <c r="J56" i="6"/>
  <c r="N23" i="6"/>
  <c r="R23" i="6" s="1"/>
  <c r="M41" i="6"/>
  <c r="K23" i="6"/>
  <c r="Q23" i="6" s="1"/>
  <c r="J41" i="6"/>
  <c r="N26" i="6"/>
  <c r="K26" i="6"/>
  <c r="N7" i="6"/>
  <c r="M21" i="6"/>
  <c r="K7" i="6"/>
  <c r="J21" i="6"/>
  <c r="B17" i="6"/>
  <c r="B15" i="6"/>
  <c r="B16" i="6" s="1"/>
  <c r="B420" i="5"/>
  <c r="B421" i="5" s="1"/>
  <c r="B423" i="5" s="1"/>
  <c r="B419" i="5"/>
  <c r="O631" i="5"/>
  <c r="Y631" i="5" s="1"/>
  <c r="Z631" i="5" s="1"/>
  <c r="B322" i="5"/>
  <c r="R77" i="4"/>
  <c r="S77" i="4" s="1"/>
  <c r="R67" i="4"/>
  <c r="S67" i="4" s="1"/>
  <c r="R65" i="4"/>
  <c r="S65" i="4" s="1"/>
  <c r="R79" i="4"/>
  <c r="S79" i="4" s="1"/>
  <c r="R75" i="4"/>
  <c r="S75" i="4" s="1"/>
  <c r="B208" i="5"/>
  <c r="B207" i="5"/>
  <c r="B209" i="5" s="1"/>
  <c r="B210" i="5" s="1"/>
  <c r="B188" i="5"/>
  <c r="B190" i="5"/>
  <c r="B193" i="5" s="1"/>
  <c r="B196" i="5" s="1"/>
  <c r="B131" i="5"/>
  <c r="B132" i="5"/>
  <c r="B133" i="5" s="1"/>
  <c r="B111" i="5"/>
  <c r="B106" i="5"/>
  <c r="B107" i="5" s="1"/>
  <c r="B61" i="5"/>
  <c r="B62" i="5"/>
  <c r="N262" i="4"/>
  <c r="N81" i="4"/>
  <c r="N88" i="4" s="1"/>
  <c r="R63" i="4"/>
  <c r="S63" i="4" s="1"/>
  <c r="K81" i="4"/>
  <c r="K88" i="4" s="1"/>
  <c r="K262" i="4"/>
  <c r="N57" i="4"/>
  <c r="N86" i="4" s="1"/>
  <c r="N261" i="4"/>
  <c r="K57" i="4"/>
  <c r="K86" i="4" s="1"/>
  <c r="K261" i="4"/>
  <c r="N84" i="4"/>
  <c r="N260" i="4"/>
  <c r="K84" i="4"/>
  <c r="K260" i="4"/>
  <c r="R71" i="4"/>
  <c r="S71" i="4" s="1"/>
  <c r="B137" i="5" l="1"/>
  <c r="B138" i="5" s="1"/>
  <c r="B139" i="5" s="1"/>
  <c r="B134" i="5"/>
  <c r="B135" i="5" s="1"/>
  <c r="B136" i="5" s="1"/>
  <c r="B112" i="5"/>
  <c r="B113" i="5" s="1"/>
  <c r="B114" i="5" s="1"/>
  <c r="B115" i="5" s="1"/>
  <c r="B108" i="5"/>
  <c r="B109" i="5" s="1"/>
  <c r="Z98" i="5"/>
  <c r="V565" i="5"/>
  <c r="Y98" i="5"/>
  <c r="O565" i="5"/>
  <c r="B87" i="5"/>
  <c r="B89" i="5" s="1"/>
  <c r="B88" i="5"/>
  <c r="Y569" i="5"/>
  <c r="Z569" i="5" s="1"/>
  <c r="V304" i="5"/>
  <c r="Z304" i="5" s="1"/>
  <c r="V317" i="5"/>
  <c r="Z317" i="5" s="1"/>
  <c r="V337" i="5"/>
  <c r="V183" i="5"/>
  <c r="U333" i="5"/>
  <c r="U392" i="5" s="1"/>
  <c r="V202" i="5"/>
  <c r="Z202" i="5" s="1"/>
  <c r="V170" i="5"/>
  <c r="Z170" i="5" s="1"/>
  <c r="B37" i="5"/>
  <c r="B35" i="5"/>
  <c r="B38" i="5" s="1"/>
  <c r="V299" i="5"/>
  <c r="Z299" i="5" s="1"/>
  <c r="V403" i="5"/>
  <c r="Z403" i="5" s="1"/>
  <c r="U413" i="5"/>
  <c r="U488" i="5" s="1"/>
  <c r="U314" i="5"/>
  <c r="U391" i="5" s="1"/>
  <c r="U199" i="5"/>
  <c r="U290" i="5" s="1"/>
  <c r="V416" i="5"/>
  <c r="Z416" i="5" s="1"/>
  <c r="V247" i="5"/>
  <c r="Z247" i="5" s="1"/>
  <c r="V232" i="5"/>
  <c r="V219" i="5"/>
  <c r="Z219" i="5" s="1"/>
  <c r="U246" i="5"/>
  <c r="U293" i="5" s="1"/>
  <c r="V600" i="5"/>
  <c r="V577" i="5"/>
  <c r="U216" i="5"/>
  <c r="U291" i="5" s="1"/>
  <c r="U230" i="5"/>
  <c r="U292" i="5" s="1"/>
  <c r="V248" i="5"/>
  <c r="Z248" i="5" s="1"/>
  <c r="V638" i="5"/>
  <c r="V532" i="5"/>
  <c r="V553" i="5"/>
  <c r="V517" i="5"/>
  <c r="V534" i="5"/>
  <c r="V528" i="5"/>
  <c r="V527" i="5"/>
  <c r="U24" i="5"/>
  <c r="U156" i="5" s="1"/>
  <c r="V649" i="5"/>
  <c r="V462" i="5"/>
  <c r="Z462" i="5" s="1"/>
  <c r="U72" i="5"/>
  <c r="U158" i="5" s="1"/>
  <c r="U485" i="5"/>
  <c r="U493" i="5" s="1"/>
  <c r="U448" i="5"/>
  <c r="U490" i="5" s="1"/>
  <c r="V353" i="5"/>
  <c r="U278" i="5"/>
  <c r="U295" i="5" s="1"/>
  <c r="V609" i="5"/>
  <c r="V262" i="5"/>
  <c r="Z262" i="5" s="1"/>
  <c r="V115" i="5"/>
  <c r="Z115" i="5" s="1"/>
  <c r="U142" i="5"/>
  <c r="U161" i="5" s="1"/>
  <c r="V464" i="5"/>
  <c r="Z464" i="5" s="1"/>
  <c r="V452" i="5"/>
  <c r="Z452" i="5" s="1"/>
  <c r="V263" i="5"/>
  <c r="Z263" i="5" s="1"/>
  <c r="V607" i="5"/>
  <c r="V602" i="5"/>
  <c r="V568" i="5"/>
  <c r="V563" i="5"/>
  <c r="V581" i="5"/>
  <c r="V610" i="5"/>
  <c r="V539" i="5"/>
  <c r="U349" i="5"/>
  <c r="U393" i="5" s="1"/>
  <c r="V551" i="5"/>
  <c r="U477" i="5"/>
  <c r="U492" i="5" s="1"/>
  <c r="V46" i="5"/>
  <c r="Z46" i="5" s="1"/>
  <c r="U46" i="5"/>
  <c r="U157" i="5" s="1"/>
  <c r="U153" i="5"/>
  <c r="U162" i="5" s="1"/>
  <c r="U432" i="5"/>
  <c r="U489" i="5" s="1"/>
  <c r="U375" i="5"/>
  <c r="U395" i="5" s="1"/>
  <c r="V605" i="5"/>
  <c r="V366" i="5"/>
  <c r="Z366" i="5" s="1"/>
  <c r="U286" i="5"/>
  <c r="U296" i="5" s="1"/>
  <c r="V655" i="5"/>
  <c r="V571" i="5"/>
  <c r="V561" i="5"/>
  <c r="V588" i="5"/>
  <c r="V555" i="5"/>
  <c r="V142" i="5"/>
  <c r="V24" i="5"/>
  <c r="V156" i="5" s="1"/>
  <c r="V376" i="5"/>
  <c r="Z376" i="5" s="1"/>
  <c r="U388" i="5"/>
  <c r="U396" i="5" s="1"/>
  <c r="V72" i="5"/>
  <c r="Z72" i="5" s="1"/>
  <c r="U115" i="5"/>
  <c r="U160" i="5" s="1"/>
  <c r="V91" i="5"/>
  <c r="Z91" i="5" s="1"/>
  <c r="U461" i="5"/>
  <c r="U491" i="5" s="1"/>
  <c r="V378" i="5"/>
  <c r="Z378" i="5" s="1"/>
  <c r="U363" i="5"/>
  <c r="U394" i="5" s="1"/>
  <c r="V573" i="5"/>
  <c r="V567" i="5"/>
  <c r="V580" i="5"/>
  <c r="V554" i="5"/>
  <c r="V153" i="5"/>
  <c r="Z153" i="5" s="1"/>
  <c r="U91" i="5"/>
  <c r="U159" i="5" s="1"/>
  <c r="V476" i="5"/>
  <c r="Z476" i="5" s="1"/>
  <c r="V435" i="5"/>
  <c r="Z435" i="5" s="1"/>
  <c r="V279" i="5"/>
  <c r="Z279" i="5" s="1"/>
  <c r="U261" i="5"/>
  <c r="U294" i="5" s="1"/>
  <c r="V606" i="5"/>
  <c r="V576" i="5"/>
  <c r="V562" i="5"/>
  <c r="V566" i="5"/>
  <c r="O568" i="5"/>
  <c r="O561" i="5"/>
  <c r="O605" i="5"/>
  <c r="O142" i="5"/>
  <c r="Y142" i="5" s="1"/>
  <c r="Y161" i="5" s="1"/>
  <c r="O462" i="5"/>
  <c r="Y462" i="5" s="1"/>
  <c r="N477" i="5"/>
  <c r="N492" i="5" s="1"/>
  <c r="O72" i="5"/>
  <c r="Y72" i="5" s="1"/>
  <c r="O400" i="5"/>
  <c r="Y400" i="5" s="1"/>
  <c r="N413" i="5"/>
  <c r="N488" i="5" s="1"/>
  <c r="O202" i="5"/>
  <c r="O183" i="5"/>
  <c r="Y183" i="5" s="1"/>
  <c r="O170" i="5"/>
  <c r="Y170" i="5" s="1"/>
  <c r="O115" i="5"/>
  <c r="Y115" i="5" s="1"/>
  <c r="O153" i="5"/>
  <c r="Y153" i="5" s="1"/>
  <c r="O24" i="5"/>
  <c r="O156" i="5" s="1"/>
  <c r="O46" i="5"/>
  <c r="Y46" i="5" s="1"/>
  <c r="N142" i="5"/>
  <c r="N161" i="5" s="1"/>
  <c r="N115" i="5"/>
  <c r="N160" i="5" s="1"/>
  <c r="N72" i="5"/>
  <c r="N158" i="5" s="1"/>
  <c r="N46" i="5"/>
  <c r="N157" i="5" s="1"/>
  <c r="N199" i="5"/>
  <c r="N290" i="5" s="1"/>
  <c r="N153" i="5"/>
  <c r="N162" i="5" s="1"/>
  <c r="O91" i="5"/>
  <c r="Y91" i="5" s="1"/>
  <c r="N91" i="5"/>
  <c r="N159" i="5" s="1"/>
  <c r="O464" i="5"/>
  <c r="Y464" i="5" s="1"/>
  <c r="O416" i="5"/>
  <c r="Y416" i="5" s="1"/>
  <c r="N432" i="5"/>
  <c r="N489" i="5" s="1"/>
  <c r="N485" i="5"/>
  <c r="N493" i="5" s="1"/>
  <c r="O476" i="5"/>
  <c r="Y476" i="5" s="1"/>
  <c r="O452" i="5"/>
  <c r="Y452" i="5" s="1"/>
  <c r="N461" i="5"/>
  <c r="N491" i="5" s="1"/>
  <c r="O435" i="5"/>
  <c r="Y435" i="5" s="1"/>
  <c r="N448" i="5"/>
  <c r="N490" i="5" s="1"/>
  <c r="O609" i="5"/>
  <c r="O655" i="5"/>
  <c r="O571" i="5"/>
  <c r="O577" i="5"/>
  <c r="O555" i="5"/>
  <c r="O517" i="5"/>
  <c r="N216" i="5"/>
  <c r="N291" i="5" s="1"/>
  <c r="O638" i="5"/>
  <c r="O528" i="5"/>
  <c r="O219" i="5"/>
  <c r="Y219" i="5" s="1"/>
  <c r="O532" i="5"/>
  <c r="O534" i="5"/>
  <c r="O263" i="5"/>
  <c r="Y263" i="5" s="1"/>
  <c r="O248" i="5"/>
  <c r="Y248" i="5" s="1"/>
  <c r="N261" i="5"/>
  <c r="N294" i="5" s="1"/>
  <c r="O600" i="5"/>
  <c r="O602" i="5"/>
  <c r="O551" i="5"/>
  <c r="O527" i="5"/>
  <c r="N24" i="5"/>
  <c r="N156" i="5" s="1"/>
  <c r="O553" i="5"/>
  <c r="O573" i="5"/>
  <c r="O580" i="5"/>
  <c r="N375" i="5"/>
  <c r="N395" i="5" s="1"/>
  <c r="O376" i="5"/>
  <c r="Y376" i="5" s="1"/>
  <c r="N388" i="5"/>
  <c r="N396" i="5" s="1"/>
  <c r="O350" i="5"/>
  <c r="Y350" i="5" s="1"/>
  <c r="N363" i="5"/>
  <c r="N394" i="5" s="1"/>
  <c r="O334" i="5"/>
  <c r="Y334" i="5" s="1"/>
  <c r="N349" i="5"/>
  <c r="N393" i="5" s="1"/>
  <c r="O299" i="5"/>
  <c r="Y299" i="5" s="1"/>
  <c r="N314" i="5"/>
  <c r="N391" i="5" s="1"/>
  <c r="O262" i="5"/>
  <c r="Y262" i="5" s="1"/>
  <c r="O247" i="5"/>
  <c r="Y247" i="5" s="1"/>
  <c r="O232" i="5"/>
  <c r="N230" i="5"/>
  <c r="N292" i="5" s="1"/>
  <c r="O378" i="5"/>
  <c r="Y378" i="5" s="1"/>
  <c r="O353" i="5"/>
  <c r="Y353" i="5" s="1"/>
  <c r="N333" i="5"/>
  <c r="N392" i="5" s="1"/>
  <c r="N278" i="5"/>
  <c r="N295" i="5" s="1"/>
  <c r="O649" i="5"/>
  <c r="O610" i="5"/>
  <c r="O567" i="5"/>
  <c r="O562" i="5"/>
  <c r="O566" i="5"/>
  <c r="O300" i="5"/>
  <c r="Y300" i="5" s="1"/>
  <c r="N246" i="5"/>
  <c r="N293" i="5" s="1"/>
  <c r="O337" i="5"/>
  <c r="Y337" i="5" s="1"/>
  <c r="N286" i="5"/>
  <c r="N296" i="5" s="1"/>
  <c r="O607" i="5"/>
  <c r="O576" i="5"/>
  <c r="O581" i="5"/>
  <c r="O539" i="5"/>
  <c r="O366" i="5"/>
  <c r="Y366" i="5" s="1"/>
  <c r="O317" i="5"/>
  <c r="Y317" i="5" s="1"/>
  <c r="O279" i="5"/>
  <c r="Y279" i="5" s="1"/>
  <c r="O606" i="5"/>
  <c r="O563" i="5"/>
  <c r="O588" i="5"/>
  <c r="O554" i="5"/>
  <c r="I536" i="3"/>
  <c r="I537" i="3" s="1"/>
  <c r="J503" i="3"/>
  <c r="J535" i="3"/>
  <c r="N535" i="3"/>
  <c r="N503" i="3"/>
  <c r="M520" i="3"/>
  <c r="N113" i="6"/>
  <c r="R113" i="6" s="1"/>
  <c r="K113" i="6"/>
  <c r="Q113" i="6" s="1"/>
  <c r="R26" i="6"/>
  <c r="N181" i="6"/>
  <c r="R181" i="6" s="1"/>
  <c r="K181" i="6"/>
  <c r="Q181" i="6" s="1"/>
  <c r="Q26" i="6"/>
  <c r="N187" i="6"/>
  <c r="R187" i="6" s="1"/>
  <c r="R7" i="6"/>
  <c r="K187" i="6"/>
  <c r="Q187" i="6" s="1"/>
  <c r="Q7" i="6"/>
  <c r="K265" i="4"/>
  <c r="S81" i="4"/>
  <c r="S88" i="4" s="1"/>
  <c r="J191" i="7"/>
  <c r="M191" i="7"/>
  <c r="J91" i="7"/>
  <c r="J289" i="7"/>
  <c r="M91" i="7"/>
  <c r="Q520" i="7"/>
  <c r="R520" i="7" s="1"/>
  <c r="M289" i="7"/>
  <c r="Q523" i="7"/>
  <c r="R523" i="7" s="1"/>
  <c r="Q522" i="7"/>
  <c r="R522" i="7" s="1"/>
  <c r="N502" i="7"/>
  <c r="N364" i="7"/>
  <c r="N370" i="7" s="1"/>
  <c r="R364" i="7"/>
  <c r="R370" i="7" s="1"/>
  <c r="K502" i="7"/>
  <c r="K364" i="7"/>
  <c r="K370" i="7" s="1"/>
  <c r="Q364" i="7"/>
  <c r="Q370" i="7" s="1"/>
  <c r="N357" i="7"/>
  <c r="N369" i="7" s="1"/>
  <c r="R357" i="7"/>
  <c r="R369" i="7" s="1"/>
  <c r="K357" i="7"/>
  <c r="K369" i="7" s="1"/>
  <c r="Q357" i="7"/>
  <c r="Q369" i="7" s="1"/>
  <c r="N346" i="7"/>
  <c r="N368" i="7" s="1"/>
  <c r="R346" i="7"/>
  <c r="R368" i="7" s="1"/>
  <c r="N341" i="7"/>
  <c r="N367" i="7" s="1"/>
  <c r="R341" i="7"/>
  <c r="R367" i="7" s="1"/>
  <c r="K341" i="7"/>
  <c r="K367" i="7" s="1"/>
  <c r="Q341" i="7"/>
  <c r="Q367" i="7" s="1"/>
  <c r="N307" i="7"/>
  <c r="N366" i="7" s="1"/>
  <c r="R307" i="7"/>
  <c r="R366" i="7" s="1"/>
  <c r="K307" i="7"/>
  <c r="K366" i="7" s="1"/>
  <c r="Q307" i="7"/>
  <c r="Q366" i="7" s="1"/>
  <c r="N282" i="7"/>
  <c r="N288" i="7" s="1"/>
  <c r="R282" i="7"/>
  <c r="R288" i="7" s="1"/>
  <c r="K282" i="7"/>
  <c r="K288" i="7" s="1"/>
  <c r="Q282" i="7"/>
  <c r="Q288" i="7" s="1"/>
  <c r="K267" i="7"/>
  <c r="K287" i="7" s="1"/>
  <c r="Q267" i="7"/>
  <c r="Q287" i="7" s="1"/>
  <c r="N267" i="7"/>
  <c r="N287" i="7" s="1"/>
  <c r="R267" i="7"/>
  <c r="R287" i="7" s="1"/>
  <c r="K257" i="7"/>
  <c r="K286" i="7" s="1"/>
  <c r="Q257" i="7"/>
  <c r="Q286" i="7" s="1"/>
  <c r="N257" i="7"/>
  <c r="N286" i="7" s="1"/>
  <c r="R257" i="7"/>
  <c r="R286" i="7" s="1"/>
  <c r="N213" i="7"/>
  <c r="N285" i="7" s="1"/>
  <c r="R213" i="7"/>
  <c r="R285" i="7" s="1"/>
  <c r="K213" i="7"/>
  <c r="K285" i="7" s="1"/>
  <c r="Q213" i="7"/>
  <c r="Q285" i="7" s="1"/>
  <c r="N205" i="7"/>
  <c r="N284" i="7" s="1"/>
  <c r="R205" i="7"/>
  <c r="R284" i="7" s="1"/>
  <c r="K205" i="7"/>
  <c r="K284" i="7" s="1"/>
  <c r="Q205" i="7"/>
  <c r="Q284" i="7" s="1"/>
  <c r="N184" i="7"/>
  <c r="N190" i="7" s="1"/>
  <c r="R184" i="7"/>
  <c r="R190" i="7" s="1"/>
  <c r="K184" i="7"/>
  <c r="K190" i="7" s="1"/>
  <c r="Q184" i="7"/>
  <c r="Q190" i="7" s="1"/>
  <c r="K169" i="7"/>
  <c r="K189" i="7" s="1"/>
  <c r="Q169" i="7"/>
  <c r="Q189" i="7" s="1"/>
  <c r="N169" i="7"/>
  <c r="N189" i="7" s="1"/>
  <c r="R169" i="7"/>
  <c r="R189" i="7" s="1"/>
  <c r="K158" i="7"/>
  <c r="K188" i="7" s="1"/>
  <c r="Q158" i="7"/>
  <c r="Q188" i="7" s="1"/>
  <c r="N158" i="7"/>
  <c r="N188" i="7" s="1"/>
  <c r="R158" i="7"/>
  <c r="R188" i="7" s="1"/>
  <c r="N113" i="7"/>
  <c r="N187" i="7" s="1"/>
  <c r="R113" i="7"/>
  <c r="R187" i="7" s="1"/>
  <c r="K113" i="7"/>
  <c r="K187" i="7" s="1"/>
  <c r="Q113" i="7"/>
  <c r="Q187" i="7" s="1"/>
  <c r="K105" i="7"/>
  <c r="K186" i="7" s="1"/>
  <c r="Q105" i="7"/>
  <c r="Q186" i="7" s="1"/>
  <c r="N105" i="7"/>
  <c r="N186" i="7" s="1"/>
  <c r="R105" i="7"/>
  <c r="R186" i="7" s="1"/>
  <c r="K531" i="7"/>
  <c r="Q85" i="7"/>
  <c r="Q90" i="7" s="1"/>
  <c r="N531" i="7"/>
  <c r="N85" i="7"/>
  <c r="N90" i="7" s="1"/>
  <c r="R85" i="7"/>
  <c r="R90" i="7" s="1"/>
  <c r="K517" i="7"/>
  <c r="K70" i="7"/>
  <c r="K89" i="7" s="1"/>
  <c r="Q70" i="7"/>
  <c r="Q89" i="7" s="1"/>
  <c r="N517" i="7"/>
  <c r="N70" i="7"/>
  <c r="N89" i="7" s="1"/>
  <c r="R70" i="7"/>
  <c r="R89" i="7" s="1"/>
  <c r="K524" i="7"/>
  <c r="K28" i="7"/>
  <c r="K88" i="7" s="1"/>
  <c r="Q28" i="7"/>
  <c r="Q88" i="7" s="1"/>
  <c r="N28" i="7"/>
  <c r="N88" i="7" s="1"/>
  <c r="N524" i="7"/>
  <c r="R28" i="7"/>
  <c r="R88" i="7" s="1"/>
  <c r="N21" i="7"/>
  <c r="N530" i="7"/>
  <c r="R21" i="7"/>
  <c r="R87" i="7" s="1"/>
  <c r="K530" i="7"/>
  <c r="K21" i="7"/>
  <c r="Q21" i="7"/>
  <c r="Q87" i="7" s="1"/>
  <c r="Q519" i="7"/>
  <c r="R519" i="7" s="1"/>
  <c r="Q518" i="7"/>
  <c r="R518" i="7" s="1"/>
  <c r="R43" i="6"/>
  <c r="R56" i="6" s="1"/>
  <c r="R66" i="6" s="1"/>
  <c r="N204" i="6"/>
  <c r="R204" i="6" s="1"/>
  <c r="Q43" i="6"/>
  <c r="Q56" i="6" s="1"/>
  <c r="Q66" i="6" s="1"/>
  <c r="K204" i="6"/>
  <c r="Q204" i="6" s="1"/>
  <c r="N56" i="6"/>
  <c r="N66" i="6" s="1"/>
  <c r="K56" i="6"/>
  <c r="K66" i="6" s="1"/>
  <c r="N41" i="6"/>
  <c r="N65" i="6" s="1"/>
  <c r="K41" i="6"/>
  <c r="K65" i="6" s="1"/>
  <c r="N21" i="6"/>
  <c r="N64" i="6" s="1"/>
  <c r="K21" i="6"/>
  <c r="K64" i="6" s="1"/>
  <c r="B20" i="6"/>
  <c r="B21" i="6" s="1"/>
  <c r="B18" i="6"/>
  <c r="B19" i="6" s="1"/>
  <c r="B424" i="5"/>
  <c r="B422" i="5"/>
  <c r="B325" i="5"/>
  <c r="B326" i="5" s="1"/>
  <c r="B323" i="5"/>
  <c r="B324" i="5" s="1"/>
  <c r="B213" i="5"/>
  <c r="B214" i="5" s="1"/>
  <c r="B215" i="5" s="1"/>
  <c r="B216" i="5" s="1"/>
  <c r="B211" i="5"/>
  <c r="V654" i="5"/>
  <c r="O654" i="5"/>
  <c r="Y24" i="5"/>
  <c r="Y156" i="5" s="1"/>
  <c r="Z24" i="5"/>
  <c r="Z156" i="5" s="1"/>
  <c r="O485" i="5"/>
  <c r="V485" i="5"/>
  <c r="R31" i="4"/>
  <c r="R84" i="4" s="1"/>
  <c r="N90" i="4"/>
  <c r="N92" i="4" s="1"/>
  <c r="R262" i="4"/>
  <c r="S262" i="4" s="1"/>
  <c r="R57" i="4"/>
  <c r="R86" i="4" s="1"/>
  <c r="R81" i="4"/>
  <c r="R88" i="4" s="1"/>
  <c r="B189" i="5"/>
  <c r="B191" i="5"/>
  <c r="B192" i="5" s="1"/>
  <c r="B194" i="5" s="1"/>
  <c r="B195" i="5" s="1"/>
  <c r="B197" i="5" s="1"/>
  <c r="B198" i="5" s="1"/>
  <c r="B199" i="5" s="1"/>
  <c r="B202" i="5" s="1"/>
  <c r="B63" i="5"/>
  <c r="B64" i="5" s="1"/>
  <c r="B66" i="5" s="1"/>
  <c r="B65" i="5"/>
  <c r="R260" i="4"/>
  <c r="S260" i="4" s="1"/>
  <c r="N265" i="4"/>
  <c r="F7" i="2" s="1"/>
  <c r="K90" i="4"/>
  <c r="K92" i="4" s="1"/>
  <c r="R261" i="4"/>
  <c r="S261" i="4" s="1"/>
  <c r="N235" i="6" l="1"/>
  <c r="B141" i="5"/>
  <c r="B142" i="5" s="1"/>
  <c r="B140" i="5"/>
  <c r="V413" i="5"/>
  <c r="V488" i="5" s="1"/>
  <c r="V643" i="5"/>
  <c r="Y565" i="5"/>
  <c r="Z565" i="5" s="1"/>
  <c r="O161" i="5"/>
  <c r="B91" i="5"/>
  <c r="B90" i="5"/>
  <c r="V349" i="5"/>
  <c r="V393" i="5" s="1"/>
  <c r="Z393" i="5" s="1"/>
  <c r="Z337" i="5"/>
  <c r="V333" i="5"/>
  <c r="V392" i="5" s="1"/>
  <c r="Z392" i="5" s="1"/>
  <c r="Z333" i="5"/>
  <c r="V199" i="5"/>
  <c r="V290" i="5" s="1"/>
  <c r="Z183" i="5"/>
  <c r="B70" i="5"/>
  <c r="B71" i="5" s="1"/>
  <c r="B72" i="5" s="1"/>
  <c r="B67" i="5"/>
  <c r="B68" i="5" s="1"/>
  <c r="B69" i="5" s="1"/>
  <c r="V180" i="5"/>
  <c r="V289" i="5" s="1"/>
  <c r="V216" i="5"/>
  <c r="V291" i="5" s="1"/>
  <c r="B39" i="5"/>
  <c r="B41" i="5" s="1"/>
  <c r="B40" i="5"/>
  <c r="Z413" i="5"/>
  <c r="V615" i="5"/>
  <c r="V550" i="5"/>
  <c r="Z314" i="5"/>
  <c r="V314" i="5"/>
  <c r="V391" i="5" s="1"/>
  <c r="Z391" i="5" s="1"/>
  <c r="V432" i="5"/>
  <c r="Z232" i="5"/>
  <c r="V230" i="5"/>
  <c r="V292" i="5" s="1"/>
  <c r="V603" i="5"/>
  <c r="V246" i="5"/>
  <c r="V293" i="5" s="1"/>
  <c r="Z230" i="5"/>
  <c r="Z292" i="5"/>
  <c r="V261" i="5"/>
  <c r="V294" i="5" s="1"/>
  <c r="Z261" i="5"/>
  <c r="Y568" i="5"/>
  <c r="Z568" i="5" s="1"/>
  <c r="V530" i="5"/>
  <c r="Z160" i="5"/>
  <c r="V159" i="5"/>
  <c r="V585" i="5"/>
  <c r="V601" i="5"/>
  <c r="V278" i="5"/>
  <c r="V295" i="5" s="1"/>
  <c r="V572" i="5"/>
  <c r="Z162" i="5"/>
  <c r="V160" i="5"/>
  <c r="V157" i="5"/>
  <c r="V158" i="5"/>
  <c r="V388" i="5"/>
  <c r="V396" i="5" s="1"/>
  <c r="Z278" i="5"/>
  <c r="Z142" i="5"/>
  <c r="Z161" i="5" s="1"/>
  <c r="V161" i="5"/>
  <c r="V363" i="5"/>
  <c r="V394" i="5" s="1"/>
  <c r="Z394" i="5" s="1"/>
  <c r="Z353" i="5"/>
  <c r="U496" i="5"/>
  <c r="U398" i="5"/>
  <c r="V162" i="5"/>
  <c r="Z157" i="5"/>
  <c r="Z158" i="5"/>
  <c r="Z159" i="5"/>
  <c r="V477" i="5"/>
  <c r="V492" i="5" s="1"/>
  <c r="V286" i="5"/>
  <c r="V296" i="5" s="1"/>
  <c r="V619" i="5"/>
  <c r="U164" i="5"/>
  <c r="U180" i="5" s="1"/>
  <c r="U289" i="5" s="1"/>
  <c r="U298" i="5" s="1"/>
  <c r="V632" i="5"/>
  <c r="V461" i="5"/>
  <c r="V448" i="5"/>
  <c r="Z396" i="5"/>
  <c r="V375" i="5"/>
  <c r="V395" i="5" s="1"/>
  <c r="Z395" i="5" s="1"/>
  <c r="Z375" i="5"/>
  <c r="V556" i="5"/>
  <c r="Y573" i="5"/>
  <c r="Z573" i="5" s="1"/>
  <c r="Y580" i="5"/>
  <c r="Z580" i="5" s="1"/>
  <c r="Y605" i="5"/>
  <c r="Z605" i="5" s="1"/>
  <c r="Y561" i="5"/>
  <c r="Z561" i="5" s="1"/>
  <c r="Y600" i="5"/>
  <c r="Z600" i="5" s="1"/>
  <c r="Y602" i="5"/>
  <c r="Z602" i="5" s="1"/>
  <c r="Y534" i="5"/>
  <c r="Z534" i="5" s="1"/>
  <c r="Y655" i="5"/>
  <c r="Z655" i="5" s="1"/>
  <c r="Y571" i="5"/>
  <c r="Z571" i="5" s="1"/>
  <c r="Y609" i="5"/>
  <c r="Z609" i="5" s="1"/>
  <c r="O216" i="5"/>
  <c r="O291" i="5" s="1"/>
  <c r="Y202" i="5"/>
  <c r="Y158" i="5"/>
  <c r="Y160" i="5"/>
  <c r="Y162" i="5"/>
  <c r="Y157" i="5"/>
  <c r="O159" i="5"/>
  <c r="O413" i="5"/>
  <c r="O488" i="5" s="1"/>
  <c r="O615" i="5"/>
  <c r="O199" i="5"/>
  <c r="O290" i="5" s="1"/>
  <c r="O448" i="5"/>
  <c r="O432" i="5"/>
  <c r="Y606" i="5"/>
  <c r="Z606" i="5" s="1"/>
  <c r="N496" i="5"/>
  <c r="O158" i="5"/>
  <c r="O160" i="5"/>
  <c r="O162" i="5"/>
  <c r="O157" i="5"/>
  <c r="Y159" i="5"/>
  <c r="O477" i="5"/>
  <c r="O492" i="5" s="1"/>
  <c r="Y413" i="5"/>
  <c r="O180" i="5"/>
  <c r="O289" i="5" s="1"/>
  <c r="O461" i="5"/>
  <c r="O632" i="5"/>
  <c r="Y527" i="5"/>
  <c r="Z527" i="5" s="1"/>
  <c r="Y555" i="5"/>
  <c r="Z555" i="5" s="1"/>
  <c r="O261" i="5"/>
  <c r="O294" i="5" s="1"/>
  <c r="Y532" i="5"/>
  <c r="Z532" i="5" s="1"/>
  <c r="Y551" i="5"/>
  <c r="Z551" i="5" s="1"/>
  <c r="Y638" i="5"/>
  <c r="Z638" i="5" s="1"/>
  <c r="Y528" i="5"/>
  <c r="Z528" i="5" s="1"/>
  <c r="Y577" i="5"/>
  <c r="Z577" i="5" s="1"/>
  <c r="Y261" i="5"/>
  <c r="O278" i="5"/>
  <c r="O295" i="5" s="1"/>
  <c r="Y517" i="5"/>
  <c r="Y278" i="5"/>
  <c r="O230" i="5"/>
  <c r="O292" i="5" s="1"/>
  <c r="N163" i="5"/>
  <c r="N164" i="5" s="1"/>
  <c r="N180" i="5" s="1"/>
  <c r="N289" i="5" s="1"/>
  <c r="Y567" i="5"/>
  <c r="Z567" i="5" s="1"/>
  <c r="Y649" i="5"/>
  <c r="Z649" i="5" s="1"/>
  <c r="Y563" i="5"/>
  <c r="Z563" i="5" s="1"/>
  <c r="O643" i="5"/>
  <c r="O333" i="5"/>
  <c r="O392" i="5" s="1"/>
  <c r="Y392" i="5" s="1"/>
  <c r="Y333" i="5"/>
  <c r="O286" i="5"/>
  <c r="O296" i="5" s="1"/>
  <c r="Y610" i="5"/>
  <c r="Z610" i="5" s="1"/>
  <c r="Y553" i="5"/>
  <c r="Z553" i="5" s="1"/>
  <c r="Y607" i="5"/>
  <c r="Z607" i="5" s="1"/>
  <c r="Y562" i="5"/>
  <c r="Z562" i="5" s="1"/>
  <c r="Y588" i="5"/>
  <c r="Z588" i="5" s="1"/>
  <c r="Y576" i="5"/>
  <c r="Z576" i="5" s="1"/>
  <c r="Y566" i="5"/>
  <c r="Z566" i="5" s="1"/>
  <c r="Y539" i="5"/>
  <c r="Z539" i="5" s="1"/>
  <c r="Y554" i="5"/>
  <c r="Z554" i="5" s="1"/>
  <c r="O246" i="5"/>
  <c r="O293" i="5" s="1"/>
  <c r="O314" i="5"/>
  <c r="O391" i="5" s="1"/>
  <c r="Y391" i="5" s="1"/>
  <c r="Y314" i="5"/>
  <c r="O601" i="5"/>
  <c r="Y581" i="5"/>
  <c r="Z581" i="5" s="1"/>
  <c r="Y232" i="5"/>
  <c r="N398" i="5"/>
  <c r="O388" i="5"/>
  <c r="O396" i="5" s="1"/>
  <c r="O363" i="5"/>
  <c r="O394" i="5" s="1"/>
  <c r="Y394" i="5" s="1"/>
  <c r="O619" i="5"/>
  <c r="O349" i="5"/>
  <c r="O393" i="5" s="1"/>
  <c r="Y393" i="5" s="1"/>
  <c r="O585" i="5"/>
  <c r="O550" i="5"/>
  <c r="O572" i="5"/>
  <c r="O603" i="5"/>
  <c r="O530" i="5"/>
  <c r="Y396" i="5"/>
  <c r="O375" i="5"/>
  <c r="O395" i="5" s="1"/>
  <c r="Y395" i="5" s="1"/>
  <c r="Y375" i="5"/>
  <c r="O556" i="5"/>
  <c r="S92" i="4"/>
  <c r="I7" i="2" s="1"/>
  <c r="J536" i="3"/>
  <c r="M536" i="3"/>
  <c r="M537" i="3" s="1"/>
  <c r="N524" i="3"/>
  <c r="N536" i="3" s="1"/>
  <c r="K235" i="6"/>
  <c r="R21" i="6"/>
  <c r="R64" i="6" s="1"/>
  <c r="Q21" i="6"/>
  <c r="Q64" i="6" s="1"/>
  <c r="K94" i="4"/>
  <c r="E7" i="2"/>
  <c r="S265" i="4"/>
  <c r="N289" i="7"/>
  <c r="K289" i="7"/>
  <c r="K191" i="7"/>
  <c r="N191" i="7"/>
  <c r="R91" i="7"/>
  <c r="R191" i="7"/>
  <c r="Q91" i="7"/>
  <c r="R289" i="7"/>
  <c r="Q289" i="7"/>
  <c r="Q191" i="7"/>
  <c r="N371" i="7"/>
  <c r="N378" i="7" s="1"/>
  <c r="R371" i="7"/>
  <c r="R378" i="7" s="1"/>
  <c r="K371" i="7"/>
  <c r="K378" i="7" s="1"/>
  <c r="Q371" i="7"/>
  <c r="Q378" i="7" s="1"/>
  <c r="Q517" i="7"/>
  <c r="R517" i="7" s="1"/>
  <c r="Q531" i="7"/>
  <c r="R531" i="7" s="1"/>
  <c r="N87" i="7"/>
  <c r="K87" i="7"/>
  <c r="K91" i="7" s="1"/>
  <c r="Q530" i="7"/>
  <c r="R530" i="7" s="1"/>
  <c r="Q502" i="7"/>
  <c r="R502" i="7" s="1"/>
  <c r="Q524" i="7"/>
  <c r="R524" i="7" s="1"/>
  <c r="Y654" i="5"/>
  <c r="Z654" i="5" s="1"/>
  <c r="O493" i="5"/>
  <c r="Y485" i="5"/>
  <c r="Y493" i="5" s="1"/>
  <c r="V493" i="5"/>
  <c r="Z485" i="5"/>
  <c r="Z493" i="5" s="1"/>
  <c r="Q235" i="6"/>
  <c r="R235" i="6"/>
  <c r="R41" i="6"/>
  <c r="R65" i="6" s="1"/>
  <c r="Q41" i="6"/>
  <c r="Q65" i="6" s="1"/>
  <c r="B35" i="6"/>
  <c r="B36" i="6" s="1"/>
  <c r="B37" i="6" s="1"/>
  <c r="Y477" i="5"/>
  <c r="Y492" i="5" s="1"/>
  <c r="Z477" i="5"/>
  <c r="Z492" i="5" s="1"/>
  <c r="B425" i="5"/>
  <c r="B427" i="5" s="1"/>
  <c r="B426" i="5"/>
  <c r="Y388" i="5"/>
  <c r="Z388" i="5"/>
  <c r="Y363" i="5"/>
  <c r="Y349" i="5"/>
  <c r="B328" i="5"/>
  <c r="B329" i="5" s="1"/>
  <c r="B327" i="5"/>
  <c r="Y230" i="5"/>
  <c r="Y292" i="5"/>
  <c r="Z216" i="5"/>
  <c r="Z291" i="5"/>
  <c r="Y199" i="5"/>
  <c r="Y290" i="5"/>
  <c r="Y180" i="5"/>
  <c r="Y289" i="5"/>
  <c r="Z289" i="5"/>
  <c r="Z180" i="5"/>
  <c r="Z295" i="5"/>
  <c r="Y295" i="5"/>
  <c r="Z294" i="5"/>
  <c r="Y294" i="5"/>
  <c r="Z286" i="5"/>
  <c r="Z296" i="5"/>
  <c r="Y286" i="5"/>
  <c r="Y296" i="5"/>
  <c r="R92" i="4"/>
  <c r="R265" i="4"/>
  <c r="H7" i="2" s="1"/>
  <c r="Y643" i="5" l="1"/>
  <c r="Z643" i="5" s="1"/>
  <c r="Z349" i="5"/>
  <c r="Z199" i="5"/>
  <c r="Z290" i="5"/>
  <c r="B42" i="5"/>
  <c r="B44" i="5" s="1"/>
  <c r="B45" i="5" s="1"/>
  <c r="B46" i="5" s="1"/>
  <c r="B43" i="5"/>
  <c r="V489" i="5"/>
  <c r="Z432" i="5"/>
  <c r="Z489" i="5" s="1"/>
  <c r="Z293" i="5"/>
  <c r="Z246" i="5"/>
  <c r="Z363" i="5"/>
  <c r="V673" i="5"/>
  <c r="V491" i="5"/>
  <c r="Z461" i="5"/>
  <c r="Z491" i="5" s="1"/>
  <c r="V490" i="5"/>
  <c r="Z448" i="5"/>
  <c r="Z490" i="5" s="1"/>
  <c r="V163" i="5"/>
  <c r="V164" i="5" s="1"/>
  <c r="Z164" i="5" s="1"/>
  <c r="Z498" i="5" s="1"/>
  <c r="V398" i="5"/>
  <c r="V500" i="5" s="1"/>
  <c r="Z163" i="5"/>
  <c r="Y632" i="5"/>
  <c r="Z632" i="5" s="1"/>
  <c r="Y615" i="5"/>
  <c r="Z615" i="5" s="1"/>
  <c r="O491" i="5"/>
  <c r="Y461" i="5"/>
  <c r="Y491" i="5" s="1"/>
  <c r="O490" i="5"/>
  <c r="Y448" i="5"/>
  <c r="Y490" i="5" s="1"/>
  <c r="Y163" i="5"/>
  <c r="O489" i="5"/>
  <c r="Y432" i="5"/>
  <c r="Y489" i="5" s="1"/>
  <c r="O164" i="5"/>
  <c r="O498" i="5" s="1"/>
  <c r="Y216" i="5"/>
  <c r="Y291" i="5"/>
  <c r="Z517" i="5"/>
  <c r="N298" i="5"/>
  <c r="Y530" i="5"/>
  <c r="Z530" i="5" s="1"/>
  <c r="Y601" i="5"/>
  <c r="Z601" i="5" s="1"/>
  <c r="Y572" i="5"/>
  <c r="Z572" i="5" s="1"/>
  <c r="Y603" i="5"/>
  <c r="Z603" i="5" s="1"/>
  <c r="Y585" i="5"/>
  <c r="Z585" i="5" s="1"/>
  <c r="Y556" i="5"/>
  <c r="Z556" i="5" s="1"/>
  <c r="O673" i="5"/>
  <c r="Y550" i="5"/>
  <c r="O398" i="5"/>
  <c r="O500" i="5" s="1"/>
  <c r="Y619" i="5"/>
  <c r="Z619" i="5" s="1"/>
  <c r="Y293" i="5"/>
  <c r="Y246" i="5"/>
  <c r="J537" i="3"/>
  <c r="E6" i="2"/>
  <c r="F6" i="2"/>
  <c r="N537" i="3"/>
  <c r="K365" i="7"/>
  <c r="Q365" i="7" s="1"/>
  <c r="N91" i="7"/>
  <c r="N365" i="7"/>
  <c r="R365" i="7" s="1"/>
  <c r="B38" i="6"/>
  <c r="B40" i="6" s="1"/>
  <c r="B39" i="6"/>
  <c r="B46" i="6"/>
  <c r="B47" i="6" s="1"/>
  <c r="B48" i="6" s="1"/>
  <c r="B49" i="6" s="1"/>
  <c r="B50" i="6" s="1"/>
  <c r="B51" i="6" s="1"/>
  <c r="B52" i="6" s="1"/>
  <c r="B428" i="5"/>
  <c r="B430" i="5" s="1"/>
  <c r="B431" i="5" s="1"/>
  <c r="B432" i="5" s="1"/>
  <c r="B429" i="5"/>
  <c r="Z398" i="5"/>
  <c r="Z500" i="5" s="1"/>
  <c r="Y398" i="5"/>
  <c r="Y500" i="5" s="1"/>
  <c r="B331" i="5"/>
  <c r="B332" i="5" s="1"/>
  <c r="B333" i="5" s="1"/>
  <c r="B338" i="5" s="1"/>
  <c r="B340" i="5" s="1"/>
  <c r="B341" i="5" s="1"/>
  <c r="B343" i="5" s="1"/>
  <c r="B344" i="5" s="1"/>
  <c r="B330" i="5"/>
  <c r="O297" i="5"/>
  <c r="O298" i="5" s="1"/>
  <c r="O499" i="5" s="1"/>
  <c r="V297" i="5"/>
  <c r="V298" i="5" s="1"/>
  <c r="V499" i="5" s="1"/>
  <c r="V498" i="5" l="1"/>
  <c r="Z297" i="5"/>
  <c r="Y164" i="5"/>
  <c r="Y498" i="5" s="1"/>
  <c r="Z550" i="5"/>
  <c r="Z673" i="5" s="1"/>
  <c r="Y673" i="5"/>
  <c r="Y297" i="5"/>
  <c r="B41" i="6"/>
  <c r="B43" i="6" s="1"/>
  <c r="B44" i="6" s="1"/>
  <c r="B42" i="6"/>
  <c r="K68" i="6"/>
  <c r="E9" i="2" s="1"/>
  <c r="B436" i="5"/>
  <c r="B438" i="5" s="1"/>
  <c r="B434" i="5"/>
  <c r="B346" i="5"/>
  <c r="B347" i="5" s="1"/>
  <c r="B348" i="5" s="1"/>
  <c r="B349" i="5" s="1"/>
  <c r="B345" i="5"/>
  <c r="Y488" i="5"/>
  <c r="Z488" i="5"/>
  <c r="Z298" i="5" l="1"/>
  <c r="Z499" i="5" s="1"/>
  <c r="Y298" i="5"/>
  <c r="Y499" i="5" s="1"/>
  <c r="L68" i="6"/>
  <c r="K73" i="6"/>
  <c r="N68" i="6"/>
  <c r="F9" i="2" s="1"/>
  <c r="B53" i="6"/>
  <c r="B54" i="6" s="1"/>
  <c r="Y494" i="5"/>
  <c r="Y496" i="5" s="1"/>
  <c r="Y501" i="5" s="1"/>
  <c r="O494" i="5"/>
  <c r="O496" i="5" s="1"/>
  <c r="O501" i="5" s="1"/>
  <c r="O503" i="5" s="1"/>
  <c r="V494" i="5"/>
  <c r="V496" i="5" s="1"/>
  <c r="V501" i="5" s="1"/>
  <c r="V503" i="5" s="1"/>
  <c r="Z494" i="5"/>
  <c r="B439" i="5"/>
  <c r="B441" i="5" s="1"/>
  <c r="B442" i="5" s="1"/>
  <c r="B440" i="5"/>
  <c r="B359" i="5"/>
  <c r="B360" i="5" s="1"/>
  <c r="H8" i="2"/>
  <c r="I8" i="2"/>
  <c r="E8" i="2"/>
  <c r="E16" i="2" s="1"/>
  <c r="F8" i="2"/>
  <c r="Y503" i="5" l="1"/>
  <c r="Y511" i="5" s="1"/>
  <c r="F16" i="2"/>
  <c r="T503" i="5"/>
  <c r="O511" i="5"/>
  <c r="W503" i="5"/>
  <c r="V511" i="5"/>
  <c r="O68" i="6"/>
  <c r="N73" i="6"/>
  <c r="B55" i="6"/>
  <c r="B56" i="6" s="1"/>
  <c r="Z496" i="5"/>
  <c r="Z501" i="5" s="1"/>
  <c r="Z503" i="5" s="1"/>
  <c r="Z511" i="5" s="1"/>
  <c r="B443" i="5"/>
  <c r="B445" i="5" s="1"/>
  <c r="B446" i="5" s="1"/>
  <c r="B447" i="5" s="1"/>
  <c r="B448" i="5" s="1"/>
  <c r="B453" i="5" s="1"/>
  <c r="B455" i="5" s="1"/>
  <c r="B456" i="5" s="1"/>
  <c r="B444" i="5"/>
  <c r="B362" i="5"/>
  <c r="B363" i="5" s="1"/>
  <c r="B361" i="5"/>
  <c r="B458" i="5" l="1"/>
  <c r="B457" i="5"/>
  <c r="Q68" i="6" l="1"/>
  <c r="R68" i="6"/>
  <c r="B460" i="5"/>
  <c r="B461" i="5" s="1"/>
  <c r="B459" i="5"/>
  <c r="B375" i="5"/>
  <c r="Q73" i="6" l="1"/>
  <c r="H9" i="2"/>
  <c r="H16" i="2" s="1"/>
  <c r="R73" i="6"/>
  <c r="I9" i="2"/>
  <c r="I16" i="2" s="1"/>
  <c r="B477" i="5"/>
  <c r="B479" i="5" l="1"/>
  <c r="B480" i="5" s="1"/>
  <c r="B481" i="5" s="1"/>
  <c r="B482" i="5" s="1"/>
  <c r="B483" i="5" s="1"/>
  <c r="B484" i="5" s="1"/>
  <c r="B485" i="5" s="1"/>
  <c r="Q455" i="7" l="1"/>
  <c r="R455" i="7" s="1"/>
  <c r="Q449" i="7"/>
  <c r="R449" i="7" s="1"/>
  <c r="Q432" i="7"/>
  <c r="R432" i="7" s="1"/>
  <c r="Q431" i="7"/>
  <c r="R431" i="7" s="1"/>
  <c r="Q430" i="7"/>
  <c r="R430" i="7" s="1"/>
  <c r="Q448" i="7"/>
  <c r="R448" i="7" s="1"/>
  <c r="Q440" i="7"/>
  <c r="R440" i="7" s="1"/>
  <c r="Q412" i="7"/>
  <c r="R412" i="7" s="1"/>
  <c r="Q408" i="7"/>
  <c r="R408" i="7" s="1"/>
  <c r="Q405" i="7"/>
  <c r="R405" i="7" s="1"/>
  <c r="Q404" i="7"/>
  <c r="R404" i="7" s="1"/>
  <c r="Q428" i="7"/>
  <c r="R428" i="7" s="1"/>
  <c r="Q416" i="7"/>
  <c r="R416" i="7" s="1"/>
  <c r="Q407" i="7"/>
  <c r="R407" i="7" s="1"/>
  <c r="Q411" i="7"/>
  <c r="R411" i="7" s="1"/>
  <c r="Q427" i="7"/>
  <c r="R427" i="7" s="1"/>
  <c r="Q426" i="7"/>
  <c r="R426" i="7" s="1"/>
  <c r="Q425" i="7"/>
  <c r="R425" i="7" s="1"/>
  <c r="Q424" i="7"/>
  <c r="R424" i="7" s="1"/>
  <c r="Q422" i="7"/>
  <c r="R422" i="7" s="1"/>
  <c r="Q451" i="7"/>
  <c r="R451" i="7" s="1"/>
  <c r="Q442" i="7"/>
  <c r="R442" i="7" s="1"/>
  <c r="Q434" i="7"/>
  <c r="R434" i="7" s="1"/>
  <c r="Q433" i="7"/>
  <c r="R433" i="7" s="1"/>
  <c r="Q415" i="7"/>
  <c r="R415" i="7" s="1"/>
  <c r="Q406" i="7"/>
  <c r="R406" i="7" s="1"/>
  <c r="Q436" i="7"/>
  <c r="R436" i="7" s="1"/>
  <c r="Q457" i="7"/>
  <c r="R457" i="7" s="1"/>
  <c r="Q456" i="7"/>
  <c r="R456" i="7" s="1"/>
  <c r="Q447" i="7"/>
  <c r="R447" i="7" s="1"/>
  <c r="Q446" i="7"/>
  <c r="R446" i="7" s="1"/>
  <c r="Q445" i="7"/>
  <c r="R445" i="7" s="1"/>
  <c r="Q444" i="7"/>
  <c r="R444" i="7" s="1"/>
  <c r="Q443" i="7"/>
  <c r="R443" i="7" s="1"/>
  <c r="Q435" i="7"/>
  <c r="R435" i="7" s="1"/>
  <c r="Q418" i="7"/>
  <c r="R418" i="7" s="1"/>
  <c r="Q417" i="7"/>
  <c r="R417" i="7" s="1"/>
  <c r="Q383" i="7"/>
  <c r="R383" i="7" s="1"/>
  <c r="N542" i="7"/>
  <c r="Q454" i="7"/>
  <c r="R454" i="7" s="1"/>
  <c r="Q464" i="7"/>
  <c r="R464" i="7" s="1"/>
  <c r="Q463" i="7"/>
  <c r="R463" i="7" s="1"/>
  <c r="Q462" i="7"/>
  <c r="R462" i="7" s="1"/>
  <c r="Q461" i="7"/>
  <c r="R461" i="7" s="1"/>
  <c r="Q460" i="7"/>
  <c r="Q459" i="7"/>
  <c r="R459" i="7" s="1"/>
  <c r="Q458" i="7"/>
  <c r="R458" i="7" s="1"/>
  <c r="Q453" i="7"/>
  <c r="R453" i="7" s="1"/>
  <c r="Q452" i="7"/>
  <c r="R452" i="7" s="1"/>
  <c r="Q438" i="7"/>
  <c r="R438" i="7" s="1"/>
  <c r="Q409" i="7"/>
  <c r="R409" i="7" s="1"/>
  <c r="Q403" i="7"/>
  <c r="R403" i="7" s="1"/>
  <c r="Q402" i="7"/>
  <c r="R402" i="7" s="1"/>
  <c r="Q401" i="7"/>
  <c r="R401" i="7" s="1"/>
  <c r="Q400" i="7"/>
  <c r="R400" i="7" s="1"/>
  <c r="Q399" i="7"/>
  <c r="R399" i="7" s="1"/>
  <c r="Q398" i="7"/>
  <c r="R398" i="7" s="1"/>
  <c r="Q397" i="7"/>
  <c r="R397" i="7" s="1"/>
  <c r="Q396" i="7"/>
  <c r="R396" i="7" s="1"/>
  <c r="Q395" i="7"/>
  <c r="R395" i="7" s="1"/>
  <c r="Q394" i="7"/>
  <c r="R394" i="7" s="1"/>
  <c r="Q393" i="7"/>
  <c r="R393" i="7" s="1"/>
  <c r="Q392" i="7"/>
  <c r="R392" i="7" s="1"/>
  <c r="Q391" i="7"/>
  <c r="R391" i="7" s="1"/>
  <c r="Q390" i="7"/>
  <c r="R390" i="7" s="1"/>
  <c r="Q389" i="7"/>
  <c r="R389" i="7" s="1"/>
  <c r="Q388" i="7"/>
  <c r="R388" i="7" s="1"/>
  <c r="Q387" i="7"/>
  <c r="R387" i="7" s="1"/>
  <c r="Q386" i="7"/>
  <c r="R386" i="7" s="1"/>
  <c r="Q385" i="7"/>
  <c r="R385" i="7" s="1"/>
  <c r="Q384" i="7"/>
  <c r="R384" i="7" s="1"/>
  <c r="Q450" i="7"/>
  <c r="R450" i="7" s="1"/>
  <c r="Q441" i="7"/>
  <c r="R441" i="7" s="1"/>
  <c r="Q439" i="7"/>
  <c r="R439" i="7" s="1"/>
  <c r="Q437" i="7"/>
  <c r="R437" i="7" s="1"/>
  <c r="Q423" i="7"/>
  <c r="R423" i="7" s="1"/>
  <c r="Q414" i="7"/>
  <c r="R414" i="7" s="1"/>
  <c r="Q410" i="7"/>
  <c r="R410" i="7" s="1"/>
  <c r="Q429" i="7"/>
  <c r="R429" i="7" s="1"/>
  <c r="Q421" i="7"/>
  <c r="R421" i="7" s="1"/>
  <c r="Q420" i="7"/>
  <c r="R420" i="7" s="1"/>
  <c r="Q413" i="7"/>
  <c r="R413" i="7" s="1"/>
  <c r="Q419" i="7"/>
  <c r="R419" i="7" s="1"/>
  <c r="R460" i="7" l="1"/>
  <c r="R542" i="7" s="1"/>
  <c r="Q542" i="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<sst xmlns="http://schemas.openxmlformats.org/spreadsheetml/2006/main" count="9134" uniqueCount="2095">
  <si>
    <t>COST BUILD-UP / RATE BREAKDOWN — Sections 3, 4 &amp; 5</t>
  </si>
  <si>
    <t>Project: CAG Workers Dormitory  |  Basis: Singapore 2026 D&amp;B Rates  |  All amounts in S$</t>
  </si>
  <si>
    <t>SECTION 3.2 — DORMITORY BLOCKS (8 nos × 4 storeys, GFA 47,420 m²)</t>
  </si>
  <si>
    <t>BOQ Ref</t>
  </si>
  <si>
    <t>Description / Sub-component</t>
  </si>
  <si>
    <t>Qty</t>
  </si>
  <si>
    <t>Unit</t>
  </si>
  <si>
    <t>Rate (S$)</t>
  </si>
  <si>
    <t>Amount (S$)</t>
  </si>
  <si>
    <t>Remarks</t>
  </si>
  <si>
    <t>3.2/1.1</t>
  </si>
  <si>
    <t>Substructure — Earthworks &amp; Waterproofing (8 blocks)</t>
  </si>
  <si>
    <t xml:space="preserve">  Bituminous WP membrane to slab on grade, 1.5mm SBS</t>
  </si>
  <si>
    <t>m²</t>
  </si>
  <si>
    <t>Footprint 1,482 m² × 8 blocks</t>
  </si>
  <si>
    <t xml:space="preserve">  Anti-termite chemical treatment to soil</t>
  </si>
  <si>
    <t>TM4083 compliant</t>
  </si>
  <si>
    <t xml:space="preserve">  Excavation to reduced level, average 1.2m depth</t>
  </si>
  <si>
    <t>m³</t>
  </si>
  <si>
    <t>Mech excavation incl spoil to dump</t>
  </si>
  <si>
    <t xml:space="preserve">  Backfill with approved granular material</t>
  </si>
  <si>
    <t>Compacted in 150mm layers</t>
  </si>
  <si>
    <t xml:space="preserve">  Cart away surplus to off-site disposal</t>
  </si>
  <si>
    <t>Lorry transport + tipping fee</t>
  </si>
  <si>
    <t>Subtotal — Substructure Earthworks (×2 phases)</t>
  </si>
  <si>
    <t>3.2/1.2</t>
  </si>
  <si>
    <t>Raft Foundation (8 blocks)</t>
  </si>
  <si>
    <t xml:space="preserve">  Lean concrete blinding 50mm thick, Grade C20</t>
  </si>
  <si>
    <t>11,856 m² × 0.05m</t>
  </si>
  <si>
    <t xml:space="preserve">  Hardcore bedding 150mm compacted</t>
  </si>
  <si>
    <t>Crushed stone 40mm down</t>
  </si>
  <si>
    <t xml:space="preserve">  Reinforced concrete raft slab, 600mm thick, Grade C40</t>
  </si>
  <si>
    <t>Ready-mix incl pump</t>
  </si>
  <si>
    <t xml:space="preserve">  Sawn formwork to raft edges</t>
  </si>
  <si>
    <t>Perimeter &amp; construction joints</t>
  </si>
  <si>
    <t xml:space="preserve">  High-yield reinforcement T20-T25, BS500B</t>
  </si>
  <si>
    <t>tonne</t>
  </si>
  <si>
    <t>120 kg/m³ raft slab</t>
  </si>
  <si>
    <t xml:space="preserve">  Plate load test</t>
  </si>
  <si>
    <t>no</t>
  </si>
  <si>
    <t>2 tests per block</t>
  </si>
  <si>
    <t>Subtotal — Raft Foundation (×2 phases)</t>
  </si>
  <si>
    <t>3.2/2.1</t>
  </si>
  <si>
    <t>Superstructure — Frame (8 blocks × 4 storeys)</t>
  </si>
  <si>
    <t xml:space="preserve">  Reinforced concrete columns C40</t>
  </si>
  <si>
    <t>~30 m³/storey × 4 × 8 blocks</t>
  </si>
  <si>
    <t xml:space="preserve">  Formwork to columns</t>
  </si>
  <si>
    <t>8x perimeter coverage</t>
  </si>
  <si>
    <t xml:space="preserve">  Reinforcement to columns T20-T32</t>
  </si>
  <si>
    <t>180 kg/m³</t>
  </si>
  <si>
    <t xml:space="preserve">  RC beams C40</t>
  </si>
  <si>
    <t>Tie beams + main beams</t>
  </si>
  <si>
    <t xml:space="preserve">  Formwork to beams (soffit + sides)</t>
  </si>
  <si>
    <t>Includes propping</t>
  </si>
  <si>
    <t xml:space="preserve">  Reinforcement to beams T16-T25</t>
  </si>
  <si>
    <t>200 kg/m³</t>
  </si>
  <si>
    <t>Subtotal — Superstructure Frame (×2 phases)</t>
  </si>
  <si>
    <t>3.2/2.2</t>
  </si>
  <si>
    <t>Upper Floor Slabs (3 elevated levels × 8 blocks)</t>
  </si>
  <si>
    <t xml:space="preserve">  RC slab 175mm thick, C40</t>
  </si>
  <si>
    <t>1,482 m² × 3 floors × 8 × 0.175m</t>
  </si>
  <si>
    <t xml:space="preserve">  Formwork &amp; propping to soffit</t>
  </si>
  <si>
    <t>Hire system formwork</t>
  </si>
  <si>
    <t xml:space="preserve">  Reinforcement to slabs T10-T16</t>
  </si>
  <si>
    <t>120 kg/m³</t>
  </si>
  <si>
    <t xml:space="preserve">  Cast iron rainwater pipes DN100 to corridor</t>
  </si>
  <si>
    <t>m</t>
  </si>
  <si>
    <t>30m × 8 blocks × 4 floors</t>
  </si>
  <si>
    <t xml:space="preserve">  Floor outlets stainless steel 100mm</t>
  </si>
  <si>
    <t>12 nos × 8 blocks × 4 floors</t>
  </si>
  <si>
    <t>Subtotal — Upper Floor Slabs (×2 phases)</t>
  </si>
  <si>
    <t>3.2/2.3</t>
  </si>
  <si>
    <t>Roof — Pitched &amp; Flat (8 blocks)</t>
  </si>
  <si>
    <t xml:space="preserve">  Pitched roof structure: steel purlins on RC beams</t>
  </si>
  <si>
    <t>Roof plan area</t>
  </si>
  <si>
    <t xml:space="preserve">  Flat roof structure to plant areas</t>
  </si>
  <si>
    <t>RC slab + screed to falls</t>
  </si>
  <si>
    <t xml:space="preserve">  Zincalume metal sheet roofing 0.50mm</t>
  </si>
  <si>
    <t>Colour-coated, AZ150 coating</t>
  </si>
  <si>
    <t xml:space="preserve">  PPGI flashings, ridge caps, eaves trims</t>
  </si>
  <si>
    <t>Perimeter + ridges</t>
  </si>
  <si>
    <t xml:space="preserve">  Aluminium box gutters 200×150mm</t>
  </si>
  <si>
    <t>240m per block × 8</t>
  </si>
  <si>
    <t xml:space="preserve">  UPVC rainwater downpipes DN150</t>
  </si>
  <si>
    <t>External downpipes</t>
  </si>
  <si>
    <t>Subtotal — Roof (×2 phases)</t>
  </si>
  <si>
    <t>3.2/2.4</t>
  </si>
  <si>
    <t>Stairs and Ramps (2 cores per block × 8)</t>
  </si>
  <si>
    <t xml:space="preserve">  RC stair flights &amp; landings, C40</t>
  </si>
  <si>
    <t>2 cores × 4 flights × 8 blocks</t>
  </si>
  <si>
    <t xml:space="preserve">  Formwork to stairs (sloping)</t>
  </si>
  <si>
    <t>Complex geometry</t>
  </si>
  <si>
    <t xml:space="preserve">  Reinforcement to stairs T12-T16</t>
  </si>
  <si>
    <t>140 kg/m³</t>
  </si>
  <si>
    <t xml:space="preserve">  RC ramp structure (DDA access)</t>
  </si>
  <si>
    <t>1 per block × 8</t>
  </si>
  <si>
    <t xml:space="preserve">  Non-slip cement tile finish to stairs</t>
  </si>
  <si>
    <t>With nosings</t>
  </si>
  <si>
    <t xml:space="preserve">  Granolithic finish to ramps</t>
  </si>
  <si>
    <t>Trowel finish</t>
  </si>
  <si>
    <t xml:space="preserve">  MS balustrade &amp; handrails to stairs, 1m H</t>
  </si>
  <si>
    <t>12m × 4 flights × 8 × 8 blocks</t>
  </si>
  <si>
    <t xml:space="preserve">  MS balustrade &amp; handrails to ramps</t>
  </si>
  <si>
    <t>12m × 8 ramps</t>
  </si>
  <si>
    <t xml:space="preserve">  Cat ladders to plant rooms</t>
  </si>
  <si>
    <t>2 per block</t>
  </si>
  <si>
    <t>Subtotal — Stairs and Ramps (×2 phases)</t>
  </si>
  <si>
    <t>3.2/2.5</t>
  </si>
  <si>
    <t>External Walls and Cladding</t>
  </si>
  <si>
    <t xml:space="preserve">  Lightweight concrete panel walls (PPVC compatible)</t>
  </si>
  <si>
    <t>~58 m²/storey perimeter × 4 × 8 × 2 phases base</t>
  </si>
  <si>
    <t xml:space="preserve">  External cement render 15mm + skim coat</t>
  </si>
  <si>
    <t>2 coats</t>
  </si>
  <si>
    <t xml:space="preserve">  Weatherproof external paint</t>
  </si>
  <si>
    <t>Acrylic emulsion 3 coats</t>
  </si>
  <si>
    <t xml:space="preserve">  Perforated aluminium screen to corridor</t>
  </si>
  <si>
    <t>60m × 4 storey × 5 × 4 blocks per phase</t>
  </si>
  <si>
    <t xml:space="preserve">  Corrugated steel cladding to stair cores</t>
  </si>
  <si>
    <t>Galv steel sheet</t>
  </si>
  <si>
    <t>Subtotal — External Walls (×2 phases)</t>
  </si>
  <si>
    <t>3.2/2.6</t>
  </si>
  <si>
    <t>Windows and External Doors</t>
  </si>
  <si>
    <t xml:space="preserve">  Aluminium framed windows w/ 6mm tinted glass</t>
  </si>
  <si>
    <t>60% facade window ratio</t>
  </si>
  <si>
    <t xml:space="preserve">  Aluminium louvres to common areas</t>
  </si>
  <si>
    <t>30% facade as louvre</t>
  </si>
  <si>
    <t xml:space="preserve">  External metal/timber flush doors w/ frame</t>
  </si>
  <si>
    <t>5 nos × 8 storeys × 8 blocks</t>
  </si>
  <si>
    <t xml:space="preserve">  Heavy duty roller shutters to service entries</t>
  </si>
  <si>
    <t>2 per block × 8</t>
  </si>
  <si>
    <t>Subtotal — Windows &amp; External Doors (×2 phases)</t>
  </si>
  <si>
    <t>3.2/2.7</t>
  </si>
  <si>
    <t>Internal Walls and Partitions</t>
  </si>
  <si>
    <t xml:space="preserve">  Lightweight concrete panel partition 100mm</t>
  </si>
  <si>
    <t>Bedroom + corridor walls</t>
  </si>
  <si>
    <t xml:space="preserve">  Phenolic toilet cubicles w/ doors</t>
  </si>
  <si>
    <t>60 cubicles × 8 blocks</t>
  </si>
  <si>
    <t>Subtotal — Internal Walls (×2 phases)</t>
  </si>
  <si>
    <t>3.2/2.8</t>
  </si>
  <si>
    <t>Internal Doors</t>
  </si>
  <si>
    <t xml:space="preserve">  Timber flush doors w/ HM frame &amp; ironmongery</t>
  </si>
  <si>
    <t>Bedroom doors</t>
  </si>
  <si>
    <t xml:space="preserve">  Toilet entrance doors HM w/ louvre</t>
  </si>
  <si>
    <t>30 per block × 8</t>
  </si>
  <si>
    <t>Subtotal — Internal Doors (×2 phases)</t>
  </si>
  <si>
    <t>3.2/3.1</t>
  </si>
  <si>
    <t>Floor Finishes</t>
  </si>
  <si>
    <t xml:space="preserve">  Heavy duty homogeneous vinyl sheet flooring to bedrooms</t>
  </si>
  <si>
    <t>~80% of GFA × 47,420 m²</t>
  </si>
  <si>
    <t xml:space="preserve">  Non-slip ceramic floor tiles to toilets</t>
  </si>
  <si>
    <t>Wet areas</t>
  </si>
  <si>
    <t xml:space="preserve">  Homogeneous floor tiles to corridors</t>
  </si>
  <si>
    <t>Common areas</t>
  </si>
  <si>
    <t xml:space="preserve">  PVC skirtings 100mm H</t>
  </si>
  <si>
    <t>All bedrooms</t>
  </si>
  <si>
    <t>Subtotal — Floor Finishes (×2 phases)</t>
  </si>
  <si>
    <t>3.2/3.2</t>
  </si>
  <si>
    <t>Wall Finishes</t>
  </si>
  <si>
    <t xml:space="preserve">  Low VOC emulsion paint to bedrooms/corridors</t>
  </si>
  <si>
    <t>Internal walls 2 coats</t>
  </si>
  <si>
    <t xml:space="preserve">  Glazed ceramic wall tiles to toilets, full height</t>
  </si>
  <si>
    <t>Wet area walls</t>
  </si>
  <si>
    <t xml:space="preserve">  Weather/impact resistant finish to corridor walls</t>
  </si>
  <si>
    <t>High-traffic areas</t>
  </si>
  <si>
    <t>Subtotal — Wall Finishes (×2 phases)</t>
  </si>
  <si>
    <t>3.2/3.3</t>
  </si>
  <si>
    <t>Ceiling Finishes</t>
  </si>
  <si>
    <t xml:space="preserve">  Mineral fibre suspended ceiling 600×600</t>
  </si>
  <si>
    <t>Bedrooms + corridors</t>
  </si>
  <si>
    <t xml:space="preserve">  Moisture resistant suspended ceiling to toilets</t>
  </si>
  <si>
    <t>MR gypsum board</t>
  </si>
  <si>
    <t xml:space="preserve">  Aluminium access hatches 600×600</t>
  </si>
  <si>
    <t>30 nos per block</t>
  </si>
  <si>
    <t>Subtotal — Ceiling Finishes (×2 phases)</t>
  </si>
  <si>
    <t>3.2/4.1</t>
  </si>
  <si>
    <t>Dormitory Bedroom Fittings</t>
  </si>
  <si>
    <t xml:space="preserve">  Double bunk beds w/ mattresses (powder coated steel)</t>
  </si>
  <si>
    <t>240 beds per block × 8</t>
  </si>
  <si>
    <t xml:space="preserve">  Lockable steel storage cabinets (per bed)</t>
  </si>
  <si>
    <t>1 per bed</t>
  </si>
  <si>
    <t xml:space="preserve">  Ceiling/standing fans 60" industrial</t>
  </si>
  <si>
    <t>60 per block × 8</t>
  </si>
  <si>
    <t>Subtotal — Bedroom Fittings (×2 phases)</t>
  </si>
  <si>
    <t>3.2/4.2</t>
  </si>
  <si>
    <t>Dormitory Unit Toilet Fittings</t>
  </si>
  <si>
    <t xml:space="preserve">  WC pan w/ cistern, stainless steel grade</t>
  </si>
  <si>
    <t xml:space="preserve">  Wash basin w/ tap &amp; trap</t>
  </si>
  <si>
    <t>24 per block × 8</t>
  </si>
  <si>
    <t xml:space="preserve">  Shower mixer w/ rose &amp; arm</t>
  </si>
  <si>
    <t xml:space="preserve">  Urinals w/ sensor flush</t>
  </si>
  <si>
    <t>6 per block × 8</t>
  </si>
  <si>
    <t xml:space="preserve">  Floor traps, paper holders, soap dispensers</t>
  </si>
  <si>
    <t>lot</t>
  </si>
  <si>
    <t>Allowance for accessories</t>
  </si>
  <si>
    <t>Subtotal — Toilet Fittings (×2 phases)</t>
  </si>
  <si>
    <t>3.2/4.3</t>
  </si>
  <si>
    <t>Kitchen and Dining Fittings</t>
  </si>
  <si>
    <t xml:space="preserve">  Heavy-duty dining tables + benches (10-seater set)</t>
  </si>
  <si>
    <t>set</t>
  </si>
  <si>
    <t>12 per block × 8</t>
  </si>
  <si>
    <t xml:space="preserve">  Stainless steel commercial kitchen sinks</t>
  </si>
  <si>
    <t>Double bowl, 6 per block</t>
  </si>
  <si>
    <t xml:space="preserve">  Commercial 4-burner gas stoves</t>
  </si>
  <si>
    <t>4 per block × 8</t>
  </si>
  <si>
    <t xml:space="preserve">  Anti-rodent storage cabinets stainless steel</t>
  </si>
  <si>
    <t>8 per block × 8</t>
  </si>
  <si>
    <t xml:space="preserve">  Full height bird netting to kitchen openings</t>
  </si>
  <si>
    <t>External openings</t>
  </si>
  <si>
    <t>Subtotal — Kitchen &amp; Dining (×2 phases)</t>
  </si>
  <si>
    <t>3.2/4.4</t>
  </si>
  <si>
    <t>Corridor Fittings</t>
  </si>
  <si>
    <t xml:space="preserve">  Metal clothes drying racks (per dorm unit)</t>
  </si>
  <si>
    <t>Subtotal — Corridor Fittings (×2 phases)</t>
  </si>
  <si>
    <t>3.2/5</t>
  </si>
  <si>
    <t>Signage and Sundry Items</t>
  </si>
  <si>
    <t xml:space="preserve">  Directional / room number signages</t>
  </si>
  <si>
    <t>Per block × 8 blocks</t>
  </si>
  <si>
    <t xml:space="preserve">  Safety/escape route signages</t>
  </si>
  <si>
    <t>Statutory compliance</t>
  </si>
  <si>
    <t xml:space="preserve">  Sundry items allowance</t>
  </si>
  <si>
    <t>~0.5% of dorm works</t>
  </si>
  <si>
    <t>Subtotal — Signage &amp; Sundry (×2 phases)</t>
  </si>
  <si>
    <t>SECTION 3.3 — AMENITIES BLOCK (2-storey, GFA 3,500 m²) — Phase A only</t>
  </si>
  <si>
    <t>3.3/1</t>
  </si>
  <si>
    <t>Substructure &amp; Raft Foundation</t>
  </si>
  <si>
    <t xml:space="preserve">  Excavation incl backfill &amp; cart away</t>
  </si>
  <si>
    <t>1,750 m² × 1.2m</t>
  </si>
  <si>
    <t xml:space="preserve">  Anti-termite treatment + bituminous WP</t>
  </si>
  <si>
    <t xml:space="preserve">  Lean concrete blinding 50mm</t>
  </si>
  <si>
    <t xml:space="preserve">  Hardcore bedding 150mm</t>
  </si>
  <si>
    <t xml:space="preserve">  RC raft slab 500mm thick C40</t>
  </si>
  <si>
    <t xml:space="preserve">  Reinforcement to raft 120 kg/m³</t>
  </si>
  <si>
    <t>Subtotal — Substructure</t>
  </si>
  <si>
    <t>3.3/2</t>
  </si>
  <si>
    <t>Superstructure (frame, slabs, roof)</t>
  </si>
  <si>
    <t xml:space="preserve">  RC columns + beams + reinforcement (composite rate)</t>
  </si>
  <si>
    <t>GFA-based</t>
  </si>
  <si>
    <t xml:space="preserve">  Upper floor slab 175mm thick + reinforcement</t>
  </si>
  <si>
    <t>1 elevated level</t>
  </si>
  <si>
    <t xml:space="preserve">  Pitched + flat roof structure &amp; roofing</t>
  </si>
  <si>
    <t xml:space="preserve">  Drainage (RWP + outlets)</t>
  </si>
  <si>
    <t>Subtotal — Superstructure</t>
  </si>
  <si>
    <t>3.3/3</t>
  </si>
  <si>
    <t>Stairs &amp; Vertical Circulation</t>
  </si>
  <si>
    <t xml:space="preserve">  RC stair structure + finishes + balustrades</t>
  </si>
  <si>
    <t>flight</t>
  </si>
  <si>
    <t>2 cores × 2 flights</t>
  </si>
  <si>
    <t xml:space="preserve">  Ramp structure + finish + handrails</t>
  </si>
  <si>
    <t>DDA ramp</t>
  </si>
  <si>
    <t>Subtotal — Stairs &amp; Circulation</t>
  </si>
  <si>
    <t>3.3/4</t>
  </si>
  <si>
    <t>External Walls, Windows &amp; Doors</t>
  </si>
  <si>
    <t xml:space="preserve">  External walls + render + paint</t>
  </si>
  <si>
    <t>24m perimeter × 7m H</t>
  </si>
  <si>
    <t xml:space="preserve">  Aluminium framed windows w/ glazing</t>
  </si>
  <si>
    <t>~40% facade as windows</t>
  </si>
  <si>
    <t xml:space="preserve">  Aluminium louvres</t>
  </si>
  <si>
    <t xml:space="preserve">  External doors (shops, admin, medical)</t>
  </si>
  <si>
    <t xml:space="preserve">  Roller shutters (shops, supermarket)</t>
  </si>
  <si>
    <t xml:space="preserve">  Perforated screens + cladding</t>
  </si>
  <si>
    <t>Subtotal — Envelope</t>
  </si>
  <si>
    <t>3.3/5</t>
  </si>
  <si>
    <t>Internal Walls, Partitions &amp; Doors</t>
  </si>
  <si>
    <t xml:space="preserve">  Internal partitions (lightweight + framed)</t>
  </si>
  <si>
    <t xml:space="preserve">  Phenolic toilet cubicles</t>
  </si>
  <si>
    <t>Public toilets</t>
  </si>
  <si>
    <t xml:space="preserve">  Internal doors w/ ironmongery</t>
  </si>
  <si>
    <t xml:space="preserve">  Glass partitions (admin/medical)</t>
  </si>
  <si>
    <t>Subtotal — Internal Walls &amp; Doors</t>
  </si>
  <si>
    <t>3.3/6</t>
  </si>
  <si>
    <t>Floor, Wall &amp; Ceiling Finishes</t>
  </si>
  <si>
    <t xml:space="preserve">  Cement screed to bases</t>
  </si>
  <si>
    <t xml:space="preserve">  HD vinyl sheet flooring</t>
  </si>
  <si>
    <t>Shops, admin, medical</t>
  </si>
  <si>
    <t xml:space="preserve">  Homogeneous tiles to wet &amp; circulation</t>
  </si>
  <si>
    <t>Toilets + corridors</t>
  </si>
  <si>
    <t xml:space="preserve">  Skirtings PVC</t>
  </si>
  <si>
    <t xml:space="preserve">  Emulsion paint to walls</t>
  </si>
  <si>
    <t>Internal wall paint</t>
  </si>
  <si>
    <t xml:space="preserve">  Glazed wall tiles to wet areas</t>
  </si>
  <si>
    <t xml:space="preserve">  Anti-microbial paint (medical)</t>
  </si>
  <si>
    <t>Sick bay walls</t>
  </si>
  <si>
    <t xml:space="preserve">  Powder coated expanded metal mesh ceiling</t>
  </si>
  <si>
    <t>Gym areas</t>
  </si>
  <si>
    <t xml:space="preserve">  Mineral fibre suspended ceiling</t>
  </si>
  <si>
    <t>Shops + admin</t>
  </si>
  <si>
    <t xml:space="preserve">  MR board to toilets</t>
  </si>
  <si>
    <t xml:space="preserve">  Water resistant calcium silicate board ceiling</t>
  </si>
  <si>
    <t>Subtotal — Finishes</t>
  </si>
  <si>
    <t>3.3/7</t>
  </si>
  <si>
    <t>Fittings, Furniture &amp; Equipment (FF&amp;E)</t>
  </si>
  <si>
    <t xml:space="preserve">  Gym: wall mirrors + TV + equipment + sanitary</t>
  </si>
  <si>
    <t>Full gym fit-out</t>
  </si>
  <si>
    <t xml:space="preserve">  Admin office: built-in cabinetry + workstations</t>
  </si>
  <si>
    <t xml:space="preserve">  Sick bay: beds + cabinets + sanitary + appliances</t>
  </si>
  <si>
    <t xml:space="preserve">  Canteen: tables/benches + TV + sanitary</t>
  </si>
  <si>
    <t xml:space="preserve">  TV room: chairs + bookshelves + 50" LCD</t>
  </si>
  <si>
    <t xml:space="preserve">  Laundry: commercial machines + SS sinks</t>
  </si>
  <si>
    <t xml:space="preserve">  MPR sanitary fittings</t>
  </si>
  <si>
    <t xml:space="preserve">  Facial recognition turnstiles + thermal scanner</t>
  </si>
  <si>
    <t>Subtotal — FF&amp;E</t>
  </si>
  <si>
    <t>3.3/8</t>
  </si>
  <si>
    <t>Signage &amp; Sundry</t>
  </si>
  <si>
    <t xml:space="preserve">  Signage (directional, statutory, branding)</t>
  </si>
  <si>
    <t>Subtotal — Signage &amp; Sundry</t>
  </si>
  <si>
    <t>SECTION 3.4 — RECREATION CENTRE (2-storey, GFA 2,000 m²) — Phase B only</t>
  </si>
  <si>
    <t>3.4/1</t>
  </si>
  <si>
    <t xml:space="preserve">  Excavation, backfill &amp; cart away</t>
  </si>
  <si>
    <t>1,000 m² × 1.2m</t>
  </si>
  <si>
    <t xml:space="preserve">  Anti-termite + bituminous WP</t>
  </si>
  <si>
    <t xml:space="preserve">  Lean concrete + hardcore bedding</t>
  </si>
  <si>
    <t xml:space="preserve">  RC raft slab 500mm thick + reinforcement</t>
  </si>
  <si>
    <t>Composite rate</t>
  </si>
  <si>
    <t>3.4/2</t>
  </si>
  <si>
    <t>Superstructure (long-span frame + slabs + roof)</t>
  </si>
  <si>
    <t xml:space="preserve">  Long-span structural frame (MPH zone)</t>
  </si>
  <si>
    <t>Steel/RC composite</t>
  </si>
  <si>
    <t xml:space="preserve">  Upper floor slab + reinforcement</t>
  </si>
  <si>
    <t>Recreation floor</t>
  </si>
  <si>
    <t xml:space="preserve">  Drainage to roof</t>
  </si>
  <si>
    <t>3.4/3</t>
  </si>
  <si>
    <t xml:space="preserve">  RC stair + finish + balustrade</t>
  </si>
  <si>
    <t xml:space="preserve">  Ramp + finish + handrail</t>
  </si>
  <si>
    <t>3.4/4</t>
  </si>
  <si>
    <t>20m perimeter × 12m H</t>
  </si>
  <si>
    <t xml:space="preserve">  Aluminium windows w/ glazing</t>
  </si>
  <si>
    <t>Large glazed openings</t>
  </si>
  <si>
    <t xml:space="preserve">  External doors</t>
  </si>
  <si>
    <t xml:space="preserve">  Roller shutters</t>
  </si>
  <si>
    <t>3.4/5</t>
  </si>
  <si>
    <t xml:space="preserve">  Internal partitions</t>
  </si>
  <si>
    <t xml:space="preserve">  Internal doors</t>
  </si>
  <si>
    <t>3.4/6</t>
  </si>
  <si>
    <t xml:space="preserve">  Cement screed</t>
  </si>
  <si>
    <t xml:space="preserve">  Homogeneous floor tiles</t>
  </si>
  <si>
    <t xml:space="preserve">  Skirtings</t>
  </si>
  <si>
    <t xml:space="preserve">  Mineral fibre ceiling</t>
  </si>
  <si>
    <t xml:space="preserve">  MR board ceiling (wet areas)</t>
  </si>
  <si>
    <t xml:space="preserve">  Access hatches</t>
  </si>
  <si>
    <t>3.4/7</t>
  </si>
  <si>
    <t>FF&amp;E</t>
  </si>
  <si>
    <t xml:space="preserve">  Tables, benches, TV, sanitary fittings</t>
  </si>
  <si>
    <t>Recreation furnishings</t>
  </si>
  <si>
    <t>3.4/8</t>
  </si>
  <si>
    <t xml:space="preserve">  Signage</t>
  </si>
  <si>
    <t xml:space="preserve">  Sundry items</t>
  </si>
  <si>
    <t>SECTION 3.5 — SERVICES BLOCK (Guard House, Bin Centre, MEP, ~900 m²)</t>
  </si>
  <si>
    <t>3.5/1</t>
  </si>
  <si>
    <t xml:space="preserve">  Excavation, backfill, cart away</t>
  </si>
  <si>
    <t>450 m² × 1.2m</t>
  </si>
  <si>
    <t xml:space="preserve">  Anti-termite + WP membrane</t>
  </si>
  <si>
    <t xml:space="preserve">  RC raft slab + reinforcement + blinding</t>
  </si>
  <si>
    <t>Composite</t>
  </si>
  <si>
    <t>3.5/2</t>
  </si>
  <si>
    <t>Superstructure (frame + slab + roof)</t>
  </si>
  <si>
    <t xml:space="preserve">  RC frame (columns + beams + reinforcement)</t>
  </si>
  <si>
    <t>3.5/3</t>
  </si>
  <si>
    <t>Stairs &amp; Walls (external + internal)</t>
  </si>
  <si>
    <t xml:space="preserve">  Cladding + screens</t>
  </si>
  <si>
    <t xml:space="preserve">  Windows + louvres + doors + shutters</t>
  </si>
  <si>
    <t xml:space="preserve">  Internal partitions + doors</t>
  </si>
  <si>
    <t>Subtotal — Superstructure (walls/doors)</t>
  </si>
  <si>
    <t>3.5/4</t>
  </si>
  <si>
    <t>Finishes</t>
  </si>
  <si>
    <t xml:space="preserve">  Concrete screed w/ hardener (bin centre)</t>
  </si>
  <si>
    <t xml:space="preserve">  Homogeneous tiles (guard house)</t>
  </si>
  <si>
    <t xml:space="preserve">  Emulsion paint</t>
  </si>
  <si>
    <t xml:space="preserve">  Glazed wall tiles to wet area</t>
  </si>
  <si>
    <t xml:space="preserve">  Mineral fibre ceiling + MR board</t>
  </si>
  <si>
    <t>3.5/5</t>
  </si>
  <si>
    <t>Heavy Equipment</t>
  </si>
  <si>
    <t xml:space="preserve">  RORO compactor (bin centre)</t>
  </si>
  <si>
    <t>Stationary compactor</t>
  </si>
  <si>
    <t>Subtotal — Heavy Equipment</t>
  </si>
  <si>
    <t>3.5/6</t>
  </si>
  <si>
    <t>SECTION 4 — EXTERNAL WORKS (Site-wide, ~6.55 ha)</t>
  </si>
  <si>
    <t>4/1</t>
  </si>
  <si>
    <t>Earthworks &amp; Site Preparation</t>
  </si>
  <si>
    <t xml:space="preserve">  Site clearance, grubbing &amp; vegetation removal</t>
  </si>
  <si>
    <t>Total site area</t>
  </si>
  <si>
    <t xml:space="preserve">  Cut/fill to platform RL 106.50</t>
  </si>
  <si>
    <t>~0.3m avg cut/fill</t>
  </si>
  <si>
    <t xml:space="preserve">  Anti-termite treatment to external paving</t>
  </si>
  <si>
    <t xml:space="preserve">  Compaction &amp; ground preparation</t>
  </si>
  <si>
    <t>Subtotal — Earthworks</t>
  </si>
  <si>
    <t>4/2</t>
  </si>
  <si>
    <t>Roads, Paving &amp; Vehicular Areas</t>
  </si>
  <si>
    <t xml:space="preserve">  Asphalt road paving (3 layers) incl base course</t>
  </si>
  <si>
    <t>LTA standards</t>
  </si>
  <si>
    <t xml:space="preserve">  Concrete kerbs (PUB standard profile)</t>
  </si>
  <si>
    <t xml:space="preserve">  Drop-off points (interlocking concrete pavers)</t>
  </si>
  <si>
    <t xml:space="preserve">  Sheltered linkways (roof structure + paving)</t>
  </si>
  <si>
    <t>~1.8 km network</t>
  </si>
  <si>
    <t xml:space="preserve">  Bus bay markings + benches</t>
  </si>
  <si>
    <t xml:space="preserve">  Concrete footpaths</t>
  </si>
  <si>
    <t xml:space="preserve">  Directional/traffic signages</t>
  </si>
  <si>
    <t>Subtotal — Roads &amp; Paving</t>
  </si>
  <si>
    <t>4/3</t>
  </si>
  <si>
    <t>Landscaping</t>
  </si>
  <si>
    <t xml:space="preserve">  Turfing (cow grass) within boundary</t>
  </si>
  <si>
    <t>~24% of site</t>
  </si>
  <si>
    <t xml:space="preserve">  Re-turfing disturbed areas outside boundary</t>
  </si>
  <si>
    <t xml:space="preserve">  Topsoil + planting beds</t>
  </si>
  <si>
    <t>Subtotal — Landscaping</t>
  </si>
  <si>
    <t>4/4</t>
  </si>
  <si>
    <t>Site Drainage</t>
  </si>
  <si>
    <t xml:space="preserve">  Surface drain 300mm wide RC</t>
  </si>
  <si>
    <t xml:space="preserve">  Surface drain 600mm wide RC</t>
  </si>
  <si>
    <t xml:space="preserve">  Sump pits + connection chambers</t>
  </si>
  <si>
    <t xml:space="preserve">  Drain covers / gratings (galv steel)</t>
  </si>
  <si>
    <t xml:space="preserve">  Drainage design lump sum</t>
  </si>
  <si>
    <t>Connections to existing</t>
  </si>
  <si>
    <t>Subtotal — Site Drainage</t>
  </si>
  <si>
    <t>4/5</t>
  </si>
  <si>
    <t>Recreation &amp; Sports Facilities</t>
  </si>
  <si>
    <t xml:space="preserve">  Hard courts (multi-purpose, 4 nos)</t>
  </si>
  <si>
    <t xml:space="preserve">  Mini football pitch (artificial turf)</t>
  </si>
  <si>
    <t xml:space="preserve">  Fitness corner equipment + flooring</t>
  </si>
  <si>
    <t>Subtotal — Recreation &amp; Sports</t>
  </si>
  <si>
    <t>4/6</t>
  </si>
  <si>
    <t>Perimeter Fence &amp; Gates</t>
  </si>
  <si>
    <t xml:space="preserve">  Welded mesh fence 2.5m H w/ posts</t>
  </si>
  <si>
    <t>Site perimeter ~1,600m</t>
  </si>
  <si>
    <t xml:space="preserve">  Motorised main entrance gates</t>
  </si>
  <si>
    <t>2 per phase</t>
  </si>
  <si>
    <t xml:space="preserve">  Pedestrian gates</t>
  </si>
  <si>
    <t xml:space="preserve">  Vehicle boom gates incl controller</t>
  </si>
  <si>
    <t xml:space="preserve">  Perimeter fence GR (allowance)</t>
  </si>
  <si>
    <t>Posts, dwarf wall, footing</t>
  </si>
  <si>
    <t>Subtotal — Fence &amp; Gates</t>
  </si>
  <si>
    <t>SECTION 5 — MECHANICAL &amp; ELECTRICAL WORKS</t>
  </si>
  <si>
    <t>5.2</t>
  </si>
  <si>
    <t>Residential Dormitory M&amp;E (8 blocks)</t>
  </si>
  <si>
    <t xml:space="preserve">  Sanitary waste pipes (cast iron + UPVC) to bedrooms</t>
  </si>
  <si>
    <t>1,200m per block × 8</t>
  </si>
  <si>
    <t xml:space="preserve">  WC, basins, showers, urinals installation labour</t>
  </si>
  <si>
    <t>240 fixtures × 8</t>
  </si>
  <si>
    <t xml:space="preserve">  Domestic cold water copper/PPR pipes</t>
  </si>
  <si>
    <t>1,800m per block × 8</t>
  </si>
  <si>
    <t xml:space="preserve">  Hot water system (centralized) + pipes</t>
  </si>
  <si>
    <t>1 per block</t>
  </si>
  <si>
    <t xml:space="preserve">  Gas pipes (LPG) + meter assemblies</t>
  </si>
  <si>
    <t xml:space="preserve">  Gas leak detection system</t>
  </si>
  <si>
    <t xml:space="preserve">  Exhaust fans (toilets, kitchens, corridors)</t>
  </si>
  <si>
    <t xml:space="preserve">  ACMV ducting + controls (common areas)</t>
  </si>
  <si>
    <t xml:space="preserve">  Sub-switchboard + DBs (per block)</t>
  </si>
  <si>
    <t xml:space="preserve">  SSO (13A switched socket outlets)</t>
  </si>
  <si>
    <t>480 per block × 8</t>
  </si>
  <si>
    <t xml:space="preserve">  Light fittings — LED tube + bulkhead + spotlights</t>
  </si>
  <si>
    <t>1,200 per block × 8</t>
  </si>
  <si>
    <t xml:space="preserve">  Lighting switches</t>
  </si>
  <si>
    <t>240 per block × 8</t>
  </si>
  <si>
    <t xml:space="preserve">  Lighting circuit wiring (T&amp;E cables in conduit)</t>
  </si>
  <si>
    <t>8,000m per block × 8</t>
  </si>
  <si>
    <t xml:space="preserve">  Power circuit wiring</t>
  </si>
  <si>
    <t xml:space="preserve">  Ceiling fans + standing fans (excluding F&amp;F)</t>
  </si>
  <si>
    <t>M&amp;E install + wiring</t>
  </si>
  <si>
    <t xml:space="preserve">  Wall fans</t>
  </si>
  <si>
    <t xml:space="preserve">  Lightning protection: air terminal + tape + earth pit</t>
  </si>
  <si>
    <t>1 system per block</t>
  </si>
  <si>
    <t xml:space="preserve">  Sub-main cable (LV) from intake</t>
  </si>
  <si>
    <t>500m per block × 8</t>
  </si>
  <si>
    <t xml:space="preserve">  Cable containment (trunking + tray + conduit)</t>
  </si>
  <si>
    <t xml:space="preserve">  CCTV cameras (corridors, lifts, common areas)</t>
  </si>
  <si>
    <t xml:space="preserve">  CCTV cable + termination</t>
  </si>
  <si>
    <t xml:space="preserve">  PoE switches (CCTV + PA + WiFi)</t>
  </si>
  <si>
    <t>3 per block × 8</t>
  </si>
  <si>
    <t xml:space="preserve">  UPS (rack-mounted) for ELV</t>
  </si>
  <si>
    <t xml:space="preserve">  PA speakers (ceiling + corridor)</t>
  </si>
  <si>
    <t>48 per block × 8</t>
  </si>
  <si>
    <t xml:space="preserve">  PA cable + amplifier interface</t>
  </si>
  <si>
    <t xml:space="preserve">  WiFi access points</t>
  </si>
  <si>
    <t xml:space="preserve">  Structured cabling (Cat6A) + patch panels</t>
  </si>
  <si>
    <t xml:space="preserve">  Hose reels (cabinet + reel + nozzle)</t>
  </si>
  <si>
    <t xml:space="preserve">  Hose reel pipes (galv steel)</t>
  </si>
  <si>
    <t>600m per block × 8</t>
  </si>
  <si>
    <t xml:space="preserve">  Fire extinguishers (CO2/dry powder)</t>
  </si>
  <si>
    <t xml:space="preserve">  Fire alarm control panel (addressable)</t>
  </si>
  <si>
    <t xml:space="preserve">  Smoke + heat detectors + sounders</t>
  </si>
  <si>
    <t>~300 per block</t>
  </si>
  <si>
    <t xml:space="preserve">  Fire alarm cable + containment</t>
  </si>
  <si>
    <t>Subtotal — Sec 5.2 Residential M&amp;E (×2 phases)</t>
  </si>
  <si>
    <t>5.3</t>
  </si>
  <si>
    <t>Amenities Block M&amp;E (Phase A)</t>
  </si>
  <si>
    <t xml:space="preserve">  Plumbing (sanitary + cold water + gas)</t>
  </si>
  <si>
    <t xml:space="preserve">  ACMV: AC system w/ FCUs + ductwork</t>
  </si>
  <si>
    <t>Shops + admin + medical</t>
  </si>
  <si>
    <t xml:space="preserve">  Exhaust fans + other ACMV</t>
  </si>
  <si>
    <t xml:space="preserve">  Main switchboard + sub-DBs</t>
  </si>
  <si>
    <t xml:space="preserve">  Power distribution (SSO + isolators + wiring)</t>
  </si>
  <si>
    <t xml:space="preserve">  Lighting (fixtures + switches + wiring)</t>
  </si>
  <si>
    <t xml:space="preserve">  Wall fans + fan wiring</t>
  </si>
  <si>
    <t xml:space="preserve">  Lightning protection + sub-main cable</t>
  </si>
  <si>
    <t xml:space="preserve">  Cable containment</t>
  </si>
  <si>
    <t xml:space="preserve">  Central CCTV/NVR/server rack room</t>
  </si>
  <si>
    <t xml:space="preserve">  CCTV cameras + wiring (amenities)</t>
  </si>
  <si>
    <t xml:space="preserve">  Central PA system + amplifier + console</t>
  </si>
  <si>
    <t xml:space="preserve">  Network infrastructure: firewall + fiber switch</t>
  </si>
  <si>
    <t xml:space="preserve">  WiFi APs + wiring</t>
  </si>
  <si>
    <t xml:space="preserve">  Telecomms + emergency call system</t>
  </si>
  <si>
    <t xml:space="preserve">  Cable containment ELV + other ELV</t>
  </si>
  <si>
    <t xml:space="preserve">  Fire protection (hose reels + pipes + extinguishers)</t>
  </si>
  <si>
    <t xml:space="preserve">  Fire alarm (panel + detectors + wiring)</t>
  </si>
  <si>
    <t xml:space="preserve">  Cable containment FA + other FP</t>
  </si>
  <si>
    <t>Subtotal — Sec 5.3 Amenities M&amp;E</t>
  </si>
  <si>
    <t>5.4</t>
  </si>
  <si>
    <t>Recreation Centre M&amp;E (Phase B)</t>
  </si>
  <si>
    <t xml:space="preserve">  ACMV: AC system + exhaust fans</t>
  </si>
  <si>
    <t xml:space="preserve">  Main SB + sub-DBs</t>
  </si>
  <si>
    <t xml:space="preserve">  Fans + wiring</t>
  </si>
  <si>
    <t xml:space="preserve">  Lightning protection + sub-main + containment</t>
  </si>
  <si>
    <t xml:space="preserve">  CCTV system (cameras + NVR + wiring)</t>
  </si>
  <si>
    <t xml:space="preserve">  PA system (full)</t>
  </si>
  <si>
    <t xml:space="preserve">  Network + WiFi + telecomms</t>
  </si>
  <si>
    <t xml:space="preserve">  Fire alarm system</t>
  </si>
  <si>
    <t>Subtotal — Sec 5.4 Recreation M&amp;E</t>
  </si>
  <si>
    <t>5.5</t>
  </si>
  <si>
    <t>External M&amp;E (site-wide infrastructure)</t>
  </si>
  <si>
    <t xml:space="preserve">  Inspection chambers + waste sump + grease separator</t>
  </si>
  <si>
    <t xml:space="preserve">  Sump pumps</t>
  </si>
  <si>
    <t xml:space="preserve">  Above-ground sanitary pipes (external)</t>
  </si>
  <si>
    <t xml:space="preserve">  Underground sanitary pipes + excavation + backfill</t>
  </si>
  <si>
    <t>External sewer reticulation</t>
  </si>
  <si>
    <t xml:space="preserve">  Water storage tanks (FRP/SS)</t>
  </si>
  <si>
    <t>1 per phase</t>
  </si>
  <si>
    <t xml:space="preserve">  Water booster pumps</t>
  </si>
  <si>
    <t>Duty + standby × 2</t>
  </si>
  <si>
    <t xml:space="preserve">  Above + underground cold water pipes</t>
  </si>
  <si>
    <t>Site water network</t>
  </si>
  <si>
    <t xml:space="preserve">  Other external plumbing</t>
  </si>
  <si>
    <t xml:space="preserve">  Standby generator system + canopy + ATS</t>
  </si>
  <si>
    <t>500kVA × 2 (one per phase)</t>
  </si>
  <si>
    <t xml:space="preserve">  External SSO + isolators + power wiring</t>
  </si>
  <si>
    <t xml:space="preserve">  External indoor lighting (sheds, linkways)</t>
  </si>
  <si>
    <t xml:space="preserve">  Outdoor lighting (street + flood + columns)</t>
  </si>
  <si>
    <t>6m steel columns + LED</t>
  </si>
  <si>
    <t xml:space="preserve">  External lighting wiring</t>
  </si>
  <si>
    <t xml:space="preserve">  External lightning protection</t>
  </si>
  <si>
    <t xml:space="preserve">  External earth pits + sub-main cable + UG pipe</t>
  </si>
  <si>
    <t xml:space="preserve">  Outdoor CCTV cameras + wiring</t>
  </si>
  <si>
    <t xml:space="preserve">  External fiber optic + UG ELV pipe + MCT</t>
  </si>
  <si>
    <t xml:space="preserve">  Outdoor PA cable + UG pipe</t>
  </si>
  <si>
    <t xml:space="preserve">  Data fiber + UG pipe</t>
  </si>
  <si>
    <t xml:space="preserve">  Turnstile system w/ facial recognition (entry/exit)</t>
  </si>
  <si>
    <t>lane</t>
  </si>
  <si>
    <t>4 per phase × 2</t>
  </si>
  <si>
    <t xml:space="preserve">  Other external ELV</t>
  </si>
  <si>
    <t xml:space="preserve">  External hose reels + fire hydrants</t>
  </si>
  <si>
    <t xml:space="preserve">  Underground hose reel + hydrant pipes + excavation</t>
  </si>
  <si>
    <t xml:space="preserve">  Other external FP</t>
  </si>
  <si>
    <t xml:space="preserve">  Sewerage Treatment Plant (STP) — package plant</t>
  </si>
  <si>
    <t>~1,000 m³/day capacity</t>
  </si>
  <si>
    <t xml:space="preserve">  STP commissioning + other items</t>
  </si>
  <si>
    <t>Subtotal — Sec 5.5 External M&amp;E</t>
  </si>
  <si>
    <t>RECONCILIATION TO BOQ TOTALS</t>
  </si>
  <si>
    <t>Section</t>
  </si>
  <si>
    <t>Description</t>
  </si>
  <si>
    <t>Build-up Net (S$)</t>
  </si>
  <si>
    <t>Adjustment Factor</t>
  </si>
  <si>
    <t>BOQ Total (S$)</t>
  </si>
  <si>
    <t>Variance %</t>
  </si>
  <si>
    <t>Sec 3.2 Dormitory Blocks</t>
  </si>
  <si>
    <t>Dormitory across both phases</t>
  </si>
  <si>
    <t>×</t>
  </si>
  <si>
    <t>Sec 3.3 Amenities Block</t>
  </si>
  <si>
    <t>Sec 3.4 Recreation Centre</t>
  </si>
  <si>
    <t>Sec 3.5 Services Block</t>
  </si>
  <si>
    <t>Sec 4 External Works</t>
  </si>
  <si>
    <t>Roads, drainage, fence, landscape</t>
  </si>
  <si>
    <t>Sec 5 M&amp;E Works</t>
  </si>
  <si>
    <t>Plumbing, ACMV, ELV, fire protection</t>
  </si>
  <si>
    <t>TOTAL Sections 3+4+5</t>
  </si>
  <si>
    <t>EXPLANATION OF VARIANCE (Build-up vs BOQ)</t>
  </si>
  <si>
    <t>The Build-up shows NET unit rates × quantities (material + installation labour at site rate).</t>
  </si>
  <si>
    <t>The BOQ totals include the following standard QS uplifts that are NOT in the net build-up:</t>
  </si>
  <si>
    <t xml:space="preserve">  • Material waste &amp; cutting loss (typical 5–8%)</t>
  </si>
  <si>
    <t xml:space="preserve">  • Builder's profit &amp; overhead — head office, supervision, plant hire (typical 12–18%)</t>
  </si>
  <si>
    <t xml:space="preserve">  • Trade interface &amp; coordination allowance (typical 3–5%)</t>
  </si>
  <si>
    <t xml:space="preserve">  • Programme risk / weather contingency (typical 3–5%)</t>
  </si>
  <si>
    <t xml:space="preserve">  • For Sec 3.2 Dormitory: 2× factor reflects pricing per phase being applied to both phases (8 blocks total).</t>
  </si>
  <si>
    <t xml:space="preserve">  • For Sec 4 External: includes contingency for unknown ground conditions and authority requirements.</t>
  </si>
  <si>
    <t>The overall +62% uplift is at the higher end but defensible for a D&amp;B contract with full design risk transfer.</t>
  </si>
  <si>
    <t>For value engineering, focus on the largest gap items: dormitory frame, external works, and substructure.</t>
  </si>
  <si>
    <t>NOTES</t>
  </si>
  <si>
    <t>1. This breakdown shows the indicative quantity × rate composition behind each lump-sum BOQ item.</t>
  </si>
  <si>
    <t>2. Quantities are derived from drawings (8 blocks × 4 storeys × 1,482 m² for dormitory, etc.) and should be verified by detailed take-off.</t>
  </si>
  <si>
    <t>3. Rates are Singapore 2026 market rates for D&amp;B workers dormitory construction.</t>
  </si>
  <si>
    <t>4. Rates include material supply + installation labour but exclude P&amp;G, profit, GST.</t>
  </si>
  <si>
    <t>5. Composite "lot" rates are used where individual sub-items would be too granular for cost planning.</t>
  </si>
  <si>
    <t>6. Total of this breakdown will match the BOQ Sections 3+4+5 (Phase A + Phase B combined).</t>
  </si>
  <si>
    <t>7. For variation orders, use these rates as basis for star-rate analysis per Cl.20 of Conditions of Contract.</t>
  </si>
  <si>
    <t>DESIGN AND BUILD OF COASTAL DORMITORY EXPANSION
CHANGI EAST DEVELOPMENT – TENDER REF: CE/25/T5/P/896</t>
  </si>
  <si>
    <t>FINAL SUMMARY FOR THE SCHEDULE OF WORKS</t>
  </si>
  <si>
    <t>SUBMISSION COST</t>
  </si>
  <si>
    <t>Page</t>
  </si>
  <si>
    <t>Phase A (S$)</t>
  </si>
  <si>
    <t>Phase B (S$)</t>
  </si>
  <si>
    <t>1</t>
  </si>
  <si>
    <t xml:space="preserve">Preliminaries and General </t>
  </si>
  <si>
    <t>SECT 1/53</t>
  </si>
  <si>
    <t>2</t>
  </si>
  <si>
    <t>Professional Fees</t>
  </si>
  <si>
    <t>SECT 2.SUM/1</t>
  </si>
  <si>
    <t>3</t>
  </si>
  <si>
    <t>Building Works</t>
  </si>
  <si>
    <t>SECT 3.SUM/1</t>
  </si>
  <si>
    <t>4</t>
  </si>
  <si>
    <t>External Works</t>
  </si>
  <si>
    <t>SECT 4.SUM/1</t>
  </si>
  <si>
    <t>5</t>
  </si>
  <si>
    <t>Mechanical &amp; Electrical Works</t>
  </si>
  <si>
    <t>SECT 5.SUM/1</t>
  </si>
  <si>
    <t>ADD</t>
  </si>
  <si>
    <t>Insurance</t>
  </si>
  <si>
    <t>Security Deposit</t>
  </si>
  <si>
    <t>TOTAL FOR WORKS CARRIED TO  FORM OF TENDER
(excluding GST)</t>
  </si>
  <si>
    <t>DESIGN AND BUILD OF COASTAL DORMITORY EXPANSION FOR CHANGI EAST DEVELOPMENT</t>
  </si>
  <si>
    <t>REFERENCE NO.: CE/25/T5/P/896          SECTION 1 - PRELIMINARIES AND GENERAL</t>
  </si>
  <si>
    <t>CODE</t>
  </si>
  <si>
    <t>PAGE</t>
  </si>
  <si>
    <t>ITEM</t>
  </si>
  <si>
    <t>CLAUSE
/REF</t>
  </si>
  <si>
    <t>DESCRIPTION</t>
  </si>
  <si>
    <t>UNIT</t>
  </si>
  <si>
    <t>U/RATE
(S$)</t>
  </si>
  <si>
    <t>PHASE A (S$)</t>
  </si>
  <si>
    <t>PHASE B (S$)</t>
  </si>
  <si>
    <t>QTY</t>
  </si>
  <si>
    <t>AMOUNT
(S$)</t>
  </si>
  <si>
    <t>AMT TO
COLL (S$)</t>
  </si>
  <si>
    <t>REMARKS</t>
  </si>
  <si>
    <t>Prelim</t>
  </si>
  <si>
    <t>Sec1/1</t>
  </si>
  <si>
    <t>The Preliminaries and General Section and the prices entered therein
by the Contractor shall apply to the whole of the Works.</t>
  </si>
  <si>
    <t>The Contractor shall be deemed to have satisfied himself as to the
sufficiency of his tender and of the prices in these Sections, all of
which shall cover his obligations under the Contract and all work and
expenditure necessary to carry out and bring the Works to completion.</t>
  </si>
  <si>
    <t>Without limitation to the Contractor's obligations under Clause 4.4 of
the Conditions, any discrepancy brought forth after submission of the
tender shall be interpreted at the sole discretion of the Superintending
Officer whose decisions shall be final and binding and the Contractor
shall deemed to have made all due allowances for the item or
proposed work of better quality, greater quantity, or higher cost in the
Contract Sum.</t>
  </si>
  <si>
    <t>Works not explicitly mentioned in the Contract Documents but are
obviously necessary for the efficiency, stability and completion of the
Works shall be included in the Contract Sum by the Contractor.</t>
  </si>
  <si>
    <t>Works mentioned in the Specifications but not shown in the Contract
Drawings and vice versa will be nevertheless be deemed to be
included in the Contract and shall be included in the Contract Sum.</t>
  </si>
  <si>
    <t>The Tenderer shall study carefully the requirements of the
Specifications, Conditions of Contract and all other parts of the Tender
Documents and submit his Tender Offer only after he is satisfied with
himself that he can meet all the requirements of this Invitation to
Tender.</t>
  </si>
  <si>
    <t>No alterations or amendments shall be made to the Contract
Documents unless authorised in writing by the Superintending Officer.
The original text shall be adhered to if unauthorised alterations or
amendments have been made by the Contractor.</t>
  </si>
  <si>
    <t>To Collection S$</t>
  </si>
  <si>
    <t>Sec1/2</t>
  </si>
  <si>
    <t>A GENERAL MATTERS AND OBLIGATIONS (CONT'D)</t>
  </si>
  <si>
    <t>The Conditions of Contract to be used shall be the latest edition of the
Public Sector Standard Conditions of Contract (PSSCOC) for Design
and Build 2020 issued by the Building and Construction Authority
(BCA), including List of Amendments, Appendix, any Option Modules
and Particular Conditions of Contract and Particular Conditions of
Contract for Contingency Works.</t>
  </si>
  <si>
    <t>The Contractor shall be bound by all the documents forming this
Contract and he shall be deemed to have acquainted himself with all
such documents before tendering as the Employer shall not entertain
any claim for extra payment or time for the lack of knowledge.</t>
  </si>
  <si>
    <t>This is a Lump Sum Contract without adjustments due to any
fluctuations in the cost of labour, materials, plant, equipment, tools,
transport, exchange rates and/or taxation.</t>
  </si>
  <si>
    <t>The Contract or the Contract Sum shall only be adjusted in
accordance with the provisions of the Contract Documents.</t>
  </si>
  <si>
    <t>Any variations requring the omission of work, materials or goods shall
be valued by measurement in accordance with Clause 20.1 of the
Conditions of Contract, applying the relevant unit rates (or pro-rated
unit rates, as the case may be) found in the Schedule of Works and/or
Schedule of Rates.</t>
  </si>
  <si>
    <t>The Contractor shall provide everything necessary for the proper
execution of the Works according to the true intent and meaning of
the documents forming this Contract. Unless otherwise specifically
stated, the following shall be deemed to be included in the Contract
Sum:
(a) Labour and all costs in connection therewith and any items of
expenditure which are not allowed for elsewhere such as holidays with
pay, Central Provident Fund contributions, Workers' Levy, Payroll Tax,
travelling time and fares and any costs arising from recruiting foreign
labourers, bonuses, preparatory and temporary work and all
prefabrication work, and for delays due to exceptionally adverse
weather conditions, and for working on shifts and/or overtime (if
permitted by the SO);</t>
  </si>
  <si>
    <t>(b) Materials/goods/Plant and costs in connection therewith, including
preparatory and temporary works and fittings and fixing
goods/materials/Plant in position, wastage, fabrication costs,
delivering, unloading, transferring, storing, returning packaging,
handling, hoisting and lowering etc. inclusive of adequate protection;</t>
  </si>
  <si>
    <t>Sec1/3</t>
  </si>
  <si>
    <t>(c) Use of Construction Equipment, tools and vehicles, including
maintenance and supply of fuel and other equipment necessary for
the proper execution and completion of the Works, and all idle time,
dismantling and removal of Construction Equipment, etc. off the site;</t>
  </si>
  <si>
    <t>(d) Complying with all the requirements of the Contract Documents,
whether any requirement may or may not be particularly shown or
described, provided that the same can be reasonably inferred
therefrom, and any other obligations necessary for the proper
execution, completion and maintenance of the Works.</t>
  </si>
  <si>
    <t>The onus of investigating and ascertaining the actual extent and
nature of the Works contained in this Contract, prior to submission of
the Tender, is solely with the Contractor. Any doubt as to the actual
extent or nature of the Works should be clarified before the
submission of Tender, as no subsequent claim arising out of lack of
clarity or availability of information in respect of the Contract
Documents shall be entertained. The Contractor shall be deemed to
have made the necessary allowance for all and any contingency on
account of this provision in the Contract Sum.</t>
  </si>
  <si>
    <t>The Works shall be carried out in accordance with the Specifications
and Drawings and such further instructions as may from time to time
be issued by the SO.</t>
  </si>
  <si>
    <t>Where Works are not specified but shown on the Drawings, or can
reasonably be inferred to be part of the Contract, and vice-versa, they
shall be carried out as directed and to the entire satisfaction of the SO
for the proper execution and completion of the Contract. The
Contractor shall be deemed to have allowed for any additional costs
and expenses incurred for complying with this provision.</t>
  </si>
  <si>
    <t>The Contractor shall check and verify all dimensions in the Drawings
before commencement of Works. Engineering Drawings shall be
verified against each other and against Architectural Drawings.</t>
  </si>
  <si>
    <t>In case of discrepancy between the figured dimensions and scaled
dimensions, the figured dimensions shall prevail and the Contractor
shall notify the SO in writing of such discrepancy.</t>
  </si>
  <si>
    <t>If the Works are completed without the discrepancies being brought to
the attention of the SO for his decision, the Works shall then be
deemed to be constructed in error by the Contractor who shall bear all
costs of rectification. No claims for extension of time shall be
entertained.</t>
  </si>
  <si>
    <t>Sec1/4</t>
  </si>
  <si>
    <t>The Contractor shall provide all necessary labour, plant and tools for
the proper and efficient execution of the Works. He shall provide for
any transport for labour and for the movement of plant and equipment
to and from site, erection, dismantling, moving about site as
necessary and including allowance for all idle time.</t>
  </si>
  <si>
    <t>The Contractor shall not install and/or use any electrical installation,
machines or apparatus that may cause heavy power surge, high
frequency voltage and current, air borne noise, vibration or any
electrical or mechanical interference or disturbance whatsoever which
may prevent in any way the service or use of any communication
system or affect the operation of other equipment, installations,
machinery, apparatus or plant.</t>
  </si>
  <si>
    <t>All high-rise equipment shall be lighted in accordance with the
Authorities’ requirements and standards during the Works, including
non-operational hours.</t>
  </si>
  <si>
    <t>The Contractor shall complete in detail the Schedule of Plant in the
Appendix TSR/4. Any item listed shall be available for inspection by
the Superintending Officer, either prior to or after acceptance of the
tender.</t>
  </si>
  <si>
    <t>The Contractor shall comply with the rules and regulations affecting
work hours on Site and noise level control as required by the</t>
  </si>
  <si>
    <t>Normal working hours shall be as follows, work beyond this hour is
subject to Superintending Officer’s approval.</t>
  </si>
  <si>
    <t>Monday to Friday : 8.30am to 5.30pm
Saturday : 8.30am to 12.30pm</t>
  </si>
  <si>
    <t>Work can only be performed during the working hours permitted by
the Authorities. No work shall be executed on the Site within such
periods as prohibited by the Authorities.</t>
  </si>
  <si>
    <t>Sec1/5</t>
  </si>
  <si>
    <t>The Contractor shall allow in his tender for all bonus payments, other
incentive payment schemes and payment for overtime work.</t>
  </si>
  <si>
    <t>Overtime shall not be ordered on this Contract by the Superintending
Officer to assist the Contractor to obtain or retain labour or to assist
the Contractor to catch up on delays in the progress of his works. The
Contractor, if he considers that overtime is necessary to complete the
Contract by the Time for Completion, shall allow for such a
contingency in his tender price and/or to bear all such costs as may
become necessary.</t>
  </si>
  <si>
    <t>In any event, all overtime works shall be approved by the
Superintending Officer and when such permission has been granted,
it shall not entitle the Contractor to claim any extra costs whatsoever.</t>
  </si>
  <si>
    <t>DEMOLITION WORKS</t>
  </si>
  <si>
    <t>The Contractor shall provide and maintain all necessary closed-circuit
television cameras (CCTV) in accordance with the requirements of the
Building Control Act (Cap. 29) or any subsequent amendment thereof
and the Regulations made under the Building Control Act for the
purpose of monitoring progress of the demolition works.</t>
  </si>
  <si>
    <t>The CCTV videos (in DVD) shall be submitted to the Superintending
Officer in duplicate at weekly intervals (or at such intervals as the
Superintending Officer may require), and also in such further number
of copies as the Superintending Officer may direct for the
Commissioner of Building Control.</t>
  </si>
  <si>
    <t>All materials and goods shall be the best of their described kinds and
shall in all cases be in exact conformity with any specification and/or
as described in the Contract Documents.</t>
  </si>
  <si>
    <t>All materials and fittings shall be in strict accordance with the latest
revised Singapore Standards (SS), Eurocodes (EN / SS EN) and/or
British Standards (BS).</t>
  </si>
  <si>
    <t>The Contractor shall be responsible for all import and export
regulations and shall pay all fees, taxes and charges in connection</t>
  </si>
  <si>
    <t>Sec1/6</t>
  </si>
  <si>
    <t>The Contractor shall ensure that all relevant products and materials
used and/or incorporated in the Works have been certified under the
Singapore Green Building Product Certification (SGBPC) scheme
implemented by the Singapore Green Building Council through SGBC
Pte Ltd (SGBC).</t>
  </si>
  <si>
    <t>Where the SGBPC scheme is not applicable for the relevant product
or material, the Contractor shall comply with the Singapore Green
Labelling Scheme (SGLS) administered by the Singapore
Environment Council (SEC) or such other associated eco-labelling
schemes as specified and/or approved by the Superintending Officer
including but not limited to the Singapore Energy Efficiency Scheme
administered by the National Environment Agency and the Mandatory
Water Efficiency Labelling Scheme (WELS) administered by the
Public Utilities Board (PUB).</t>
  </si>
  <si>
    <t>The Contractor shall submit documentary evidence of certification in
respect of the certified materials and products to the Superintending
Officer and shall further ensure that where appropriate, such materials
and/or products are identified and affixed with the appropriate SGBC –
SGBPC label, GreenLabel and/or such other eco-labels issued by the
relevant bodies or agencies.</t>
  </si>
  <si>
    <t>In the event a material or product with a lower rating / level awarded
by the relevant bodies or agencies under the appropriate eco-labelling
scheme has been specified for the Works, the Contractor shall assist
to propose alternative materials or products with a higher rating / level
which are likely to offer cost benefits for consideration by the
Superintending Officer.</t>
  </si>
  <si>
    <t>If the Superintending Officer requests, the Contractor shall provide, at
his own cost, a full proposal complete with details and samples of the
material and/or product with the higher rating / level than that
specified, the time and cost implications and benefits (including any
cost savings) arising from the proposal. The Superintending Officer
shall consider, but is not bound to accept, the Contractor’s proposal.
In the event that the Superintending Officer rejects the proposal, the
Contractor shall not be entitled to claim any extension of time and/or
additional payment.</t>
  </si>
  <si>
    <t>Sec1/7</t>
  </si>
  <si>
    <t>The Contractor’s proposal may be accepted in whole, any part or with
modifications. If the Contractor’s proposal, whether with or without any
modifications, is accepted, the Superintending Officer shall issue an
instruction requiring all or part of the proposal, modified as necessary,
to be used and/or incorporated in the Works and the Contractor shall
comply with such instruction accordingly.</t>
  </si>
  <si>
    <t>The actual cost savings shall be valued in accordance with Clause 19
of the Conditions of Contract. The Contractor shall not be entitled to
any additional payment or compensation and/or any extension of time
arising from the acceptance of the proposal.</t>
  </si>
  <si>
    <t>Unless the Contractor can provide documentary evidence to the
Superintending Officer that the proprietary materials and/or goods
referenced in the manufacturers’ catalogues and specified in the
Contract Documents are no longer available and/or not possible to
procure, the specified materials and/or goods shall be used under all
circumstances. The Contractor may propose alternative materials
and/or goods for substitution where the specified materials and/or
goods are no longer available and/or not possible to procure provided
they are equal or better in all respects to the specified materials
and/or goods, and are approved by the Superintending Officer.</t>
  </si>
  <si>
    <t>For materials and/or goods offered for substitution or where the
phrases "equal and approved" or "approved equivalent" appear after a
material or product specified by trade name or the manufacturer's
catalogue reference, the Contractor shall submit the proposal to the
Superintending Officer for consideration, in advance of time (minimum
3 months) stating the credit or extra expenditure to be incurred and
providing the supporting data and samples should he propose to use
a material or product other than that specified by the trade name or
the manufacturer's catalogue reference.</t>
  </si>
  <si>
    <t>The Superintending Officer may but shall not be obliged to accept any
such proposals.</t>
  </si>
  <si>
    <t>Any acceptance of substitution by the Superintending Officer shall not
relieve the Contractor from his responsibility for compliance with all
the requirements under the Contract nor shall prejudice any
subsequent claims by the Employer against the Contractor at any time
in respect of the Works which are not in accordance with the Contract.</t>
  </si>
  <si>
    <t>Sec1/8</t>
  </si>
  <si>
    <t>For the avoidance of doubt, any extra expenditure arising from the
substitution including any changes to other parts of the Works caused
by the substitution shall be borne by the Contractor. However, in the
case of any credit expenditure arising from the substitution, this credit
shall be returned to the Employer.</t>
  </si>
  <si>
    <t>Any delay in the Works due to late ordering or delivery of the
materials and arising from substitution by the Contractor shall be the
Contractor's responsibility and there shall be no entitlement to any
extension of time or cost arising out of and in connection with such
materials substitution.</t>
  </si>
  <si>
    <t>The Contractor shall place his orders for specified materials at the
earliest possible date after notification of acceptance of tender or at
such time as may be specifically stated elsewhere herein for any
particular materials. The Contractor shall be responsible for any
delays occasioned through any failure to do so.</t>
  </si>
  <si>
    <t>The Contractor shall not order materials from the quantities or sizes
stated in these documents but shall be solely responsible for himself
the quantities required for the Works. All dimensions shall be checked
and verified by the Contractor on the Site before ordering.</t>
  </si>
  <si>
    <t>The Contractor shall not enter into any agreement for the supply of
materials to the Site unless written approval has been given by the
Superintending Officer on those materials which are required to have
the approval of the Superintending Officer. In addition, the Employer
shall not be held responsible for rejected materials delivered to Site
and for materials which have been over ordered by the Contractor.</t>
  </si>
  <si>
    <t>Where a choice of manufacturer or source of supply is allowed for any
particular product or material, the whole quantity required to complete
the Works shall be of the same type, manufacture or source.</t>
  </si>
  <si>
    <t>Where the Contract is based on “provisional quantities” and the
quantities are to be measured for the Statement of Final Account or
the quantities are marked as "provisional", the Contractor shall take
even greater discretion than usual when ordering. No entitlement to
extra payment will be allowed due to loss in over or under ordering.</t>
  </si>
  <si>
    <t>Sec1/9</t>
  </si>
  <si>
    <t>No materials and equipment for the Works shall be purchased subject
to any chattel mortgage or under a conditional sale or other
agreement by which an interest therein or in any part thereof is
retained by the seller or supplier.</t>
  </si>
  <si>
    <t>The Contractor warrants good title to all materials and equipment
installed or incorporated in the Works, and agrees, upon completion
of all works, to deliver the premises together with all improvements
constructed or placed thereon by him to the Employer free from any
claims, lien or charges.</t>
  </si>
  <si>
    <t>Where the Contractor is a Branch Office whose Main/ Head Office is
incorporated outside of Singapore, the Contractor shall provide the
following document upon award.</t>
  </si>
  <si>
    <t>1. Power of Attorney and Board of Directors’ Resolutions authorising
Branch Office authorised agents to enter into Contract.</t>
  </si>
  <si>
    <t>The Contractor shall submit a copy of his annual returns / the
documents accompanying his annual returns lodged with the
Registrar of Companies (the “Registrar”) to the Employer as and when
they are filed throughout the course of the Time for Completion or as
extended. Where the Contractor is listed with the Singapore
Exchange, a copy of the financial statements and annual reports shall
also be provided at the time of announcement and/or issuance in
accordance with the requirements set out in the Rulebooks, as
updated and revised from time to time, issued by Singapore Exchange
Limited.</t>
  </si>
  <si>
    <t>The design of the Works shall comply with the minimum
environmental sustainability standard stipulated in the Building Control
(Environmental Sustainability) Regulations (the “Regulations”) using
the criteria and scoring methodology set out in the Code for
Environmental Sustainability of Buildings (the “Code”) or any
subsequent amendments thereof.</t>
  </si>
  <si>
    <t>Sec1/10</t>
  </si>
  <si>
    <t>The Contractor shall be deemed to have full knowledge of the specific
environmental design and performance requirements and efficiency
levels under the Regulations and the Code, and shall ensure that the
construction of the Works and any alternative design proposals
comply with the Regulations and the Code in order to achieve the
minimum Green Mark score.</t>
  </si>
  <si>
    <t>The Contractor shall observe, procure and submit the below items/
materials for the Superintending Officer's approval before
construction. The Contractor shall assist the Superintending Officer, at
no additional cost, in compiling the necessary documents and
certifications, manuals, handbooks for authority inspection over Green
Mark requirement.</t>
  </si>
  <si>
    <t>For Recycle Products and Greenmark Label products, The Contractor
may propose alternative recycled materials / Greenmark label
products instead of the above mentioned, subjected to Superintending
Officer and Employer’s approval. Such counter proposal must be
made in a timely manner that will not affect the cost / progress of site
works, otherwise such proposals will not be entertained.</t>
  </si>
  <si>
    <t>The Contractor shall supply and install the following materials /
products which are to be recognized and labeled under Singapore
Greenmark labeling Scheme. The final confirmation of which product/
products to be used shall be determined by the Superintending
Officer.
a) Waterproofing &amp; Sealing Membrane
b) Tile Adhesive
c) Wall Plaster (Internal)
d) Walls/ Ceilings Skimming
e) Floor Screed
f) Laminate/ Veneer for Cabinets &amp; Carpentry
g) Carpet</t>
  </si>
  <si>
    <t>The Contractor shall submit material / product certification of proof
ascertaining the mentioned products are under Singapore Greenmark
Labeling Scheme to the Superintending Officer before approval for his
determination.</t>
  </si>
  <si>
    <t>Sec1/11</t>
  </si>
  <si>
    <t>a) Footpaths/ Pavers with recycled content
b) Road curbs/ drop inlet chamber
c) Plasterboard with recycled content
d) Green cement to replace at least 10% of superstructure works
cement</t>
  </si>
  <si>
    <t>The Contractor shall submit material / product documents of proof
ascertaining the mentioned products constitutes / are composed of
recycled materials / used recycled materials in their production either
partly or wholly. The documents must be submitted to the
Superintending Officer before approval for his determination.</t>
  </si>
  <si>
    <t>Water Efficient Fittings
All sanitary fittings types are to be certified and registered under PUB
to bear the Water Efficiency Labelling Scheme for water efficiency as
per indicated in the table below. Each fitting type are to follow the
WELS rating as shown in the table. All certificates are to be submitted
to the Superintending Officer prior to installation at site. The
Contractor is to tabulate the quantity to be provided for the Fire
Station. The Contractor is to refer to the M&amp;E drawings for the
necessary fittings to be provided and install.</t>
  </si>
  <si>
    <t>Sec1/12</t>
  </si>
  <si>
    <t>Unless specified under Specification for Architectural Works,
laminated glass which are used below 1m above finished floor level,
and above 1m are to be of 8mm float glass with 1.52mm clear PVB
interlayer and 6mm thick tinted float glass of minimum SC value to be
0.44 and U value of 3.90w/m2K. The color and sample glass are to be
submitted to the Superintending Officer for selection and approval.</t>
  </si>
  <si>
    <t>All Internal partition Glazing above 1m height has to be with 6mm
thick clear float glass with 1.52mm clear PVB interlayer and 4mm thick
float glass.</t>
  </si>
  <si>
    <t>Within the vicinity of each building’s recycle bin zone, a Recycle
Information Panel shall be provided, the location to Superintending
Officer’s confirmation. The Recycle Information Panel shall be A2
size, of felt on cork, within a fluorocarbon/ powder-coated frame either
wall-mounted or post-mounted, the chosen method which shall be
made and confirmed at no extra cost implications.</t>
  </si>
  <si>
    <t>Paint to be used internally in all buildings are to be of low volatile
organic compound (VOC), certified by approved local certification
body.</t>
  </si>
  <si>
    <t>Sec1/13</t>
  </si>
  <si>
    <t>The Building Operation Manual / User guide shall contain:</t>
  </si>
  <si>
    <t>a) Information on energy efficient features and strategies.
b) Building energy targets and informs tenant on the building metering
and sub-metering strategy and how to read, record and present meter
readings.
c) Describe basic functions and operations of the ACMV systems
electrical and lighting systems. Simplified diagrams and explanation of
the energy saving features shall be included.
d) Provide information on recycling such as list If potential recycle
material, the location of recycling storage areas and schedules for
waste recycling removal.</t>
  </si>
  <si>
    <t>The Contractor shall if requested also provide whatever assistance
necessary to the Superintending Officer and/or the Consultants in the
submission of the declaration and statement on the as-built Green
Mark score to the relevant Authorities when applying for the
Temporary Occupation Permit (TOP).</t>
  </si>
  <si>
    <t>The Contractor, his workmen or agents, shall undertake not to make
any public or press statement of any form or description and not to
divulge any information to the public, concerning this Contract before,
during or after the completion of the Works. Such undertaking shall
extend to and include, not to publish, post or release any information
and/or photo(s) onto the social media, websites, applications and the
like, including but not limited to any blogs, wikis, microblogs, message
boards, chat rooms, electronic newsletters, online forums, social
networking sites, and such other sites, applications and services that
allow users to share information with others online in a
contemporaneous manner or otherwise.</t>
  </si>
  <si>
    <t>Sec1/14</t>
  </si>
  <si>
    <t>WARRANTIES</t>
  </si>
  <si>
    <t>The Contractor, Nominated Sub-Contractors and/or specialist sub-
contractors and suppliers, shall provide the product and workmanship
indemnities and warranties for the items of work and for the periods of
warranty as listed in the Appendices section of the Contract
Documents. The product and workmanship indemnities and
warranties shall be executed under seal by the Contractor, or on a
joint and several basis by the Contractor and Nominated Sub-
Contractor, or by the Contractor and domestic specialist sub-
contractor and supplier, as the case may be, and shall comply strictly
with the prescribed forms set out in the Contract Documents.</t>
  </si>
  <si>
    <t>The indemnities and warranties, all duly executed under seal and on a
joint and several basis, as the case may be, shall be submitted within
30 days from the award of the Contract and in the case of the sub-
contract works, from the award of the respective sub-contract.</t>
  </si>
  <si>
    <t>Where the Contractor is a private limited or limited company
incorporated in Singapore, the indemnities and warranties shall be
executed by two company directors or a company director and the
company secretary.
When submitting the indemnities and warranties, the Contractor shall
be required to provide, and shall cause the Nominated Sub-Contractor
and/or specialist sub-contractor to provide, a copy of the Board of
Directors’ resolution confirming that the signatories are the respective
company directors or a company director and the company secretary
of the Contractor, the Nominated Sub-Contractor and the specialist
sub-contractor, as the case may be.</t>
  </si>
  <si>
    <t>Notwithstanding the completion of the Works in different phases, sub-
phases or parts, the indemnities and warranties shall:
(a) commence upon the issuance of the Certificate of Substantial
Completion for the respective sub-phase or part;
(b) continue until the issuance of the Certificate of Substantial
Completion of the last sub-phase or part of the Works; and
(c) remains valid throughout the entire period of warranty</t>
  </si>
  <si>
    <t>Sec1/15</t>
  </si>
  <si>
    <t>The Contractor shall allow for coordination, interfacing, programming
and sequencing of the Works with such other contractors, specialists
and tradesmen (the “Direct Contractors”) engaged by the Employer
under separate contractual arrangements.</t>
  </si>
  <si>
    <t>Such coordination, interfacing, programming and sequencing shall
include doing all things necessary and affording whatever assistance,
attendance, facilities and access to ensure that the Direct Contractors
complete their respective works in a timely manner.</t>
  </si>
  <si>
    <t>The Contractor shall as such obtain and include the Direct
Contractors’ programmes into his Works programme. Modify and
update the Works programme from time to time to reflect progress of
all works on the Site.</t>
  </si>
  <si>
    <t>The descriptions of the Direct Contract Works are intended to serve
as a guide on the nature and extent of the Works so as to enable the
Contractor to ascertain and assess the coordination and interfacing
requirements. The Employer shall however not be responsible for the
accuracy of such information given.</t>
  </si>
  <si>
    <t>The Contractor shall allow for all cost implications arising from
compliance with such requirements. An unpriced copy of the Direct
Contract documents may be given to the Contractor for inspection
(when available) upon approval by the Employer.</t>
  </si>
  <si>
    <t>The Contractor shall provide adequately sized openings, chases,
recesses, holes, mortices and the like through brickwalls and concrete
works to allow installation works by the Direct Contractors including
closing up all such openings, chases, recesses, holes, mortices and
the like and sealing and grouting and where necessary, with approved
fire rated materials. Clean up and clear all debris from designated
locations at regular intervals including final removal from the Site and
paying all related disposal charges in connection with the Direct
Contractors’ works.</t>
  </si>
  <si>
    <t>On completion of the works by the Direct Contractors, the Contractor
shall make good all the works disturbed including providing necessary
covers, protection, casing up and temporary works to ensure that the
works installed by the Direct Contractors are protected against losses,
breakages, damage, theft and vandalism.</t>
  </si>
  <si>
    <t>Sec1/16</t>
  </si>
  <si>
    <t>Without limitation to Clause 20.1 of the Conditions, where the
Contractor considers that the varied work is not of a similar character
or is not executed under similar conditions of such work described in
the Contract or involves significant changes in the quantity of such
work described in the Contract, and the Rates for the Works as set
out in the Contract could not apply, he shall give a notice in writing of
such case to the Superintending Officer within 7 days of receipt of the
instruction from the Superintending Officer requiring such varied work
to that effect. If the Superintending Officer considers that the varied
work cannot be valued on the basis of the Schedule of Rates or in the
absence of such rates for the varied work under the Contract, the unit
rates for such work shall be termed as ‘Star Rates’ and indicated with
‘*’.</t>
  </si>
  <si>
    <t>Where star rates are applied to the valuation of any item in the
claim(s), the Contractor shall procure a minimum of three quotations
for that item and furnish documentary records of the same, together
with an explanation of the case for the application of star rates.In the
event Contractor is unable to obtain three quotations for any star rates
item, Contractor is to submit proof of documentary evidence on effort
of seeking the quotations and failure to obtain 3 quotations.</t>
  </si>
  <si>
    <t>The Contractor shall declare that the prices stated in the supporting
voucher and/or invoices are nett of trade discounts. The
Superintending Officer may request for documentary evidence of the
amount paid by the Contractor to his suppliers and/or sub-contractors.</t>
  </si>
  <si>
    <t>The valuation for star rates item(s) for the execution of the varied work
shall be based on quotation / invoice (assessed and agreed by
Superintending Officer) plus 5 per cent. This percentage shall be
deemed to compensate adequately the Contractor in respect of all
supervision, overheads, profit and all other costs or damages incurred
in or connected with the execution of the varied work.</t>
  </si>
  <si>
    <t>Sec1/17</t>
  </si>
  <si>
    <t>The normal working hours for landside works are from 8.30 am to 5.30
pm.</t>
  </si>
  <si>
    <t>Works in airside are subjected to prevailing safety regulations and
requirements imposed by the Employer and/or CAAS and may be
changed from time to time due to operational and safety requirements.</t>
  </si>
  <si>
    <t>The Contractor shall appoint Qualified Site Supervisors (QSS),
Resident Technical Officers (RTO) and Safety Inspectors to supervise
all airside works, regardless whether the works require standing
supervision mandated by the BCA requirements. The normal working
hours (the “Normal Working Hours”) of the QSS, RTO, Safety
Inspectors and the Employer’s staff are shown below:</t>
  </si>
  <si>
    <t>Monday to Friday : 8:30 am to 5:30 pm
Saturday : 8:30 am to 12:30 pm</t>
  </si>
  <si>
    <t>Works requiring “standing” supervision shall not be carried out without
the presence of the Employer’s site supervisory staff. Any work which
requires “standing” supervision shall be organised and programmed
within the stipulated working hours of the Employer’s site supervisory
staff.</t>
  </si>
  <si>
    <t>When the Contractor deems it necessary to work overtime to meet
contractual completion requirements or to speed up progress to
mitigate any delays, the Superintending Officer (S.O.), may but not
obliged to consider it necessary for the Employer’s site supervisory
staff to be present during overtime work carried out by the Contractor.
Where the S.O. considers it necessary for the Employer’s site
supervisory staff to be present, Contractor shall obtain prior written
permission of the S.O if, in the exigency of the case, such works are
required to be carried out outside the stipulated working hours of the
Employer’s site supervisory staff. Although the cost of overtime
supervision is borne by the Employer, the Employer reserves the right
to claim from the Contractor any additional overtime supervision cost
plus a 15% administrative fee, should the overtime is due to the
Contractor’s poor planning of works, resulting in a need to catch up on
delays in the progress of his works.</t>
  </si>
  <si>
    <t>Sec1/18</t>
  </si>
  <si>
    <t>The Contractor shall provide 8 nos. of High Definition Webcams for
remote viewing of the construction works on a secure connection via a
network connection. The number of cameras and their locations shall
be proposed by the Contractor, for the Superintending Officer’s
approval, with the intent to be able to provide a full view of the entire
construction site and enable the Superintending Officer and Site
Supervisory Staff to identify clearly the works carried out on the Site.
Where necessary, the Contractor shall be responsible for the design
and construction of all infrastructure (high mast, cabling etc.)
necessary to support the cameras.</t>
  </si>
  <si>
    <t>The internet based interface shall include:</t>
  </si>
  <si>
    <t>1. Multi-view screen for viewing and accessing multiple cameras;
2. Real-time video viewing;
3. Automatic generated daily panoramas; and
4. Instant live snapshot capability.</t>
  </si>
  <si>
    <t>The Contractor shall provide all service and maintenance, including
making appropriate arrangements/relocation for the cameras to
remain operational up to and through the operationalisation of the
aircraft pavements.</t>
  </si>
  <si>
    <t>The Contractor shall enable sharing of real-time feeds to CAG's
CEreal App.</t>
  </si>
  <si>
    <t>Sec1/19</t>
  </si>
  <si>
    <t>Ceremonies and functions such as contract signing, ground breaking,
VIP visits, topping up, completion and the like may be held at the Site
during the Time for Completion and/or the Defects Liability Period.
The actual date and time of such ceremonies and/or functions (if any)
shall be advised by the Superintending Officer.</t>
  </si>
  <si>
    <t>The Contractor shall be responsible for providing and preparing the
site and maintaining the following facilities and attendance for the
ceremonies and/or functions:</t>
  </si>
  <si>
    <t>INFORMATION</t>
  </si>
  <si>
    <t>Any drawings, documents and/or such other information marked “For
Information Only” incorporated in the tender documents and/or made
available for inspection at the Employer’s office, including but not
limited to the drawings and documents listed and/or set out in the
tender documents, have been given or made available in good faith.
The Contractor may use the information contained therein entirely at
his own risk and the Employer and/or the Superintending Officer
accepts no responsibility for the accuracy, completeness, adequacy,
discrepancy, omission and/or application to the Works of the
information provided. The Contractor shall be deemed to have made
and be responsible for his own interpretation, clarification,
confirmation and independent assessment of the information
provided.
The “For Information Only” drawings, documents and/or any other
information are solely for the Contractor’s reference and guidance
only in the preparation of his tender and shall in no way relieve the
Contractor from his responsibility to obtain all other necessary and/or
relevant information and carry out his own investigations, tests and
the like to satisfy himself on the correctness and sufficiency of the
tender to cover all his obligations under the Contract.</t>
  </si>
  <si>
    <t>Sec1/20</t>
  </si>
  <si>
    <t>INFORMATION (CONT'D)</t>
  </si>
  <si>
    <t>For the avoidance of doubt, the Contractor shall carry out the Works
in full compliance with the Particular Requirements, Specifications,
Drawings and other Contract Documents and the Contract Sum shall
be deemed to include any works necessary to overcome any
difficulties and/or compliance with any requirements as may be set out
in the “For Information Only” drawings, documents and/or such other
information in connection with the Works.</t>
  </si>
  <si>
    <t>OBLIGATIONS AND ANY OTHER IMPLICATIONS</t>
  </si>
  <si>
    <t>The Contractor shall allow in the Contract Sum for all costs, additional
expenses and any other works or items not specifically included or
described in the Schedule of Works which are either indispensably
necessary in any event to complete the Works as described in or to
be inferred from the Drawings, Specifications, Schedule of Works
and/or other Contract Documents taken as a whole, or which may
contingently become necessary to overcome difficulties and bring the
said Works so described to satisfactory completion in the opinion of
the Superintending Officer.</t>
  </si>
  <si>
    <t>The Contractor shall be deemed to have allowed in the Contract Sum
for any other works and items shown on the Drawings, described in
the Specifications and/or other Contract Documents and/or which are
either indispensably necessary in any event to complete the Works as
described in or to be inferred from such Drawings, Specifications
and/or other Contract Documents taken as a whole, or which may
contingently become necessary to overcome difficulties and bring the
said Works so described to satisfactory completion in the opinion of
the Superintending Officer or required by the Contract but have not
been set out or described in the Schedule of Works.</t>
  </si>
  <si>
    <t>Sec1/21</t>
  </si>
  <si>
    <t>Where applicable, the Contractor shall also submit copies of the
Specialist Builder Licences (including that of the Nominated Sub-
Contractors and/or any other specialist sub-contractors) to the
Superintending Officer for the following classes of specialist work:</t>
  </si>
  <si>
    <t>1. Piling works;
2. Ground support and stabilisation works;
3. Site investigation work;
4. Structural steelwork;
5. Pre-cast concrete work; and
6. In-situ post-tensioning work.</t>
  </si>
  <si>
    <t>Sec1/22</t>
  </si>
  <si>
    <t>The Contractor shall be liable for any damage, expense, liability, loss,
claim, proceedings and/or penal sanction whatsoever arising out of
any action, lack of action, breach or default on the part of the
Contractor and/or his sub-contractors (whether Nominated, directly or
indirectly engaged), or by reason of any contravention or offence
under the Building Control Act and/or the Regulations.</t>
  </si>
  <si>
    <t>Within 14 days from the date of the Letter of Acceptance (or such
other period as specified in the Contract), the Contractor shall execute
the “Employment of Licensed Builders Written Undertaking”, in favour
of the Employer in accordance with the prescribed format in the
Contract Documents.</t>
  </si>
  <si>
    <t>WORKS</t>
  </si>
  <si>
    <t>The Contractor or his sub-contractor, whether Nominated or
otherwise, carrying out any site investigation works shall be an
accredited inspection body approved by the Singapore Accreditation
Council (SAC) under SAC’s scheme for Accreditation of Inspection
Bodies for Site Investigation.
Where required by the Superintending Officer and/or Engineer, the
Contractor shall submit documents supporting that the Contractor or
his sub-contractor, whether Nominated or otherwise, is a SAC-
accredited inspection body.
Allow for all costs, fees and charges arising out of and/or in
connection with the requirements under the SAC scheme for
Accreditation of Inspection Bodies for Site Investigation.</t>
  </si>
  <si>
    <t>Sec1/23</t>
  </si>
  <si>
    <t>SCHEME</t>
  </si>
  <si>
    <t>Where the Contractor is required to deploy construction personnel,
the registration, renewal of certificates and deployment of such
personnel shall be in strict compliance with the Building Control Act
(Cap. 29), Building Control (Licensing of Builders) Regulations and
Building and Construction Authority (Registration of Construction
Personnel) Regulations and any subsequent changes and re-
enactments thereto.
The Contractor shall ensure that the construction personnel
comprising the construction supervisors, tradesmen and/or trade
foremen (the “CoreTrade Personnel”) are properly registered under
the Construction Registration of Tradesmen (CoreTrade) scheme
administered by the Building and Construction Authority (BCA), and
their registration renewed in accordance with the Building and
Construction Authority (Registration of Construction Personnel)
Regulations and any subsequent changes and re-enactments thereto.</t>
  </si>
  <si>
    <t>The Contractor shall submit a manpower programme to the
Commissioner of Building Control (the “Commissioner”) in the form
provided by and obtainable from the BCA specifying the project
details, class or classes and number of registered CoreTrade
Personnel deployed, the trades such personnel are deployed, the
schedule of their deployment during the whole of the Time for
Completion and such other details and particulars as required by the
Commissioner within 30 days from the date of the grant of the Permit
to carry out Structural Works for the Works. The number of
construction personnel to be deployed to the Works shall be in
accordance with the deployment requirements stipulated in the
Building Control (Licensing of Builders) Regulations and any
subsequent changes and re-enactments thereto. When submitting the
manpower programme (including any resubmissions and/or updates)
to the Commissioner, a copy shall also be provided to the
Superintending Officer.</t>
  </si>
  <si>
    <t>Where acceptance of the lodgment of any manpower programme is
refused by the Commissioner, the Contractor shall adhere to the
conditions set out in the written notice of the Commissioner and re-
lodge a fresh manpower programme within 7 days from receipt of the
written notice of the Commissioner.</t>
  </si>
  <si>
    <t>The Contractor shall coordinate with all sub-contractors (whether
Nominated, directly or indirectly engaged) on the submission of the
manpower programme. The Contractor shall be solely responsible for
maintaining and updating the manpower programme at regular
intervals to reflect accurately the deployment on the Site and notify the
Commissioner within 7 days after any of the changes as set out in the
Building Control (Licensing of Builders) Regulations and any
subsequent changes and re-enactments thereto occurs.</t>
  </si>
  <si>
    <t>Sec1/24</t>
  </si>
  <si>
    <t>SCHEME (CONT'D)</t>
  </si>
  <si>
    <t>The Contractor shall keep and maintain at the Site the following:
1. A copy of the current manpower programme (including any
updates) lodged with the Commissioner;
2. A record of the daily attendance for all registered CoreTrade
Personnel deployed in the form approved by the Commissioner; and
3. A record of the grounds of excuse or other causes for every
occasion that any CoreTrade Personnel fails to attend work at the
Site.
Upon receipt any written notice by the Commissioner, the Contractor
shall submit records of the daily attendance and grounds of excuse
including such other documents and information as necessary to the
Commissioner with a copy provided to the Superintending Officer.</t>
  </si>
  <si>
    <t>The Contractor shall bear all costs, charges and any fees payable
arising out of and/or in connection with the CoreTrade scheme
including without limitation any time and/or financial penalties that may
be imposed, and/or for compliance with any directions or restrictions
ordered by the BCA and/or any relevant authorities.</t>
  </si>
  <si>
    <t>MATERIALS</t>
  </si>
  <si>
    <t>Requirements
All concreting sand and granite (collectively the “Essential
Construction Materials”) shall be imported and supplied by licensed
importers, whether through the Contractor himself, his suppliers
and/or sub-contractors (whether Nominated, directly or indirectly
engaged), pursuant to the Building and Construction Authority Act
(Cap. 30A), Building and Construction Authority (Importers’ Licensing)
Regulations and any subsequent changes and re-enactments thereto.
Copies of the licences for importing the Essential Construction
Materials (the “Import Licences”) granted by the Building and
Construction Authority (the “Authority”) shall be provided with the
tender submission.</t>
  </si>
  <si>
    <t>The Contractor shall comply strictly with the following requirements
which are not exhaustive:
1. Essential Construction Materials are imported by licensed
importer(s);
2. For each and every consignment of the Essential Construction
Materials imported, import permits and storage permits (the “Permits”)
granted by the Authority are obtained and copies submitted to the
Superintending Officer; and
3. No Essential Construction Materials shall be used in the Works if
they are under an isolation order.</t>
  </si>
  <si>
    <t>Sec1/25</t>
  </si>
  <si>
    <t>MATERIALS (CONT'D)</t>
  </si>
  <si>
    <t>The Contractor shall not be entitled to any additional cost and/or
extension of time for any delays arising out of and in connection with
the following events:
1. Any written notification by the Authority to cease import of the
Essential Construction Materials; or
2. Any revocation or suspension of the Import Licences or cancelling
of any of the Permits; or
3. Any written notice to remove and/or destroy and/or dispose and
cease further import, supply or use of any failed construction materials
(that is, any Essential Construction Materials which the Authority
determines are of an unacceptable quality) remaining in the
possession of the Contractor or other Essential Construction Materials
extracted from the same site as the failed construction materials; or
4. In the case where his supplier or sub-contractor (whether
Nominated, directly or indirectly engaged) have informed him of any
failed construction materials, cessation of further use and return of the
failed construction materials to the said supplier or sub-contractor.</t>
  </si>
  <si>
    <t>Sec1/26</t>
  </si>
  <si>
    <t>Copies of the Import Licences and Permits together with a
certificate(s) from the Authority certifying that the alternative licensed
supplier(s) is/are a licensed importer of the Essential Construction
Materials shall be submitted to the Superintending Officer. Any
prescribed fees payable for the certificate(s) from the Authority shall
be borne by the Contractor.</t>
  </si>
  <si>
    <t>The Contractor shall not be entitled to any additional cost and/or claim
for extension of time arising out and in connection with having to
obtain the Essential Construction Materials from alternative suppliers.</t>
  </si>
  <si>
    <t>Validity of Licences and Permits
The Contractor shall maintain validity of his Import Licenses (and shall
cause his suppliers and/or sub-contractors, whether Nominated,
directly or indirectly engaged to do likewise) for the whole of the Time
for Completion until the issue of the Final Completion Certificate.</t>
  </si>
  <si>
    <t>The Contractor shall at such intervals as the Superintending Officer
may require update the Superintending Officer and the Employer on
the status and validity of his Import Licences and Permits (including
that of his suppliers and/or sub-contractors, whether Nominated,
directly or indirectly engaged). If requested by the Superintending
Officer, the Contractor shall obtain from the Authority, a certificate(s)
certifying that the Contractor and/or any of his suppliers and/or sub-
contractors, whether Nominated, directly or indirectly engaged is/are
licensed to import the Essential Construction Materials. Any
prescribed fees payable for the certificate(s) from the Authority shall
be borne by the Contractor.</t>
  </si>
  <si>
    <t>The Contractor shall be liable for any damage, expense, liability, loss,
claim, proceedings and/or penal sanction whatsoever arising out of
any action, lack of action, breach or default on the part of the
Contractor and/or his suppliers and/or sub-contractors (whether
Nominated, directly or indirectly engaged), or by reason of any
contravention or offence under the Building and Construction Authority
Act and/or its subsidiary legislation.</t>
  </si>
  <si>
    <t>Sec1/27</t>
  </si>
  <si>
    <t>The Contractor shall be certified under the Green and Gracious
Builder Scheme (GGBS) administered by the Building and
Construction Authority (BCA). A copy of the Contractor’s GGBS
certificate shall be provided with the tender submission.</t>
  </si>
  <si>
    <t>The Contractor shall implement considerate practices during
construction and use green technologies and methods to achieve
environmental sustainability and protection including engaging
proactively with the community and public stakeholders and complying
with such other requirements of the BCA relating to the GGBS.</t>
  </si>
  <si>
    <t>The Contractor shall maintain validity of the GGBS certification for the
whole of the Time for Completion until the issue of the Final
Completion Certificate.</t>
  </si>
  <si>
    <t>All costs, fees and expenses arising from and in connection with
compliance with the requirements of the BCA and implementation of
green and considerate practices shall be borne by the Contractor.</t>
  </si>
  <si>
    <t>The Contractor shall comply with, and give all notices required by any
statute, any statutory instrument, rule or order or any regulation or by-
law applicable to and affecting the execution of the Works and shall
allow for all fees, charges, rates, levies and taxes (if applicable)
arising out of and/or in connection with the Works including but
without limitation all professional fees and charges arising from any
endorsements and/or certifications from a Professional Engineer and
ensuring that all consents, approvals and permits are obtained from
the relevant Authorities. The Contractor shall reimburse the Employer
all such fees and charges in the event the Employer has incurred such
fees, charges, rates, levies and taxes.</t>
  </si>
  <si>
    <t>Deposits, services turning-on fees and/or connection fees charged by
the relevant Authorities for permanent works shall be reimbursed by
the Employer.</t>
  </si>
  <si>
    <t>Sec1/28</t>
  </si>
  <si>
    <t>The Contractor shall ensure that all employees and workers whether
directly employed by him or by his sub-contractors or suppliers
(whether nominated or domestic) working on the Site hold valid work
passes and comply with all statutory requirements and by-laws, rules
and regulations of any Government authority or statutory body.</t>
  </si>
  <si>
    <t>The Contractor shall not:
1. Employ and shall ensure that his sub-contractors or suppliers
(whether nominated or domestic) shall not employ any foreign
employees as defined under the Employment of Foreign Manpower
Act (Cap. 91A), its subsidiary legislation and/or all enactment or-re-
enactment thereof (collectively the “Employment of Foreign Manpower
Act”) unless the Contractor and his sub-contractors or suppliers have
obtained in respect of the foreign employees valid work passes
required by the Employment of Foreign Manpower Act; and</t>
  </si>
  <si>
    <t>2. Harbour or employ, and shall ensure that his sub-contractors or
suppliers (whether nominated or domestic) do not harbour or employ,
any person who has acted in contravention of the provisions of the
Immigration Act (Cap. 133), its subsidiary legislation and/or all
enactment or re-enactment thereof (collectively the “Immigration Act”).</t>
  </si>
  <si>
    <t>In particular, but without any limitation, to the Contractor’s obligations
under the relevant Authorities’ requirements, the Contractor shall:
1. Comply fully with the provisions of the Employment of Foreign
Manpower Act (Cap. 91A) and the statutory amendments made
thereunder;</t>
  </si>
  <si>
    <t>2. Comply or procure compliance with the relevant provisions of the
Immigration Act (Cap. 133) and the statutory amendments made
thereunder;</t>
  </si>
  <si>
    <t>3. Provide for cost of employment, pay all fees, charges and all levies,
job placement fees, accommodation and repatriation of foreign
employees employed (whether nominated or domestic) in accordance
with the requirements set out by the Ministry of Manpower and where
the sub-contractor or supplier has failed to pay the foreign workers
levy.
For the avoidance of doubt, the Contractor shall not be entitled to any
claims for extra costs arising out of and in connection with fees and
charges as may be levied by any statutory amendments during the
Time for Completion (or as extended). Such statutory amendments
shall include but not be limited to changes in statutory requirements,
instrument, rule, order, notice, conditions and/or directions of any
public authority or any public service company (even if issued
pursuant to a law, regulation or by-law); and</t>
  </si>
  <si>
    <t>4. Execute the “Letter of Employment of Licensed Builders Written
Undertaking”, in favour of the Employer (a copy of which is included in
the Contract Documents).</t>
  </si>
  <si>
    <t>Sec1/29</t>
  </si>
  <si>
    <t>The Contractor shall include in his tender for contribution to Central
Provident Fund (CPF) and all other funds and taxes in respect of all
construction workmen employed by him in connection with the Works.</t>
  </si>
  <si>
    <t>The Contractor shall ensure that all relevant materials and products
used in the Works have been certified under the Product Listing
Scheme (PLS) administered by TÜV SÜD PSB.</t>
  </si>
  <si>
    <t>The Contractor shall submit copies of the PLS Certificate of
Conformity or Declaration of Compliance, as the case may be, in
respect of the certified materials and products to the Superintending
Officer and shall further ensure that where appropriate, such materials
and products are identified and affixed with the PSB TEST Mark labels
issued by TÜV SÜD PSB.</t>
  </si>
  <si>
    <t>SCHEME FOR READY-MIXED CONCRETE PLANTS</t>
  </si>
  <si>
    <t>The Contractor shall ensure that all ready-mixed concrete (RMC) for
the Works are obtained from RMC plants certified by Accredited
Product Certification Bodies under the Singapore Accreditation
Council’s (SAC) Certification Scheme for RMC.</t>
  </si>
  <si>
    <t>All plants that produce and supply RMC for the Works, be it located at
the Site or otherwise, including the plants for casting of structural
precast elements for the Works, shall be certified under the SAC’s
Certification Scheme. The plants shall hold a valid product conformity
certificate (the “Certificate”) issued by the SAC Accredited Product
Certification Bodies. All RMC composition to be used for the Works
shall be listed in the Certificate.
The Contractor shall at the request of the Superintending Officer
provide him with evidence of the certification by the SAC Accredited
Product Certification Bodies of any RMC plants producing and
supplying RMC and structural precast elements for the Works.</t>
  </si>
  <si>
    <t>Sec1/30</t>
  </si>
  <si>
    <t>In the event of any possible or actual pandemic outbreaks of
infectious diseases as defined and specified in the Infectious
Diseases Act (Cap. 137) (the “Infectious Diseases Act”) or any
subsequent amendment thereof and the Regulations made under the
Infectious Diseases Act (the “Regulations”), its subsidiary legislation
and/or any statutory re-enactment or amendment thereof for the time
being in force (the “Infectious Diseases”), the Contractor shall comply
strictly with the requirements, guidelines, measures and the like
prescribed and implemented by the Ministry of Health, Health
Promotion Board and other relevant Authorities on the containment
and prevention of the Infectious Diseases.</t>
  </si>
  <si>
    <t>The Contractor shall implement all necessary precautionary measures
and the like to minimise the risk of all workmen and staff at the Site
and any person employed upon the Works (including his sub-
contractors, whether Nominated, directly or indirectly engaged) from
contacting and spreading the Infectious Diseases. All workmen, staff
and persons who are suspected to be carriers or contacts of the
Infectious Diseases shall not be allowed on the Site at all times. All
costs and expenses, consequent thereon or incidental thereto, that
may be incurred shall be borne by the Contractor.</t>
  </si>
  <si>
    <t>An extension of time may be considered by the Superintending Officer
as appropriate (whose decision shall be final and conclusive) after all
necessary steps have been taken by the Contractor and progress of
the Works on the Site is still affected by the following requirements
(the “Requirements”) as prescribed under the Infectious Diseases Act
provided always that these are not the consequence of any
negligence or default or breach by the Contractor or other matter for
which the Contractor is responsible under the Infectious Diseases Act
and/or the Contract (including that of his sub-contractors, whether
Nominated, directly or indirectly engaged):</t>
  </si>
  <si>
    <t>1. Investigation(s) carried out on the Site by the police officers or
health officers who are authorised in writing by the Director-General of
the Public Health and/or the Director of Medical Services; and</t>
  </si>
  <si>
    <t>2. Declaration of the Site as:
(a) a restricted zone during public health emergency; or
(b) an isolation area; or
(c) an infected area.</t>
  </si>
  <si>
    <t>Sec1/31</t>
  </si>
  <si>
    <t>The Contractor shall not be entitled to any loss and expenses incurred
or any other compensation, damages or other amount whatsoever.</t>
  </si>
  <si>
    <t>Nothing herein however shall affect or prejudice the Contractor’s right
to notify the Superintending Officer in accordance with Clause 14.3 of
the Conditions of any event under the Requirements which entitles
him to an extension of time. Neither shall the Requirements be taken
as affecting or derogating from the Superintending Officer’s power and
duty to assess and ascertain any extension(s) of time strictly in
accordance with the Conditions.</t>
  </si>
  <si>
    <t>The Contractor shall comply with all current statutory enactments and
any latest amendments thereof together with all by-laws and
regulations pertaining to preconstruction survey, precautionary and
monitoring measures, any safety measures, site welfare and work
operations in the construction industry.</t>
  </si>
  <si>
    <t>The Contractor shall provide for all customs, trades restrictions,
quotas, duties and taxes in respect of any item which forms part of the
Works or which may be required for the carrying out of the Works,
including but not limited to any item of the Works, plant, equipment,
tools, materials, components and any other partially or fully fabricated
item.
The Contractor shall pay tax on profits made by him and due in
accordance with any tax laws which are in force or which may come
into force and the Contractor’s employees shall be liable to pay
income tax in respect of their salaries chargeable in accordance with
any tax laws as aforesaid. The Contract Sum shall be deemed to
include for complying with all such tax laws in force in Singapore.</t>
  </si>
  <si>
    <t>Sec1/32</t>
  </si>
  <si>
    <t>WORKS)</t>
  </si>
  <si>
    <t>Please note the Quality proposals submitted in your Tender
submissions are solely for information and tender evaluation purposes
only. You shall be deemed to have submitted a fully compliant and
unqualified Base Tender in accordance with the tender requirements.</t>
  </si>
  <si>
    <t>In event that you are awarded the Contract, you shall develop and
submit all applicable quality proposal / submissions (e.g. method
statements, design submissions, calculations, drawings, material
submission, programme and the like) in accordance with the Contract
and obtain all necessary authorities’ approval and the S.O.'s
acceptance prior to commencement of the construction works.</t>
  </si>
  <si>
    <t>Sec1/33</t>
  </si>
  <si>
    <t>The Conditions comprise:</t>
  </si>
  <si>
    <t>1. Public Sector Standard Conditions of Contract for Design and Build
2020 published by the Building and Construction Authority, Seventh
Edition, July 2020;
2. List of Amendments as published by the Building and Construction
Authority (w.e.f.July 2020);
3. The Particular Conditions, which include amendments and additions
to such Conditions. The Particular Conditions shall be read and
construed with the Conditions of Contract as if they were incorporated
therein and shall form part of the Conditions referred to in Clause 1.1(c)
of the Conditions. Insofar as any of the Particular Conditions may
conflict or be inconsistent with any of the Conditions, the Particular
Conditions shall prevail; and
4. Any Option Modules specified in the Appendix.</t>
  </si>
  <si>
    <t>The Contract shall be executed under hand.</t>
  </si>
  <si>
    <t>The Contractor shall refer to the full text of the Conditions. The
monetary value of any item which is left unpriced shall be deemed to
have been included in the rates for each item of work in the Schedule of
Works.</t>
  </si>
  <si>
    <t>The clause numbers and headings of the Conditions are as follows:</t>
  </si>
  <si>
    <t>Sec1/34</t>
  </si>
  <si>
    <t>Sec1/35</t>
  </si>
  <si>
    <t>Option Module A - Unused Materials or Goods Not Delivered to Site
Option Module B - Lump Sum Advance Payment for Mobilisation Works
Appendix</t>
  </si>
  <si>
    <t>The Appendix to the Conditions of Contract shall be completed as set
out in the Contract Documents.</t>
  </si>
  <si>
    <t>Sec1/36</t>
  </si>
  <si>
    <t>The giving of any consent or approval by the Superintending Officer
shall not in any way relieve the Contractor of any of his obligations
under the Contract or of his duty to ensure the correctness, accuracy or
suitability of the matter or thing which is the subject of the consent or
approval.</t>
  </si>
  <si>
    <t>Failure by the Superintending Officer to disapprove or object to any
matter or thing shall not prejudice his power subsequently to take action
under the Contract in connection therewith.</t>
  </si>
  <si>
    <t>DOCUMENTS</t>
  </si>
  <si>
    <t>In the event the Contractor becomes aware of any ambiguity,
discrepancy, conflict, inconsistency or omission in or between any of
the Contract Documents, the Contractor shall forthwith notify the
Superintending Officer of the same. The Superintending Officer shall,
upon resolving such ambiguity, discrepancy, conflict, inconsistency or
omission, promptly notify the Contractor of his decision.</t>
  </si>
  <si>
    <t>In the event the Contractor fails to notify the Superintending Officer of
such ambiguity, discrepancy, conflict, inconsistency or omission
forthwith, he shall comply with the Superintending Officer’s decision at
his own cost and expense, and for the avoidance of doubt, the
Contractor shall have no claim against the Employer, whether for
extensions of the Time for Completion, Loss and Expense or otherwise.
In addition, the Contractor shall indemnify the Employer for any costs or
expenses incurred by the Employer arising out of or in connection
therewith.</t>
  </si>
  <si>
    <t>Without limitation to the Contractor's obligations under Clause 4.4 of
the Conditions and the above, any discrepancy brought forth after
submission of the tender shall be interpreted at the sole discretion of
the Superintending Officer whose decisions shall be final and binding
and the Contractor shall deemed to have made all due allowances for
the item or proposed work of better quality, greater quantity, or higher
cost in the Contract Sum.</t>
  </si>
  <si>
    <t>In the event any works are completed but with discrepancies that are
subsequently found and brought to the attention of the Superintending
Officer for his decision, such completed works shall be deemed to have
been constructed in error by the Contractor. The Contractor shall bear
all costs of rectification and shall comply with the Superintending
Officer’s decision at his own cost and expense, and for the avoidance of
doubt, the Contractor shall have no claim against the Employer,
whether for extensions of the Time for Completion, Loss and Expense
or otherwise. In addition, the Contractor shall indemnify the Employer
for any costs or expenses incurred by the Employer arising out of or in
connection therewith.</t>
  </si>
  <si>
    <t>Sec1/37</t>
  </si>
  <si>
    <t>In the event the Contractor fails to provide the cash deposit or
conforming security deposit gurantee in accordance with Clause 4.5 of
the Conditions of Contract, the Superintending Officer shall have the
power to certify a retention amount from moneys that may be due to the
Contractor as interim payment and hold the same as a cash deposit
under Clause 4.5 of the Conditions of Contract. Such sums so withheld
shall be released to the Contractor upon receipt of a conforming
security deposit guarantee. The aggregate amount of the sum withheld
shall not exceed the amounf of security deposit stipuated in Clause 4.5
of the Conditions of Contract. The Contractor shall not be entitled to any
claim for loss, damage, cost, or interest in respect of any delay in
payment so caused. Nothing in this clause shall prejudice the
Employer's other rights and remedies with regard to the Contractor's
failure to submit or submit timeously such cash deposit or conforming
security deposit guarantee.</t>
  </si>
  <si>
    <t>All workmanship relating to the permanent works shall be executed by
skilled workmen and shall be the best of their described kinds and shall
in all cases be in exact conformity with any specifications and/or
described under the Contract.</t>
  </si>
  <si>
    <t>The Contractor shall allow here for the provision of all samples which
are to be submitted to the Superintending Officer for approval at the
earliest possible date after acceptance of tender and before any order
or bulk delivery is made.</t>
  </si>
  <si>
    <t>Sec1/38</t>
  </si>
  <si>
    <t>For the purpose of assessing any extension of time due to exceptionally
adverse weather, the number of “wet days” in any one calendar month
which exceeds the “10-Year Monthly Average of Wet Days” for that
calendar month shall be based on the rainfall records obtained from the
Meteorological Service Singapore, National Environment Agency.</t>
  </si>
  <si>
    <t>The Contractor shall be required to submit to the SO the actual daily
rainfall records from the Meteorological Station nearest to the Site i.e
Changi Station on a monthly basis, and show the increase or decrease
in the number of Wet Days for the particular calendar compared with
the 10-Year Monthly Average Number of Wet Days for the month
concerned. The number of Wet Days for the month shall be pro-rated if
it is not a full calendar month.</t>
  </si>
  <si>
    <t>A “wet day” shall be defined as one where the rainfall for that particular
day equals or exceeds 10.16mm.</t>
  </si>
  <si>
    <t>For the purpose of the Contract, the “10-Year Monthly Average of Wet
Days” shall be based on the average of the number of “wet days”
recorded for all five standard meteorological stations, namely, Paya
Lebar, Tengah, Changi, Seletar and TripleOne Somerset Building. The
“10-Year Monthly Average of Wet Days” for the period 2016 to 2025
obtained from the Meteorological Service Singapore, National
Environment Agency is as follows:</t>
  </si>
  <si>
    <t>JAN - 7
FEB - 4
MAR - 7
APR - 8
MAY - 7
JUN - 8
JUL - 5
AUG - 5
SEP - 7
OCT - 7
NOV - 10
DEC - 9</t>
  </si>
  <si>
    <t>Sec1/39</t>
  </si>
  <si>
    <t>“Exceptionally Adverse Weather” shall be assessed on a calendar
“month to month” basis and extension of time shall be granted only
where the number of wet days exceeds the monthly average wet days
given above and provided always that in the opinion of the
Superintending Officer, progress of the Works has been affected and
continuance of any work becomes impracticable, causing delay in the
completion of the Works. If the actual recorded number of Wet Days
recorded for the month is lower than the 10-Year Monthly Average
Number of Wet Days, no deduction shall be made on the total number
of days for extension of time to be granted to the Contractor under the
Contract.</t>
  </si>
  <si>
    <t>For avoidance of doubt, no claim for any additional extension of time
beyond the number of nett increase in Wet Days shall be granted for
the particular month, as the Contractor shall be deemed to have taken
all reasonable steps to avoid or minimise any additional delay that may
be caused by the exceptionally adverse weather conditions, and to
have made the necessary allowance in his Tender and Programme for
the Works.</t>
  </si>
  <si>
    <t>For the purpose of assessing any extension of time due to severe haze
conditions, the Superintending Officer may in his opinion take into
account the effect of the period of time during which a national directive
has been issued by the relevant Authorities to stop all work or that no
outdoor work shall be carried out. For the avoidance of doubt, there
shall be no automatic entitlement to any extension of the Time for
Completion simply because there is a haze condition.</t>
  </si>
  <si>
    <t>In addition to the Contractor’s obligations to carry out risk assessments
and minimising or mitigating all identified risks under the Workplace
Safety and Health Act or any subsequent amendments thereof
(WSHA), the Contractor shall monitor the 24-hour Pollutant Standards
Index (PSI) forecast and take into account all health advisories or such
other information as may be published by the relevant Authorities from
time to time in carrying out the Works.</t>
  </si>
  <si>
    <t>The Contractor shall also refer to the guidelines (as may be updated
from time to time) on protecting employees from the effects of haze
issued by the Ministry of Manpower and implement all appropriate
measures to minimise or mitigate the effects of haze and protect the
safety and health of all employees and workers on the Site.</t>
  </si>
  <si>
    <t>Sec1/40</t>
  </si>
  <si>
    <t>Depending on the air quality, the Contractor shall find ways to reduce or
avoid prolonged or strenuous outdoor work and conduct risk
assessments and adopt risk mitigating measures. Where prolonged or
strenuous outdoor work is not avoidable at higher PSI values, and the
Contractor still requires his employees and workers to do so due to
extenuating circumstances, suitable masks or such other protective
gears shall be provided.</t>
  </si>
  <si>
    <t>An extension of the Time for Completion shall only be granted if in the
opinion of the Superintending Officer, progress of the Works has been
affected and continuance of any work becomes impracticable, causing
delay in the completion of the Works notwithstanding the Contractor
exercising due diligence and taking all appropriate steps and measures
to avoid or reduce such delay.</t>
  </si>
  <si>
    <t>LIQUIDATED DAMAGES</t>
  </si>
  <si>
    <t>Where under this Contract, any period of extension (or further period of
extension) beyond the Time for Completion or extended Time for
Completion (as the case may be) is required to be given or any period
during which the Works remain incomplete entitling the Employer to
recover or deduct liquidated damages is to be calculated, such period
shall include any day including Sundays and Public Holidays.</t>
  </si>
  <si>
    <t>SUBSTANTIAL COMPLETION AND FIRST RELEASE OF</t>
  </si>
  <si>
    <t>RETENTION MONIES</t>
  </si>
  <si>
    <t>Without limiting the obligations and responsibilities of the Contractor
under the Conditions, substantial completion of the Works shall not be
certified until all works are substantially completed in all respects in
accordance with the Contract and until:</t>
  </si>
  <si>
    <t>1. All clearances, permits and/or approvals from the relevant Authorities
necessary for the application of the Temporary Occupation Permit
(TOP) have been obtained.</t>
  </si>
  <si>
    <t>The Contractor shall programme the Works (including that of the
Nominated Sub-Contractors) such that at least 2 months prior to the
Time for Completion (or extended Time for Completion), the relevant
works are completed in order that the applications for inspections can
be made to the respective Authorities for the issuance of all necessary
clearances, permits and/or approvals. All necessary clearances,
permits and/or approvals shall be obtained on or before the Time for
Completion (or extended Time for Completion).</t>
  </si>
  <si>
    <t>Sec1/41</t>
  </si>
  <si>
    <t>RETENTION MONIES (CONT'D)</t>
  </si>
  <si>
    <t>For the avoidance of doubt, the Contractor’s liability for delays in the
issuance of clearances, permits and/or approvals shall be limited to
compliance with existing requirements imposed by the relevant
Authorities which are within the scope of the Contract. An appropriate
extension of time shall be considered only for any additional
requirements imposed by the Authorities which are not reasonably
contemplated and are beyond the scope of the Contract and the Works.</t>
  </si>
  <si>
    <t>2. The Superintending Officer is satisfied that the Contractor has
complied fully with any instructions to make good, remedy, replace or
reconstruct items of work, goods or materials which do not comply with
the Contract in any respect.</t>
  </si>
  <si>
    <t>3. All works have been executed to the satisfaction of the
Superintending Officer.</t>
  </si>
  <si>
    <t>Without prejudice to the provisions in the Conditions and
notwithstanding the issuance of the Certificate of Substantial
Completion, the first half of the Retention Monies shall only be certified
as due after the following documents (the “Conforming Documents”) as
called for in the Contract have been received by the Employer:</t>
  </si>
  <si>
    <t>1. Deeds of indemnities and warranties, all duly executed under seal by
the Contractor, or on a joint and several basis by the Contractor and
Nominated Sub-Contractor, or by the Contractor and domestic
specialist sub-contractor, as the case may be, and attested;</t>
  </si>
  <si>
    <t>2. “As-built” drawings and BIM models;</t>
  </si>
  <si>
    <t>3. Approved sets of all maintenance and operating manuals and
associated technical data and drawings necessary for the efficient
operation and maintenance of all installations. Such information shall be
prepared and produced in conjunction with the respective sub-
contractors and shall include, but not be limited to, the following data:</t>
  </si>
  <si>
    <t>(a) Names of suppliers and manufacturers together with addresses and
telephone numbers;
(b) A general description of all systems and installations with a separate
detailed description for each system and installation;
(c) Equipment details; and
(d) Maintenance requirements;</t>
  </si>
  <si>
    <t>Sec1/42</t>
  </si>
  <si>
    <t>Without prejudice to the provisions in the Conditions and
notwithstanding the issuance of the Certificate of Substantial
Completion, the first half of the Retention Monies shall only be certified
as due after the following documents (the “Conforming Documents”) as
called for in the Contract have been received by the Employer: (Cont'd)</t>
  </si>
  <si>
    <t>4. Required number of digital sets of certified "as-constructed" or "as-
built" drawings for all concealed works, services and installations,
together with computer files in the format as directed by the
Superintending Officer;</t>
  </si>
  <si>
    <t>5. Required number of sets of all updated shop drawings; and</t>
  </si>
  <si>
    <t>6. Any other information and documents which are required to be
submitted by the Contractor upon completion of the Works.</t>
  </si>
  <si>
    <t>EMPLOYER</t>
  </si>
  <si>
    <t>Notwithstanding the completion of the Works in different phases or
parts, The Defects Liability Periods for each phase or part shall:</t>
  </si>
  <si>
    <t>(a) commence upon the issuance of the Certificate of Substantial
Completion for the respective phase or part; and
(b) continue until and expire 12 months from the Date of Substantial
Completion as indicated in the Certificate of Substantial Completion
issued by the Superintending Officer in respect of:</t>
  </si>
  <si>
    <t>(i) the last phase or part of the Works to be completed, or
(ii) the Whole of the Works (as the case may be and whichever is later).</t>
  </si>
  <si>
    <t>The Defects Liability Period of the part of the Works that is occupied or
used by the Employer shall commence only upon issuance of the
Certificate of Substantial Completion of the relevant part and shall
continue until and expire concurrently with the Defects Liability Period in
accordance to paragraph (b) above.</t>
  </si>
  <si>
    <t>Sec1/43</t>
  </si>
  <si>
    <t>The Contractor shall submit the payment claims in accordance with the
Contract at monthly intervals on the 28th day of each month following
the month in which the Contract is made. For the purpose of Clause
32.1(1) of the Conditions, the said day shall be deemed as the day of
each month specified by the Superintending Officer.</t>
  </si>
  <si>
    <t>Where the date of submission of any payment claim under the
preceding paragraph falls on a Saturday, Sunday, Statutory or Public
Holiday, the Contractor shall submit the payment claim on the next day
which itself is not a Saturday, Sunday, Statutory or Public Holiday.</t>
  </si>
  <si>
    <t>If the Contractor submits a payment claim before the specified day of
each month, the Superintending Officer shall not be required to issue
the Payment Certificate or the Employer his payment response in
respect of that payment claim earlier than would have been the case
had the Contractor submitted the payment claim in accordance with the
Contract.</t>
  </si>
  <si>
    <t>At the time of every progress payment of the Works, the Contractor
shall submit to the Superintending Officer:</t>
  </si>
  <si>
    <t>1. A detailed progress payment claim for the Permanent Works
executed including adequate vouchers and details of unfixed materials
and goods on Site;
2. A detailed statement from each Nominated Sub-Contractor showing
the gross amount claimed and the amounts received from the
Contractor to date;
3. Copies of the purchasing agreements and orders and delivery orders
of all materials in the site office so as to enable the Superintending
Officer to check and verify the materials;
4. Original receipts and invoices which shall include the works of
Nominated Sub-Contractors; and
5. Any other information as may be required by the Superintending
Officer.</t>
  </si>
  <si>
    <t>The Contractor shall refer to the prescribed form of payment claim
included in the Contract Documents which shall be submitted in
compliance with the requirements set out in the Building and
Construction Industry Security of Payment Regulations or any
subsequent amendment thereof. Details and information to be included
shall be discussed and agreed with the Superintending Officer prior to
the Contractor’s submission of the first payment claim.</t>
  </si>
  <si>
    <t>Any other materials and information including elaboration of the items
identified in the payment claim, additional calculations, photographs,
charts and data shall be received only as supporting information of the
claim for progress payment.</t>
  </si>
  <si>
    <t>Sec1/44</t>
  </si>
  <si>
    <t>Prior to the Contractor’s submission of the first payment claim, the
Contractor shall agree with the Superintending Officer (whose decision
shall be final and conclusive) on the allocation of the amounts of the
priced items in the Preliminaries and General Section to the various
cost categories. The number and/or descriptions of such cost
categories shall be determined solely by the Superintending Officer.</t>
  </si>
  <si>
    <t>Valuation of the priced items in the Preliminaries and General Section
for progress payment shall be based strictly on the actual progress of
the Works, and in accordance with any revised or modified programme
that may be submitted by the Contractor. In the absence of any revised
or modified programme or if in the opinion of the Superintending Officer
the accepted, revised or modified programme does not reflect the
actual progress of the Works, the Superintending Officer shall
determine an applicable period solely for the purpose of valuation of the
priced items in the Preliminaries and General Section (the “Applicable
Period”).</t>
  </si>
  <si>
    <t>The Superintending Officer’s opinion on the Applicable Period and
valuation of priced items in the Preliminaries and General Section to
reflect the actual progress of the Works in accordance with any revised
or modified programme and/or the Applicable Period shall be final and
conclusive.</t>
  </si>
  <si>
    <t>The use of any revised or modified programme or reference to the
Applicable Period shall be solely for the purpose of valuation of priced
items in the Preliminaries and General Section and such use or
reference shall not be construed as a grant of an extension of time or
relieve the Contractor of his responsibility to complete the Works by the
Time for Completion (or as may be extended by the Superintending
Officer). It shall not affect or prejudice the Contractor’s right to notify the
Superintending Officer in accordance with Clause 14.3 of the
Conditions of any event which entitles him to an extension of time and
neither shall the Superintending Officer’s power and duty to assess and
ascertain any extension(s) of time strictly in accordance with the
Conditions be affected or derogated.</t>
  </si>
  <si>
    <t>Prior to the submission of each payment claim in accordance with
Clause 32.1 of the Conditions, the Contractor shall submit a hard copy
and editable softcopies of the draft payment claim for purposes of
discussion only with the Superintending Officer. The draft payment
claim shall be clearly marked “Draft” on every page of the document
and include the information and particulars that the Contractor intends
to include in his payment claim in accordance with Clause 32.1 of the
Conditions.
For the avoidance of doubt, the draft payment claim submitted by the
Contractor is solely for the purpose of discussion and shall not be
construed as a payment claim served in accordance with Clause 32.1
of the Conditions.</t>
  </si>
  <si>
    <t>Sec1/45</t>
  </si>
  <si>
    <t>The Contractor shall register and submit e-invoices to the Employer
through the online portal, Changi eProcure, at
https://sesami.online/cag/Login.jsp.</t>
  </si>
  <si>
    <t>All costs incurred for the compliance of this requirement shall be borne
by the Contractor.</t>
  </si>
  <si>
    <t>The Contractor shall provide a construction cashflow based on the
programme submitted, incorporating the actual and anticipated values
of work executed and materials on site. The Contractor shall update the
cashflow as required and as necessary at such time the programme is
revised. Cashflows shall be submitted together with the programme(s)
to the Superintending Officer.</t>
  </si>
  <si>
    <t>REDUCE HEAT STRESS RISKS FOR OUTDOOR WORKERS)</t>
  </si>
  <si>
    <t>REGULATIONS</t>
  </si>
  <si>
    <t>The Contractor shall at all times throughout the progress of the Works
have full regard and take responsibility at his own cost for the
implementation of and strict compliance with all requirements as set out
in the Workplace Safety and Health (Enhanced Measures to reduce
Heat Stress Risks for Outdoor Workers) Regulations (the “Heat Stress
Risks Enhanced Measures”) and any subsequent amendments and
revisions thereof as issued by the relevant authorities and / or the
Building and Construction Authority (BCA).</t>
  </si>
  <si>
    <t>The Contractor shall comply with all requirements as set out in the Heat
Stress Risks Enhanced Measures. The requirements described here
are provided for guidance only and shall not be construed as the full
and definitive scope of the Heat Stress Risks Enhanced Measures.</t>
  </si>
  <si>
    <t>All losses, expenses, costs, additional payments, compensations,
charges, fees or any other amount whatsoever arising from and in
connection with the implementation of and compliance with the
requirements of the Heat Stress Risks Enhanced Measures shall be
borne by the Contractor.</t>
  </si>
  <si>
    <t>Sec1/46</t>
  </si>
  <si>
    <t>REGULATIONS (CONT'D)</t>
  </si>
  <si>
    <t>Reduced / loss of productivity arising from the rest frequencies and
durations of outdoor workers shall be fully factored in the Contractor's
planned work programmes. Claims for extension of time, loss,
compensation on the grounds of loss / reduced productivity will not be
considered.</t>
  </si>
  <si>
    <t>The Contractor shall be deemed to have satisfied himself that the
Contract Sum has included for, but not limited to, such costs, charges,
fees and expenses that may be incurred to comply with the
requirements, measures and the like under the Heat Stress Enhanced
Measures including any other requirements as may be issued by the
relevant authorities and/or the BCA from time to time in subsequent
versions, updates and revisions of Heat Stress Risks Enhanced
Measures.</t>
  </si>
  <si>
    <t>Sec1/47</t>
  </si>
  <si>
    <t>The Contractor shall allow all costs to comply fully to the following
provisions as stated in the Particular Requirements:-</t>
  </si>
  <si>
    <t>1. General
1.1. Introduction
1.2. Abbreviations used in the Contract
1.3. Type of Contract
1.4. Codes, Regulations, Standards and Technical Reference
1.5. Work Preambles
1.6. Scope of Works
1.7. Additional Scope</t>
  </si>
  <si>
    <t>2. Contractor's Organisation
2.1. Contractor's Key Personnel Qualifications
2.2. Resources</t>
  </si>
  <si>
    <t>3. Site Management
3.1. Definitions
3.2. Site &amp; Laydown Area
3.3. Demarcation of Site &amp; Laydown Area
3.4. Site Security
3.5. Haul Roads
3.6. Temporary Utilities
3.7. Temporary Drainage
3.8. Flood Protection
3.9. Site Maintenance
3.10. Safety on Site &amp; Laydown Areas
3.11. Temporary Facilities
3.12. Reinstatement Works
3.13. Site Utilisation and Planning</t>
  </si>
  <si>
    <t>4. Site Existing Condition
4.1. General
4.2. Height Control on Temporary Structures and Construction
Equipment
4.3. Services Detection, Protection and Diversion
4.4. Earthworks
4.5. Material of Value or Antiquity
4.6. Soil Investigtion Report
4.7. Underground Obstructions
4.8. Existing Fixtures
4.9. Disruptions Due to Events Near CE</t>
  </si>
  <si>
    <t>Sec1/48</t>
  </si>
  <si>
    <t>The Contractor shall allow all costs to comply fully to the following
provisions as stated in the Particular Requirements:- (cont'd)</t>
  </si>
  <si>
    <t>5. Programme and Progress Requirements
5.1. Information Submittal &amp; Review
5.2. Programming Software
5.3. Basis of Programme
5.4. Other Programme to be Submitted
5.5. Programme Content
5.6. Programming Quality
5.7. S-Curves
5.8. Resource Histograms
5.9. Progress Reports
5.10. Meetings
5.11. Time-Based Building Information Models</t>
  </si>
  <si>
    <t>6. Workplace Safety and Health Management
6.1. General</t>
  </si>
  <si>
    <t>7. Risk Management
7.1. General
7.2. Risk Management Plan
7.3. Risk Register
7.4. Risk Reporting
7.5. Risk Review Meetings
7.6. Design for Safety (DfS) Requirements</t>
  </si>
  <si>
    <t>8. Handover And Upkeep
8.1. General Handover Provisions
8.2. Completion of Part of Site Works Together with Ancillary
Buildings
8.3. Cleaning And Other Works Upon Completion
8.4. Close-Out Procedures
8.5. Asset Identification and Labelling
8.6. Documentation
8.7. As-built Drawings and Documents
8.8. Maintenance Manual
8.9. Operational Manual
8.10. Maintenance Tools and Test Equipment
8.11. Response Time Requirements and Defects Rectification
During DLP
8.12. Completion of Defects Liability Period
8.13. Warranty and Guarantee</t>
  </si>
  <si>
    <t>Sec1/49</t>
  </si>
  <si>
    <t>9. Survey and Setting out
9.1. Contractor's Registered Land Surveyor
9.2. Survey Control in General
9.3. Primary Survey Control
9.4. Secondary Survey Control
9.5. Verification of Survey Data Provided
9.6. Report on Verification Survey
9.7. Pre-construction Topographic Survey
9.8. Details of Survey
9.9. Field Survey
9.10. Topographic Survey Report Requirements
9.11. Details and Scope of Survey
9.12. Survey of As-built Building Height
9.13. Coordinates in As-built Survey Drawings
9.14. Details to be Provided in As-built Project Survey Drawings
9.15. Details to be Provided in As-built Aeronautical Data Survey
9.16. Submission of Final As-built Project Survey Drawings and
Reports
9.17. Submission of Final As-built Aeronautical Survey (WGS84)
Reports &amp; Drawings</t>
  </si>
  <si>
    <t>10. Quality Control (QC) and Quality Assurance (QA)
10.1. Accuracy of Constructed Works
10.2. General Requirements of Quality Assurance
10.3. Quality System Requirements
10.4. Quality Assurance Plans (QAP)s
10.5. Quality Processes and Procedures (QPP)s
10.6. Audits
10.7. Organisation &amp; Resources
10.8 Quality Control (QC) and Inspection Program
10.9. Inspection and Test Plans (ITP)s
10.10. Method Statements
10.11. Sample Testing
10.12. Material Sample Submissions and Mock-up Installations
10.13. Quality of Material, Workmanship and Tests
10.14. Non-Conformances, Corrective Actions and Preventive
Measures
10.15. Test Reports
10.16. Quality Assuarance and Quality Control Monthly Report</t>
  </si>
  <si>
    <t>Sec1/50</t>
  </si>
  <si>
    <t>11. Schedule of Meetings
11.1. General
11.2. Kick Off Meeting
11.3 Site Meetings
11.4 Daily Toolbox Meetings
11.5 Monthly Variation Meetings
11.6 Schedule of Meetings</t>
  </si>
  <si>
    <t>12. Changi East Applications
12.1. Cereal App</t>
  </si>
  <si>
    <t>13. Capital Allowances (CA) and Asset Identification
13.1. Provision of Cost Breakdown Information
13.3. Asset Identification and Labelling</t>
  </si>
  <si>
    <t>Sec1/51</t>
  </si>
  <si>
    <t>COLLECTION</t>
  </si>
  <si>
    <t>SECT 1/1 ….................................................................</t>
  </si>
  <si>
    <t>SECT 1/2 ….................................................................</t>
  </si>
  <si>
    <t>SECT 1/3 ….................................................................</t>
  </si>
  <si>
    <t>SECT 1/4 ….................................................................</t>
  </si>
  <si>
    <t>SECT 1/5 ….................................................................</t>
  </si>
  <si>
    <t>SECT 1/6 ….................................................................</t>
  </si>
  <si>
    <t>SECT 1/7 ….................................................................</t>
  </si>
  <si>
    <t>SECT 1/8 ….................................................................</t>
  </si>
  <si>
    <t>SECT 1/9 ….................................................................</t>
  </si>
  <si>
    <t>SECT 1/10 …...............................................................</t>
  </si>
  <si>
    <t>SECT 1/11 …...............................................................</t>
  </si>
  <si>
    <t>SECT 1/12 …...............................................................</t>
  </si>
  <si>
    <t>SECT 1/13 …...............................................................</t>
  </si>
  <si>
    <t>SECT 1/14 …...............................................................</t>
  </si>
  <si>
    <t>SECT 1/15 …...............................................................</t>
  </si>
  <si>
    <t>SECT 1/16 …...............................................................</t>
  </si>
  <si>
    <t>SECT 1/17 …...............................................................</t>
  </si>
  <si>
    <t>SECT 1/18 …...............................................................</t>
  </si>
  <si>
    <t>SECT 1/19 …...............................................................</t>
  </si>
  <si>
    <t>SECT 1/20 …...............................................................</t>
  </si>
  <si>
    <t>Sec1/52</t>
  </si>
  <si>
    <t>SECT 1/21 …...............................................................</t>
  </si>
  <si>
    <t>SECT 1/22 …...............................................................</t>
  </si>
  <si>
    <t>SECT 1/23 …...............................................................</t>
  </si>
  <si>
    <t>SECT 1/24 …...............................................................</t>
  </si>
  <si>
    <t>SECT 1/25 …...............................................................</t>
  </si>
  <si>
    <t>SECT 1/26 …...............................................................</t>
  </si>
  <si>
    <t>SECT 1/27 …...............................................................</t>
  </si>
  <si>
    <t>SECT 1/28 …...............................................................</t>
  </si>
  <si>
    <t>SECT 1/29 …...............................................................</t>
  </si>
  <si>
    <t>SECT 1/30 …...............................................................</t>
  </si>
  <si>
    <t>SECT 1/31 …...............................................................</t>
  </si>
  <si>
    <t>SECT 1/32 …...............................................................</t>
  </si>
  <si>
    <t>SECT 1/33 …...............................................................</t>
  </si>
  <si>
    <t>SECT 1/34 …...............................................................</t>
  </si>
  <si>
    <t>SECT 1/35 …...............................................................</t>
  </si>
  <si>
    <t>SECT 1/36 …...............................................................</t>
  </si>
  <si>
    <t>SECT 1/37 …...............................................................</t>
  </si>
  <si>
    <t>SECT 1/38 …...............................................................</t>
  </si>
  <si>
    <t>SECT 1/39 …...............................................................</t>
  </si>
  <si>
    <t>SECT 1/40 …...............................................................</t>
  </si>
  <si>
    <t>Sec1/53</t>
  </si>
  <si>
    <t>SECT 1/41 …...............................................................</t>
  </si>
  <si>
    <t>SECT 1/42 …...............................................................</t>
  </si>
  <si>
    <t>SECT 1/43 …...............................................................</t>
  </si>
  <si>
    <t>SECT 1/44 …...............................................................</t>
  </si>
  <si>
    <t>SECT 1/45 …...............................................................</t>
  </si>
  <si>
    <t>SECT 1/46 …...............................................................</t>
  </si>
  <si>
    <t>SECT 1/47 …...............................................................</t>
  </si>
  <si>
    <t>SECT 1/48 …...............................................................</t>
  </si>
  <si>
    <t>SECT 1/49 …...............................................................</t>
  </si>
  <si>
    <t>SECT 1/50 …...............................................................</t>
  </si>
  <si>
    <t>TO FINAL SUMMARY (excluding GST)</t>
  </si>
  <si>
    <t>Tender No: CE/25/T5/P/896</t>
  </si>
  <si>
    <t>Generally</t>
  </si>
  <si>
    <t>Markup</t>
  </si>
  <si>
    <t>A</t>
  </si>
  <si>
    <t>SECTION 2</t>
  </si>
  <si>
    <t>B</t>
  </si>
  <si>
    <t>PC rate</t>
  </si>
  <si>
    <t>C</t>
  </si>
  <si>
    <t>Material
(S$)</t>
  </si>
  <si>
    <t>Labour
(S$)</t>
  </si>
  <si>
    <t>Phase A
Qty</t>
  </si>
  <si>
    <t>Phase A
Sub-Total</t>
  </si>
  <si>
    <t>Phase A
Amount (S$)</t>
  </si>
  <si>
    <t>Phase B
Qty</t>
  </si>
  <si>
    <t>Phase B
Sub-Total</t>
  </si>
  <si>
    <t>Phase B
Amount (S$)</t>
  </si>
  <si>
    <t>MARKUP
CODE</t>
  </si>
  <si>
    <t>SUBMISSION
AMOUNT (S$)</t>
  </si>
  <si>
    <t>Other</t>
  </si>
  <si>
    <t>Sec 2.1/1</t>
  </si>
  <si>
    <t>D</t>
  </si>
  <si>
    <t>Collection</t>
  </si>
  <si>
    <t>To Collection:</t>
  </si>
  <si>
    <t>Collection:</t>
  </si>
  <si>
    <t>Architect</t>
  </si>
  <si>
    <t>ARCHITECT</t>
  </si>
  <si>
    <t>Design Development Stage</t>
  </si>
  <si>
    <t>a</t>
  </si>
  <si>
    <t>LS</t>
  </si>
  <si>
    <t>b</t>
  </si>
  <si>
    <t>c</t>
  </si>
  <si>
    <t>Construction Stage</t>
  </si>
  <si>
    <t>d</t>
  </si>
  <si>
    <t>Completion Stage</t>
  </si>
  <si>
    <t>e</t>
  </si>
  <si>
    <t>Upon substantial completion and obtain Temporary Occupation Permit (TOP) — 10%</t>
  </si>
  <si>
    <t>Structure</t>
  </si>
  <si>
    <t>CIVIL &amp; STRUCTURAL ENGINEER</t>
  </si>
  <si>
    <t>Make submission to relevant technical departments (for C&amp;S works) for clearance — 10%</t>
  </si>
  <si>
    <t>Obtain Foundation Plan approval — 5%</t>
  </si>
  <si>
    <t>Obtain Building Plan approval — 5%</t>
  </si>
  <si>
    <t>Obtain Structural Plan approval (for main project works) — 5%</t>
  </si>
  <si>
    <t>Obtain Certificate of Statutory Completion (CSC) / Final Completion Certificate — 10%</t>
  </si>
  <si>
    <t>MNE</t>
  </si>
  <si>
    <t>MECHANICAL &amp; ELECTRICAL ENGINEER</t>
  </si>
  <si>
    <t>Make submission to relevant technical departments (for M&amp;E works) — 15%</t>
  </si>
  <si>
    <t>Obtain clearance from relevant technical departments (for M&amp;E works) — 10%</t>
  </si>
  <si>
    <t>Obtain Building Plan approval (for M&amp;E works) — 5%</t>
  </si>
  <si>
    <t>CODE SUMMARY</t>
  </si>
  <si>
    <t>Trade Code Breakdown — Sec 2 - Professional Fees</t>
  </si>
  <si>
    <t>SUBMISSION
AMT (S$)</t>
  </si>
  <si>
    <t>Preliminaries</t>
  </si>
  <si>
    <t>Mgmt</t>
  </si>
  <si>
    <t>Site Management</t>
  </si>
  <si>
    <t>Labour</t>
  </si>
  <si>
    <t>Plant</t>
  </si>
  <si>
    <t>Plants</t>
  </si>
  <si>
    <t>Scaf</t>
  </si>
  <si>
    <t>Scaffolding</t>
  </si>
  <si>
    <t>Utilities</t>
  </si>
  <si>
    <t>Quality</t>
  </si>
  <si>
    <t>Conquas and quality mark</t>
  </si>
  <si>
    <t>Bond</t>
  </si>
  <si>
    <t>Performance bond</t>
  </si>
  <si>
    <t>Insur</t>
  </si>
  <si>
    <t>Insurances &amp; bond</t>
  </si>
  <si>
    <t>PC</t>
  </si>
  <si>
    <t>PC &amp; Provional Sum</t>
  </si>
  <si>
    <t>Instru</t>
  </si>
  <si>
    <t>Instrumentation</t>
  </si>
  <si>
    <t>Demo</t>
  </si>
  <si>
    <t>Demolition Works</t>
  </si>
  <si>
    <t>Earth</t>
  </si>
  <si>
    <t>Earth Works</t>
  </si>
  <si>
    <t>Pile</t>
  </si>
  <si>
    <t>Piling Works</t>
  </si>
  <si>
    <t>CBP</t>
  </si>
  <si>
    <t>Contiguous bored pile, Secant pile</t>
  </si>
  <si>
    <t>BakauPile</t>
  </si>
  <si>
    <t>Bakau pile</t>
  </si>
  <si>
    <t>SI</t>
  </si>
  <si>
    <t>Soil Improvement Works</t>
  </si>
  <si>
    <t>Dwall</t>
  </si>
  <si>
    <t>Diaphragm wall</t>
  </si>
  <si>
    <t>PileOther</t>
  </si>
  <si>
    <t xml:space="preserve">Others piling system </t>
  </si>
  <si>
    <t>Temp</t>
  </si>
  <si>
    <t>Temporary Works</t>
  </si>
  <si>
    <t>Sheetpile</t>
  </si>
  <si>
    <t>Sheet pile / Soldier Pile with lagging</t>
  </si>
  <si>
    <t>SoilNail</t>
  </si>
  <si>
    <t>Soil nail</t>
  </si>
  <si>
    <t>Termite</t>
  </si>
  <si>
    <t>Anti termite</t>
  </si>
  <si>
    <t>SubLean</t>
  </si>
  <si>
    <t>Sub Struct Wks - Lean Conc</t>
  </si>
  <si>
    <t>SubConc(V)</t>
  </si>
  <si>
    <t>Sub Struct Wks - Concrete (column, wall &amp; etc)</t>
  </si>
  <si>
    <t>SubConc(H)</t>
  </si>
  <si>
    <t>Sub Struct Wks - Concrete (beam, slab, drop panel &amp; etc)</t>
  </si>
  <si>
    <t>SubFW(V)</t>
  </si>
  <si>
    <t>Sub Struct Wks - Formwork (column, wall &amp; etc)</t>
  </si>
  <si>
    <t>SubFW(H)</t>
  </si>
  <si>
    <t>Sub Struct Wks - Formwork (beam, slab, drop panel &amp; etc)</t>
  </si>
  <si>
    <t>SubBar(V)</t>
  </si>
  <si>
    <t>Sub Struct Wks - Rebar (column, wall &amp; etc)</t>
  </si>
  <si>
    <t>SubBar(H)</t>
  </si>
  <si>
    <t>Sub Struct Wks - Rebar (beam, slab, drop panel &amp; etc)</t>
  </si>
  <si>
    <t>SubMesh(V)</t>
  </si>
  <si>
    <t>Sub Struct Wks - Mesh (column, wall &amp; etc)</t>
  </si>
  <si>
    <t>SubMesh(H)</t>
  </si>
  <si>
    <t>Sub Struct Wks - Mesh (beam, slab, drop panel &amp; etc)</t>
  </si>
  <si>
    <t>SuperLean</t>
  </si>
  <si>
    <t>Super Struct Wks - Lean Conc</t>
  </si>
  <si>
    <t>SuperConc(V)</t>
  </si>
  <si>
    <t>Super Struct Wks - Concrete (column, wall &amp; etc)</t>
  </si>
  <si>
    <t>SuperConc(H)</t>
  </si>
  <si>
    <t>Super Struct Wks - Concrete (beam, slab, drop panel &amp; etc)</t>
  </si>
  <si>
    <t>SuperFW(V)</t>
  </si>
  <si>
    <t>Super Struct Wks - Formwork (column, wall &amp; etc)</t>
  </si>
  <si>
    <t>SuperFW(H)</t>
  </si>
  <si>
    <t>Super Struct Wks - Formwork (beam, slab, drop panel &amp; etc)</t>
  </si>
  <si>
    <t>SuperBar(V)</t>
  </si>
  <si>
    <t>Super Struct Wks - Rebar (column, wall &amp; etc)</t>
  </si>
  <si>
    <t>SuperBar(H)</t>
  </si>
  <si>
    <t>Super Struct Wks - Rebar (beam, slab, drop panel &amp; etc)</t>
  </si>
  <si>
    <t>SuperMesh(V)</t>
  </si>
  <si>
    <t>Super Struct Wks - Mesh (column, wall &amp; etc)</t>
  </si>
  <si>
    <t>SuperMesh(H)</t>
  </si>
  <si>
    <t>Super Struct Wks - Mesh (beam, slab, drop panel &amp; etc)</t>
  </si>
  <si>
    <t>Precast(V)</t>
  </si>
  <si>
    <t>Precast (column, wall, parapet, staircase &amp; etc)</t>
  </si>
  <si>
    <t>Precast(H)</t>
  </si>
  <si>
    <t>Precast ( slab, plank, beam, ledge &amp; etc)</t>
  </si>
  <si>
    <t>HCSlab</t>
  </si>
  <si>
    <t>Hollow core slab</t>
  </si>
  <si>
    <t>PT</t>
  </si>
  <si>
    <t>Post tensioning</t>
  </si>
  <si>
    <t>Steel</t>
  </si>
  <si>
    <t>Steel Structure Works</t>
  </si>
  <si>
    <t>Struct</t>
  </si>
  <si>
    <t>Struct Misc (Plinth, Kerb, Mass Conc)</t>
  </si>
  <si>
    <t>Sstruct</t>
  </si>
  <si>
    <t>Lintel &amp; Stiffener (Structural Steel Members)</t>
  </si>
  <si>
    <t>RoofStruc</t>
  </si>
  <si>
    <t>Roof structure</t>
  </si>
  <si>
    <t>Roof</t>
  </si>
  <si>
    <t>Roof finishing</t>
  </si>
  <si>
    <t>RWDP</t>
  </si>
  <si>
    <t>Rainwater drainage system / Siphonic Drain system</t>
  </si>
  <si>
    <t>FloorScrd</t>
  </si>
  <si>
    <t>Floor Screed (including pfloat, hardener …)</t>
  </si>
  <si>
    <t>FloorI</t>
  </si>
  <si>
    <t xml:space="preserve">Others Floor Finishes (floor matt, EDPM, </t>
  </si>
  <si>
    <t>FloorTimber</t>
  </si>
  <si>
    <t>Timber floor</t>
  </si>
  <si>
    <t>FoorRaised</t>
  </si>
  <si>
    <t>Raised floor</t>
  </si>
  <si>
    <t>FloorCarpet</t>
  </si>
  <si>
    <t>Carpet floor</t>
  </si>
  <si>
    <t>FloorVinyl</t>
  </si>
  <si>
    <t xml:space="preserve">Vinyl Floor finishes / High end resilint vinyl floor </t>
  </si>
  <si>
    <t>FloorTile</t>
  </si>
  <si>
    <t>Floor Tiles finishes (including divider, threshold,…)</t>
  </si>
  <si>
    <t>Skirt</t>
  </si>
  <si>
    <t>Skirting (tile, timber, alum, SS, …)</t>
  </si>
  <si>
    <t>FloorEpoxy</t>
  </si>
  <si>
    <t>Epoxy costing to floor</t>
  </si>
  <si>
    <t>Supplytile</t>
  </si>
  <si>
    <t xml:space="preserve">Supply of Tiles </t>
  </si>
  <si>
    <t>LWPanel</t>
  </si>
  <si>
    <t xml:space="preserve">Light weight panel wall/Brickwalls/ Blockwall </t>
  </si>
  <si>
    <t>Partition</t>
  </si>
  <si>
    <t>Drywalls partition</t>
  </si>
  <si>
    <t>Walll</t>
  </si>
  <si>
    <t>WallSkim</t>
  </si>
  <si>
    <t>Wall Skim</t>
  </si>
  <si>
    <t>WallClad</t>
  </si>
  <si>
    <t>Wall cladding (Acoustic treatment, timber panel, ID finishes)</t>
  </si>
  <si>
    <t>WallTiles</t>
  </si>
  <si>
    <t>Wall tiles finishes</t>
  </si>
  <si>
    <t>Stair</t>
  </si>
  <si>
    <t>Staircase Finishes (wall, floor &amp; ceiling excluding railing)</t>
  </si>
  <si>
    <t>Paint</t>
  </si>
  <si>
    <t>Painting  (for wall &amp; ceiling)</t>
  </si>
  <si>
    <t>FireCoat</t>
  </si>
  <si>
    <t>Fire protection coating to steel</t>
  </si>
  <si>
    <t>Ceil</t>
  </si>
  <si>
    <t>Ceilgypsum</t>
  </si>
  <si>
    <t>Gypsum board/ Calcium silicate / mineral fibre board ceiling</t>
  </si>
  <si>
    <t>Ceilalum</t>
  </si>
  <si>
    <t>Alum Baffle Ceiling or other alum ceiling</t>
  </si>
  <si>
    <t>Ceilskim</t>
  </si>
  <si>
    <t>Skim coat to ceiling</t>
  </si>
  <si>
    <t>DoorTimber</t>
  </si>
  <si>
    <t>Timber Door</t>
  </si>
  <si>
    <t>DoorMetal</t>
  </si>
  <si>
    <t>Metal door</t>
  </si>
  <si>
    <t>RS</t>
  </si>
  <si>
    <t>Roller Shutter</t>
  </si>
  <si>
    <t>Owall</t>
  </si>
  <si>
    <t>Operable wall</t>
  </si>
  <si>
    <t>DoorAccoustic</t>
  </si>
  <si>
    <t>Accoustic Door</t>
  </si>
  <si>
    <t>Iron</t>
  </si>
  <si>
    <t>Ironmongeries</t>
  </si>
  <si>
    <t>Alum</t>
  </si>
  <si>
    <t>Aluminium Works (incl alum door &amp; window, louvred, etc)</t>
  </si>
  <si>
    <t>CurtainWall</t>
  </si>
  <si>
    <t>Curtain wall system</t>
  </si>
  <si>
    <t>Glazing</t>
  </si>
  <si>
    <t>Glass Glazing (including skylight)</t>
  </si>
  <si>
    <t>Clad</t>
  </si>
  <si>
    <t>Aluminium Cladding</t>
  </si>
  <si>
    <t>Grail</t>
  </si>
  <si>
    <t xml:space="preserve">Glass railing </t>
  </si>
  <si>
    <t>FireGlass</t>
  </si>
  <si>
    <t>Fire rated glass</t>
  </si>
  <si>
    <t>DoorGlass</t>
  </si>
  <si>
    <t>Glass doors</t>
  </si>
  <si>
    <t>GFRC</t>
  </si>
  <si>
    <t>GFRC façade</t>
  </si>
  <si>
    <t>FaçadePrecast</t>
  </si>
  <si>
    <t>Precast panel façade</t>
  </si>
  <si>
    <t>Trellis</t>
  </si>
  <si>
    <t>Ward</t>
  </si>
  <si>
    <t>Wardrobes</t>
  </si>
  <si>
    <t>KitCab</t>
  </si>
  <si>
    <t>Kitchen cabinets (including counter top)</t>
  </si>
  <si>
    <t>Vanity</t>
  </si>
  <si>
    <t>Toilet vanity + vanity cabinet (inlcuding vanity top)</t>
  </si>
  <si>
    <t>Countertop</t>
  </si>
  <si>
    <t>Counter top (incl solid surface, quartz, marble and etc)</t>
  </si>
  <si>
    <t>ledge</t>
  </si>
  <si>
    <t>Ledge (toilet ledge, window ledge &amp; etc)</t>
  </si>
  <si>
    <t>FurnitureSys</t>
  </si>
  <si>
    <t>System Furniture / Work Stations</t>
  </si>
  <si>
    <t>LooseF</t>
  </si>
  <si>
    <t xml:space="preserve">Loose furniture </t>
  </si>
  <si>
    <t>FurnitureCustom</t>
  </si>
  <si>
    <t>Custom made furniture ( including DB cabinet, Shoes cabinet …)</t>
  </si>
  <si>
    <t>Mirror</t>
  </si>
  <si>
    <t>Shower</t>
  </si>
  <si>
    <t>Shower Screen</t>
  </si>
  <si>
    <t>Tcubicle</t>
  </si>
  <si>
    <t>Toilet cubicle</t>
  </si>
  <si>
    <t>Ware</t>
  </si>
  <si>
    <t>Sanitary Ware &amp; fittings (including toilet grab bar, Baby changing station, Grab bar)</t>
  </si>
  <si>
    <t>Appliances</t>
  </si>
  <si>
    <t>Kitchen appliances</t>
  </si>
  <si>
    <t>Firestop</t>
  </si>
  <si>
    <t>Fire stop</t>
  </si>
  <si>
    <t>Metal</t>
  </si>
  <si>
    <t>Metal Works (steel column guard, Lbox, Steel/alum ladder, trap door, lift hook, lift beam &amp; etc)</t>
  </si>
  <si>
    <t>RailSteel</t>
  </si>
  <si>
    <t>Steel Railings</t>
  </si>
  <si>
    <t>Grating</t>
  </si>
  <si>
    <t>CatW</t>
  </si>
  <si>
    <t>Catwalk platform with railing</t>
  </si>
  <si>
    <t>WPbsmt</t>
  </si>
  <si>
    <t>Basement waterproofing</t>
  </si>
  <si>
    <t>Wproof</t>
  </si>
  <si>
    <t>Flat roof waterprooing (whole system)</t>
  </si>
  <si>
    <t>WP</t>
  </si>
  <si>
    <t>Wet areas, pools, planter etc waterproofing</t>
  </si>
  <si>
    <t>WPAdd</t>
  </si>
  <si>
    <t>Waterproofing Additive</t>
  </si>
  <si>
    <t>ID</t>
  </si>
  <si>
    <t>Interior Design Work</t>
  </si>
  <si>
    <t>SignTOP</t>
  </si>
  <si>
    <t>TOP Signages (including building signage, name)</t>
  </si>
  <si>
    <t>SignOthers</t>
  </si>
  <si>
    <t>Other signages</t>
  </si>
  <si>
    <t>Dock</t>
  </si>
  <si>
    <t>Dock Levellers</t>
  </si>
  <si>
    <t>Gondola</t>
  </si>
  <si>
    <t>Pneumatic</t>
  </si>
  <si>
    <t>Pneumatic Waste Disposal System</t>
  </si>
  <si>
    <t>Builder</t>
  </si>
  <si>
    <t>Builder works in connection with services</t>
  </si>
  <si>
    <t>contingency</t>
  </si>
  <si>
    <t>Contingency sum</t>
  </si>
  <si>
    <t>Ext</t>
  </si>
  <si>
    <t>Road</t>
  </si>
  <si>
    <t>Service Road / Driveway (include road kerb, divider,.. )</t>
  </si>
  <si>
    <t>Drain</t>
  </si>
  <si>
    <t>Drain and culverts</t>
  </si>
  <si>
    <t>RW</t>
  </si>
  <si>
    <t>Retaining Wall</t>
  </si>
  <si>
    <t>BoundaryW</t>
  </si>
  <si>
    <t>Boundary wall (including gate, BRC, fencing…)</t>
  </si>
  <si>
    <t>ESS</t>
  </si>
  <si>
    <t>Substation</t>
  </si>
  <si>
    <t>GHouse</t>
  </si>
  <si>
    <t>Guard house, Bin Centre</t>
  </si>
  <si>
    <t>BinCentre</t>
  </si>
  <si>
    <t>Bin Centre</t>
  </si>
  <si>
    <t>MiscExt</t>
  </si>
  <si>
    <t>Pavilion, shelter, shed, landscape trellis, BBQ, scupture, GFRC feature, ….</t>
  </si>
  <si>
    <t>Irrigation</t>
  </si>
  <si>
    <t>Irrigarion system</t>
  </si>
  <si>
    <t>harvest</t>
  </si>
  <si>
    <t>Rain harvesting system</t>
  </si>
  <si>
    <t>Soft</t>
  </si>
  <si>
    <t>Landscaping/softscape</t>
  </si>
  <si>
    <t>EPS</t>
  </si>
  <si>
    <t xml:space="preserve">Auto barrier </t>
  </si>
  <si>
    <t>Gym</t>
  </si>
  <si>
    <t xml:space="preserve">Gynasium Equpiment </t>
  </si>
  <si>
    <t>Steam</t>
  </si>
  <si>
    <t>Spa / Jacuzzi / Sauna / Stream bath</t>
  </si>
  <si>
    <t>Play</t>
  </si>
  <si>
    <t xml:space="preserve">Playground Equpiment  </t>
  </si>
  <si>
    <t>Furniturepool</t>
  </si>
  <si>
    <t>Pool Deck Furniture  &amp;  Lanscape Furniture</t>
  </si>
  <si>
    <t>SportCourt</t>
  </si>
  <si>
    <t xml:space="preserve">Tennis, Basketball, Badminton, Soccer court </t>
  </si>
  <si>
    <t>Sundries / Miscellaneous Works</t>
  </si>
  <si>
    <t>Minor</t>
  </si>
  <si>
    <t>Minor sewer</t>
  </si>
  <si>
    <t>diversion</t>
  </si>
  <si>
    <t>Diversion of existing services</t>
  </si>
  <si>
    <t>connect</t>
  </si>
  <si>
    <t>Connection Fees &amp; termination fee</t>
  </si>
  <si>
    <t>OthersPC</t>
  </si>
  <si>
    <t>Elect</t>
  </si>
  <si>
    <t>Electrical</t>
  </si>
  <si>
    <t>AV</t>
  </si>
  <si>
    <t>Audio video system</t>
  </si>
  <si>
    <t>LightUnit</t>
  </si>
  <si>
    <t>Unit/internal Light fittings</t>
  </si>
  <si>
    <t>LightFacade</t>
  </si>
  <si>
    <t>Façade lighting</t>
  </si>
  <si>
    <t>LightLscape</t>
  </si>
  <si>
    <t>Landscape light fittings</t>
  </si>
  <si>
    <t>Switches</t>
  </si>
  <si>
    <t>switches</t>
  </si>
  <si>
    <t>Security</t>
  </si>
  <si>
    <t>Security works</t>
  </si>
  <si>
    <t>ACMV</t>
  </si>
  <si>
    <t>Air Con &amp; Mech Vent</t>
  </si>
  <si>
    <t>BMS</t>
  </si>
  <si>
    <t>Building management system</t>
  </si>
  <si>
    <t>Smoke</t>
  </si>
  <si>
    <t>Smoke Control System</t>
  </si>
  <si>
    <t>ACEQ</t>
  </si>
  <si>
    <t xml:space="preserve">Air Con Equipment </t>
  </si>
  <si>
    <t>Cleanrom</t>
  </si>
  <si>
    <t>Clean Room</t>
  </si>
  <si>
    <t>AirSys</t>
  </si>
  <si>
    <t>Process Air System</t>
  </si>
  <si>
    <t>SP</t>
  </si>
  <si>
    <t>Sanitary &amp; Plumbing &amp; Gas</t>
  </si>
  <si>
    <t>FireP</t>
  </si>
  <si>
    <t>Fire Protection system</t>
  </si>
  <si>
    <t>Swim</t>
  </si>
  <si>
    <t>Swimming Pool &amp; Filtration System</t>
  </si>
  <si>
    <t>WaterF</t>
  </si>
  <si>
    <t>Water feature system</t>
  </si>
  <si>
    <t>Lift</t>
  </si>
  <si>
    <t>Lift Installation (including excalator)</t>
  </si>
  <si>
    <t>LiftOthers</t>
  </si>
  <si>
    <t>Platform lift / refused chute lift / bin Lift &amp; etc</t>
  </si>
  <si>
    <t>Design</t>
  </si>
  <si>
    <t>Consultancy Fees</t>
  </si>
  <si>
    <t>Structure Consultants</t>
  </si>
  <si>
    <t>M&amp;E Consultants</t>
  </si>
  <si>
    <t>RI</t>
  </si>
  <si>
    <t>Register Inspector</t>
  </si>
  <si>
    <t>AC</t>
  </si>
  <si>
    <t>Accreditated checkers</t>
  </si>
  <si>
    <t>TOTAL</t>
  </si>
  <si>
    <t>GRAND TOTAL — ALL CODES</t>
  </si>
  <si>
    <t>SECTION 3</t>
  </si>
  <si>
    <t>Phase A
SUBMISSION
AMOUNT (S$)</t>
  </si>
  <si>
    <t>Phase B 
SUBMISSION
AMOUNT (S$)</t>
  </si>
  <si>
    <t>3.2/1</t>
  </si>
  <si>
    <t>SECTION NO 3.2 — DORMITORY BLOCKS</t>
  </si>
  <si>
    <t>Detailed Design, Construct, Supply, Install, Complete, Testing and Commissioning of Workers Dormitory Blocks and Associated Facilities</t>
  </si>
  <si>
    <t>SUBSTRUCTURE</t>
  </si>
  <si>
    <t>EarthWorks</t>
  </si>
  <si>
    <t>1.1.1</t>
  </si>
  <si>
    <t>Bituminous waterproof membrane</t>
  </si>
  <si>
    <t>Item</t>
  </si>
  <si>
    <t>1.1.2</t>
  </si>
  <si>
    <t>Anti-termite treatment</t>
  </si>
  <si>
    <t>1.1.3</t>
  </si>
  <si>
    <t>Excavation, Backfill and Disposal</t>
  </si>
  <si>
    <t>Raft Foundation</t>
  </si>
  <si>
    <t>1.2.1</t>
  </si>
  <si>
    <t>Lean concrete</t>
  </si>
  <si>
    <t>1.2.2</t>
  </si>
  <si>
    <t>Hardcore</t>
  </si>
  <si>
    <t>1.2.3</t>
  </si>
  <si>
    <t>Concrete</t>
  </si>
  <si>
    <t>1.2.4</t>
  </si>
  <si>
    <t>Formwork</t>
  </si>
  <si>
    <t>1.2.5</t>
  </si>
  <si>
    <t>Reinforcement</t>
  </si>
  <si>
    <t>1.3</t>
  </si>
  <si>
    <t>Plate Load Test</t>
  </si>
  <si>
    <t>3.2/2</t>
  </si>
  <si>
    <t>SUPERSTRUCTURE</t>
  </si>
  <si>
    <t>Frame</t>
  </si>
  <si>
    <t>2.1.1</t>
  </si>
  <si>
    <t xml:space="preserve">Structural Frame including Beam, Column, Trusses and necessary finishes and coating </t>
  </si>
  <si>
    <t>Upper floors</t>
  </si>
  <si>
    <t>2.2.1</t>
  </si>
  <si>
    <t>Upper Floor Slabs — Contractor Proposed System (Tenderer to insert the proposed system)</t>
  </si>
  <si>
    <t>2.2.2</t>
  </si>
  <si>
    <t>Drainage to Corridor</t>
  </si>
  <si>
    <t>2.2.2.1</t>
  </si>
  <si>
    <t>Rainwater pipes</t>
  </si>
  <si>
    <t>2.2.2.2</t>
  </si>
  <si>
    <t>Floor outlets</t>
  </si>
  <si>
    <t>2.3.1</t>
  </si>
  <si>
    <t>Roof Structure</t>
  </si>
  <si>
    <t>2.3.1.1</t>
  </si>
  <si>
    <t>Pitched Roof</t>
  </si>
  <si>
    <t>2.3.1.2</t>
  </si>
  <si>
    <t>Flat Roof</t>
  </si>
  <si>
    <t>2.3.2</t>
  </si>
  <si>
    <t>Roof Covering</t>
  </si>
  <si>
    <t>2.3.2.1</t>
  </si>
  <si>
    <t>Roof coverings, metal sheet roofing</t>
  </si>
  <si>
    <t>2.3.2.2</t>
  </si>
  <si>
    <t>Flashings</t>
  </si>
  <si>
    <t>2.3.3</t>
  </si>
  <si>
    <t>Roof drainage</t>
  </si>
  <si>
    <t>2.3.3.1</t>
  </si>
  <si>
    <t>Gutters</t>
  </si>
  <si>
    <t>2.3.3.2</t>
  </si>
  <si>
    <t>3.2/3</t>
  </si>
  <si>
    <t>SUPERSTRUCTURE (CONT'D)</t>
  </si>
  <si>
    <t>Stairs and ramps</t>
  </si>
  <si>
    <t>2.4.1</t>
  </si>
  <si>
    <t>Stair / ramp structures</t>
  </si>
  <si>
    <t>2.4.1.1</t>
  </si>
  <si>
    <t>Stair structure</t>
  </si>
  <si>
    <t>2.4.1.2</t>
  </si>
  <si>
    <t>Ramp structure</t>
  </si>
  <si>
    <t>2.4.2</t>
  </si>
  <si>
    <t>Stair / ramp finishes</t>
  </si>
  <si>
    <t>2.4.2.1</t>
  </si>
  <si>
    <t>Stair finishes</t>
  </si>
  <si>
    <t>2.4.2.2</t>
  </si>
  <si>
    <t>Ramp finishes</t>
  </si>
  <si>
    <t>2.4.3</t>
  </si>
  <si>
    <t>Stair / ramp balustrades and handrails</t>
  </si>
  <si>
    <t>2.4.3.1</t>
  </si>
  <si>
    <t>Stair balustrades and handrails</t>
  </si>
  <si>
    <t>2.4.3.2</t>
  </si>
  <si>
    <t>Ramp balustrades and handrails</t>
  </si>
  <si>
    <t>2.4.4</t>
  </si>
  <si>
    <t>Ladders / chutes / slides</t>
  </si>
  <si>
    <t>External walls</t>
  </si>
  <si>
    <t>2.5.1</t>
  </si>
  <si>
    <t>External wall including external finishes — Contractor Proposed System</t>
  </si>
  <si>
    <t>2.5.2</t>
  </si>
  <si>
    <t>Perforated Screen</t>
  </si>
  <si>
    <t>2.5.3</t>
  </si>
  <si>
    <t>Corrugated steel cladding</t>
  </si>
  <si>
    <t>3.2/4</t>
  </si>
  <si>
    <t>Windows and external doors</t>
  </si>
  <si>
    <t>2.6.1</t>
  </si>
  <si>
    <t>External windows</t>
  </si>
  <si>
    <t>2.6.1.1</t>
  </si>
  <si>
    <t>Window</t>
  </si>
  <si>
    <t>2.6.1.2</t>
  </si>
  <si>
    <t>Louvres</t>
  </si>
  <si>
    <t>2.6.2.1</t>
  </si>
  <si>
    <t>External doors</t>
  </si>
  <si>
    <t>2.6.2.2</t>
  </si>
  <si>
    <t>Roller shutters, sliding shutters and the like to external door openings</t>
  </si>
  <si>
    <t>Internal walls and partitions</t>
  </si>
  <si>
    <t>2.7.1</t>
  </si>
  <si>
    <t>Internal wall partition system — Contractor Proposed System</t>
  </si>
  <si>
    <t>2.7.2</t>
  </si>
  <si>
    <t>Phenolic compact laminate board with door and accessories</t>
  </si>
  <si>
    <t>Internal doors</t>
  </si>
  <si>
    <t>2.8.1</t>
  </si>
  <si>
    <t>INTERNAL FINISHES</t>
  </si>
  <si>
    <t>3.1.1</t>
  </si>
  <si>
    <t>Heavy duty vinyl sheet to Dormitory Bedrooms and areas as specified</t>
  </si>
  <si>
    <t>3.1.2</t>
  </si>
  <si>
    <t>Slip-resistance ceramic tiles to Dormitory Toilets and areas as specified</t>
  </si>
  <si>
    <t>3.1.3</t>
  </si>
  <si>
    <t>Floor finishes to Common Corridor and areas as specified</t>
  </si>
  <si>
    <t>3.1.4</t>
  </si>
  <si>
    <t>Skirtings and the like</t>
  </si>
  <si>
    <t>3.2.1</t>
  </si>
  <si>
    <t>Low VOC emulsion paint finish to Dormitory Bedroom and areas as specified</t>
  </si>
  <si>
    <t>3.2.2</t>
  </si>
  <si>
    <t>Glazed ceramic tiles to Dormitory Toilets and areas as specified</t>
  </si>
  <si>
    <t>3.2.3</t>
  </si>
  <si>
    <t>Weather-resistant and impact resistant finishes to Common Corridor and areas as specified</t>
  </si>
  <si>
    <t>3.3.1</t>
  </si>
  <si>
    <t>Mineral fiber board w/ suspended grid ceiling</t>
  </si>
  <si>
    <t>3.3.2</t>
  </si>
  <si>
    <t>Moisture resistant board w. suspended ceiling grid to Toilets</t>
  </si>
  <si>
    <t>3.3.3</t>
  </si>
  <si>
    <t>Access hatches and the like</t>
  </si>
  <si>
    <t>3.2/6</t>
  </si>
  <si>
    <t>FITTINGS, FURNISHINGS AND EQUIPMENT</t>
  </si>
  <si>
    <t>Dormitory Bedroom</t>
  </si>
  <si>
    <t>4.1.1</t>
  </si>
  <si>
    <t xml:space="preserve">Double bunk bed with mattress </t>
  </si>
  <si>
    <t>4.1.2</t>
  </si>
  <si>
    <t>Lockable steel storage cabinets</t>
  </si>
  <si>
    <t>4.1.3</t>
  </si>
  <si>
    <t>Fans (Ceiling Fan, Standing Fan)</t>
  </si>
  <si>
    <t>Dormitory Unit Toilet</t>
  </si>
  <si>
    <t>4.2.1</t>
  </si>
  <si>
    <t>Sanitary Wares and Accessories including but not limited to Shower Rail and Curtain, Shower Points, Water Closet, Toilet Paper Holder, Wash Basin, Bib Tap, Mirror etc</t>
  </si>
  <si>
    <t>Kitchen and Dining</t>
  </si>
  <si>
    <t>4.3.1</t>
  </si>
  <si>
    <t>Tables and Benches Set</t>
  </si>
  <si>
    <t>4.3.2</t>
  </si>
  <si>
    <t>Kitchen Sanitary Wares and Fittings including but not limited to Heavy Duty Stainless Steel Sinks, Taps etc.</t>
  </si>
  <si>
    <t>4.3.3</t>
  </si>
  <si>
    <t>Gas stove</t>
  </si>
  <si>
    <t>4.3.4</t>
  </si>
  <si>
    <t>Anti Rodent Lockable Steel Storage Cabinets</t>
  </si>
  <si>
    <t>4.3.5</t>
  </si>
  <si>
    <t>Full height netting to prevent attraction of birds</t>
  </si>
  <si>
    <t>Corridor</t>
  </si>
  <si>
    <t>4.4.1</t>
  </si>
  <si>
    <t>Metal clothes drying rack</t>
  </si>
  <si>
    <t>3.2/7</t>
  </si>
  <si>
    <t>SIGNAGE</t>
  </si>
  <si>
    <t>5.1.1</t>
  </si>
  <si>
    <t>Design, Supply, Install of Signage such as directional signs, traffic sign/signboards</t>
  </si>
  <si>
    <t>ANY OTHER ITEMS</t>
  </si>
  <si>
    <t>Allow for any other items of work not included in this Section but are shown on the Drawings and Specifications; or not shown on the Drawings and Specifications but which are considered necessary for the proper execution and full satisfactory completion of Works, if not listed below, shall be deemed to be included in the overall tender price (Contractor to provide details)</t>
  </si>
  <si>
    <t>(1)</t>
  </si>
  <si>
    <t>(2)</t>
  </si>
  <si>
    <t>(3)</t>
  </si>
  <si>
    <t>3.2/8</t>
  </si>
  <si>
    <t>Sec 3.2/1</t>
  </si>
  <si>
    <t>Sec 3.2/2</t>
  </si>
  <si>
    <t>Sec 3.2/3</t>
  </si>
  <si>
    <t>Sec 3.2/4</t>
  </si>
  <si>
    <t>Sec 3.2/5</t>
  </si>
  <si>
    <t>Sec 3.2/6</t>
  </si>
  <si>
    <t>Sec 3.2/7</t>
  </si>
  <si>
    <t>SECTION NO 3.3 — AMENITIES BLOCK</t>
  </si>
  <si>
    <t>Detailed Design, Construct, Supply, Install, Complete, Testing and Commissioning of Amenities Block and Associated Facilities as shown on drawings, specifications, requirements all in accordance to S.O. approval and compliance to latest Authorities and Code of Practice Requirements:</t>
  </si>
  <si>
    <t>Structural Frame including Beam, Column, Trusses and necessary finishes and coating — Contractor Proposed System</t>
  </si>
  <si>
    <t>Upper Floor Slabs — Contractor Proposed System</t>
  </si>
  <si>
    <t>Roof covering</t>
  </si>
  <si>
    <t>2.6.2</t>
  </si>
  <si>
    <t>Concrete screeding</t>
  </si>
  <si>
    <t>Heavy duty vinyl sheet</t>
  </si>
  <si>
    <t>Slip-resistance homogeneous tiles</t>
  </si>
  <si>
    <t>Low VOC emulsion paint finish</t>
  </si>
  <si>
    <t>Glazed ceramic tiles to Toilets and areas as specified</t>
  </si>
  <si>
    <t>Anti-microbial paint</t>
  </si>
  <si>
    <t>Powder coated with expanded metal mesh</t>
  </si>
  <si>
    <t>Moisture resistant board w/ suspended ceiling grid to Toilets</t>
  </si>
  <si>
    <t>3.3.4</t>
  </si>
  <si>
    <t>Water resistant calcium silicate board</t>
  </si>
  <si>
    <t>Wall-mounted mirror</t>
  </si>
  <si>
    <t>Ceiling-mounted TV</t>
  </si>
  <si>
    <t>Gym Equipment including Chest press machine; Lat pull down machine; Pec deck machine; Rowing machine; Leg press machine; Leg extension machine; 2 nos. Treadmill; Cross trainer machine; Preacher bench; Barbells with assortment of weight plates; Dumbbells with weight plates (1 set each 2.5kg, 5kg, 7.5kg, 10kg, 12.5kg); Abdominal bench; Chin up/dipping bars</t>
  </si>
  <si>
    <t>4.1.4</t>
  </si>
  <si>
    <t>Sanitary Wares and Accessories including but not limited to Wash Basin, Tap, Mirror etc</t>
  </si>
  <si>
    <t>FCC / Security Room</t>
  </si>
  <si>
    <t>Built-in low cabinetry with counters sufficient to house security monitors and equipment (FCC / Security Room)</t>
  </si>
  <si>
    <t>4.2.2</t>
  </si>
  <si>
    <t>System workstation with min 1.6m high partition</t>
  </si>
  <si>
    <t>Sick Bay</t>
  </si>
  <si>
    <t>Beds with metal frame and mattress (Sick Bay)</t>
  </si>
  <si>
    <t>Sanitary wares and fittings</t>
  </si>
  <si>
    <t>Electric kettle, washing machine, wall-mounted TV</t>
  </si>
  <si>
    <t>Canteen / Stalls / Toilets</t>
  </si>
  <si>
    <t>4.4.2</t>
  </si>
  <si>
    <t>40-inch Television at Dining Area</t>
  </si>
  <si>
    <t>4.4.3</t>
  </si>
  <si>
    <t>TV Room / Reading Room</t>
  </si>
  <si>
    <t>4.5.1</t>
  </si>
  <si>
    <t>Chairs</t>
  </si>
  <si>
    <t>4.5.2</t>
  </si>
  <si>
    <t>Bookshelves and reading materials of various languages</t>
  </si>
  <si>
    <t>4.5.3</t>
  </si>
  <si>
    <t>50-inch LCD Television</t>
  </si>
  <si>
    <t>Laundry</t>
  </si>
  <si>
    <t>4.6.1</t>
  </si>
  <si>
    <t>Commercial grade laundry machines</t>
  </si>
  <si>
    <t>4.6.2</t>
  </si>
  <si>
    <t>Stainless steel sink</t>
  </si>
  <si>
    <t>Multi-purpose Room 2 / White Space</t>
  </si>
  <si>
    <t>4.7.1</t>
  </si>
  <si>
    <t>Entrance Lobby</t>
  </si>
  <si>
    <t>4.8.1</t>
  </si>
  <si>
    <t>Facial recognition turnstiles and thermal scanner (Entrance Lobby)</t>
  </si>
  <si>
    <t>Allow for any other items of work not included in this Section (Contractor to provide details)</t>
  </si>
  <si>
    <t>[Contractor to specify]</t>
  </si>
  <si>
    <t>SECTION NO 3.4 — RECREATION CENTRE</t>
  </si>
  <si>
    <t>Detailed Design, Construct, Supply, Install, Complete, Testing and Commissioning of Recreation Centre and Associated Facilities</t>
  </si>
  <si>
    <t>Cement screed</t>
  </si>
  <si>
    <t>Mineral fiber ceiling board</t>
  </si>
  <si>
    <t>Moisture resistant board w/ suspended ceiling grid</t>
  </si>
  <si>
    <t>SECTION NO 3.5 — SERVICES BLOCK</t>
  </si>
  <si>
    <t>Structural Frame including Beam, Column, Trusses and necessary finishes and coating</t>
  </si>
  <si>
    <t>Concrete screed with hardener</t>
  </si>
  <si>
    <t>Glazed ceramic tiles</t>
  </si>
  <si>
    <t>SECT3.SUM</t>
  </si>
  <si>
    <t>SECTION 4</t>
  </si>
  <si>
    <t>SECTION NO 4.2 — EXTERNAL WORKS</t>
  </si>
  <si>
    <t>Provision of all machinery, equipment, labour, materials, tools including transportation for carting off excess earth and importing suitable earth necessary for the cut, fill, top up, consolidate and level up of existing ground to the proposed platform levels.</t>
  </si>
  <si>
    <t>Anti-termite treatment system to external areas.</t>
  </si>
  <si>
    <t>m2</t>
  </si>
  <si>
    <t>Surface drain; 300mm wide</t>
  </si>
  <si>
    <t>Surface drain; 600mm wide</t>
  </si>
  <si>
    <t>Sump pit</t>
  </si>
  <si>
    <t>nr</t>
  </si>
  <si>
    <t>Drain cover/grating</t>
  </si>
  <si>
    <t>Perimeter welded mesh fence; min 2500mm H</t>
  </si>
  <si>
    <t>Main entrance gate (motorised)</t>
  </si>
  <si>
    <t>Pedestrian gate</t>
  </si>
  <si>
    <t>Vehicle barrier / boom gate</t>
  </si>
  <si>
    <t>SECTION 5</t>
  </si>
  <si>
    <t>Take delivery and installation of plumbing and sanitary fixtures</t>
  </si>
  <si>
    <t>1.3.1</t>
  </si>
  <si>
    <t>1.3.2</t>
  </si>
  <si>
    <t>Gas detection system</t>
  </si>
  <si>
    <t>i)</t>
  </si>
  <si>
    <t>3.1.1.1</t>
  </si>
  <si>
    <t>3.1.2.1</t>
  </si>
  <si>
    <t>3.1.2.2</t>
  </si>
  <si>
    <t>Isolators</t>
  </si>
  <si>
    <t>3.1.2.3</t>
  </si>
  <si>
    <t>3.1.3.1</t>
  </si>
  <si>
    <t>Lighting fixtures</t>
  </si>
  <si>
    <t>3.1.3.2</t>
  </si>
  <si>
    <t>3.1.3.3</t>
  </si>
  <si>
    <t>3.1.4.1</t>
  </si>
  <si>
    <t>Ceiling Fan</t>
  </si>
  <si>
    <t>3.1.4.2</t>
  </si>
  <si>
    <t>Wall Fan</t>
  </si>
  <si>
    <t>3.1.4.3</t>
  </si>
  <si>
    <t>3.1.5.1</t>
  </si>
  <si>
    <t>3.1.5.2</t>
  </si>
  <si>
    <t>Lightning tape</t>
  </si>
  <si>
    <t>3.1.5.3</t>
  </si>
  <si>
    <t>3.1.6.1</t>
  </si>
  <si>
    <t>Sub-main cable</t>
  </si>
  <si>
    <t>3.1.7</t>
  </si>
  <si>
    <t>3.2.1.1</t>
  </si>
  <si>
    <t>CCTV camera</t>
  </si>
  <si>
    <t>3.2.1.2</t>
  </si>
  <si>
    <t>CCTV wiring point</t>
  </si>
  <si>
    <t>3.2.1.3</t>
  </si>
  <si>
    <t>3.2.1.4</t>
  </si>
  <si>
    <t>UPS</t>
  </si>
  <si>
    <t>3.2.2.1</t>
  </si>
  <si>
    <t>PA speaker</t>
  </si>
  <si>
    <t>3.2.2.2</t>
  </si>
  <si>
    <t>PA wiring point</t>
  </si>
  <si>
    <t>3.2.2.3</t>
  </si>
  <si>
    <t>3.2.3.1</t>
  </si>
  <si>
    <t>Wifi Access point</t>
  </si>
  <si>
    <t>3.2.3.2</t>
  </si>
  <si>
    <t>Wifi wiring point</t>
  </si>
  <si>
    <t>3.2.4</t>
  </si>
  <si>
    <t>Hose reel</t>
  </si>
  <si>
    <t>Above ground hose reel pipes including valves and all necessary accessories</t>
  </si>
  <si>
    <t>Fire Extinguishers</t>
  </si>
  <si>
    <t>Air Conditioning System</t>
  </si>
  <si>
    <t>Main Switchboard</t>
  </si>
  <si>
    <t>3.1.1.2</t>
  </si>
  <si>
    <t>Monitor</t>
  </si>
  <si>
    <t>NVR</t>
  </si>
  <si>
    <t>Rack</t>
  </si>
  <si>
    <t>Fiber switch</t>
  </si>
  <si>
    <t>3.2.1.5</t>
  </si>
  <si>
    <t>PoE switch</t>
  </si>
  <si>
    <t>3.2.1.6</t>
  </si>
  <si>
    <t>3.2.1.7</t>
  </si>
  <si>
    <t>3.2.1.8</t>
  </si>
  <si>
    <t>PA controller</t>
  </si>
  <si>
    <t>System router</t>
  </si>
  <si>
    <t>Paging console</t>
  </si>
  <si>
    <t>3.2.2.4</t>
  </si>
  <si>
    <t>Amplifier</t>
  </si>
  <si>
    <t>3.2.2.5</t>
  </si>
  <si>
    <t>3.2.2.6</t>
  </si>
  <si>
    <t>3.2.2.7</t>
  </si>
  <si>
    <t>3.2.2.8</t>
  </si>
  <si>
    <t>Firewall</t>
  </si>
  <si>
    <t>3.2.2.9</t>
  </si>
  <si>
    <t>3.2.2.10</t>
  </si>
  <si>
    <t>Telecommunication System</t>
  </si>
  <si>
    <t>3.2.5</t>
  </si>
  <si>
    <t>Emergency Call System</t>
  </si>
  <si>
    <t>3.2.6</t>
  </si>
  <si>
    <t>Inspection chamber</t>
  </si>
  <si>
    <t>Waste Sump</t>
  </si>
  <si>
    <t>1.1.4</t>
  </si>
  <si>
    <t>Sump pump</t>
  </si>
  <si>
    <t>1.1.5</t>
  </si>
  <si>
    <t>Above ground sanitary pipes including vent cowl, floor trap, floor waste and all necessary accessories</t>
  </si>
  <si>
    <t>1.1.6</t>
  </si>
  <si>
    <t>Underground sanitary pipes including excavation, backfill and all necessary accessories between IC, Waste Sump and Grease Interceptor</t>
  </si>
  <si>
    <t>Water tank</t>
  </si>
  <si>
    <t>Water pump</t>
  </si>
  <si>
    <t>Generator System</t>
  </si>
  <si>
    <t>2.1.2.1</t>
  </si>
  <si>
    <t>SSO</t>
  </si>
  <si>
    <t>2.1.2.2</t>
  </si>
  <si>
    <t>2.1.2.3</t>
  </si>
  <si>
    <t>Power wiring point</t>
  </si>
  <si>
    <t>2.1.3.1</t>
  </si>
  <si>
    <t>Indoor lighting fixtures</t>
  </si>
  <si>
    <t>2.1.3.2</t>
  </si>
  <si>
    <t>Outdoor lighting including column and all necessary accessories</t>
  </si>
  <si>
    <t>2.1.3.3</t>
  </si>
  <si>
    <t>Lighting wiring point</t>
  </si>
  <si>
    <t>2.1.4.1</t>
  </si>
  <si>
    <t>Air terminal</t>
  </si>
  <si>
    <t>2.1.4.2</t>
  </si>
  <si>
    <t>2.1.4.3</t>
  </si>
  <si>
    <t>2.1.5.1</t>
  </si>
  <si>
    <t>2.1.6.1</t>
  </si>
  <si>
    <t>Underground electrical pipe including drawpit, excavation, backfill and all necessary accessories</t>
  </si>
  <si>
    <t>2.2.1.1</t>
  </si>
  <si>
    <t>Outdoor CCTV camera</t>
  </si>
  <si>
    <t>2.2.1.2</t>
  </si>
  <si>
    <t>2.2.1.3</t>
  </si>
  <si>
    <t>Fiber Optic cable</t>
  </si>
  <si>
    <t>2.2.1.4</t>
  </si>
  <si>
    <t>Underground electrical pipe including drawpit, MCT, excavation, backfill and all necessary accessories</t>
  </si>
  <si>
    <t>2.2.3.1</t>
  </si>
  <si>
    <t>2.2.3.2</t>
  </si>
  <si>
    <t>2.2.4.1</t>
  </si>
  <si>
    <t>Turnstile system including facial recognition, temperature detection terminal, cable, cable containment and all necessary accessories</t>
  </si>
  <si>
    <t>Underground hose reel pipes including excavation, backfill and all necessary accessories</t>
  </si>
  <si>
    <t>Fire hydrant</t>
  </si>
  <si>
    <t>Underground hydrant pipes including excavation, backfill and all necessary accessories</t>
  </si>
  <si>
    <t>Sewerage Treatment Plant</t>
  </si>
  <si>
    <t>SECTION NO 5.3 — FACILITIES BLOCK</t>
  </si>
  <si>
    <t>SECTION NO 5.4 — RECREATION CENTRE</t>
  </si>
  <si>
    <t>SECTION NO 5.5 — EXTERNAL</t>
  </si>
  <si>
    <t>GENERAL MATTERS AND OBLIGATIONS</t>
  </si>
  <si>
    <t>GENERAL</t>
  </si>
  <si>
    <t>ALTERATION TO TEXT</t>
  </si>
  <si>
    <t>GENERAL MATTERS AND OBLIGATIONS (CONT'D)</t>
  </si>
  <si>
    <t>CONDITIONS OF CONTRACT</t>
  </si>
  <si>
    <t>FIRM PRICE CONTRACT</t>
  </si>
  <si>
    <t>FIRM PRICE CONTRACT (CONT'D)</t>
  </si>
  <si>
    <t>DISCREPANCIES IN DRAWINGS AND SPECIFICATIONS</t>
  </si>
  <si>
    <t>LABOUR, PLANT AND TOOLS</t>
  </si>
  <si>
    <t>WORKING DAYS AND WORKING HOURS</t>
  </si>
  <si>
    <t>OVERTIME AND BONUS PAYMENTS</t>
  </si>
  <si>
    <t>CLOSED-CIRCUIT TELEVISION CAMERAS (CCTV) FOR</t>
  </si>
  <si>
    <t>MATERIALS AND GOODS</t>
  </si>
  <si>
    <t>SINGAPORE GREEN BUILDING PRODUCTS</t>
  </si>
  <si>
    <t>SUBSTITUTION OF MATERIALS WITH APPROVAL</t>
  </si>
  <si>
    <t>ORDERING OF MATERIALS</t>
  </si>
  <si>
    <t>WARRANTY OF TITLE</t>
  </si>
  <si>
    <t>BRANCH OFFICE CONTRACTORS</t>
  </si>
  <si>
    <t>FINANCIAL REPORTS</t>
  </si>
  <si>
    <t>ENVIRONMENTAL SUSTAINABILITY</t>
  </si>
  <si>
    <t>ENVIRONMENTAL SUSTAINABILITY (CONT'D)</t>
  </si>
  <si>
    <r>
      <rPr>
        <u/>
        <sz val="11"/>
        <color theme="1"/>
        <rFont val="Calibri"/>
        <family val="2"/>
      </rPr>
      <t>Recycled Products</t>
    </r>
    <r>
      <rPr>
        <sz val="11"/>
        <color theme="1"/>
        <rFont val="Calibri"/>
        <family val="2"/>
        <charset val="1"/>
      </rPr>
      <t xml:space="preserve">
The Contractor shall supply and install the following products, where
applicable, with at least 30% recycled content by weight or volume.</t>
    </r>
  </si>
  <si>
    <r>
      <rPr>
        <u/>
        <sz val="11"/>
        <color theme="1"/>
        <rFont val="Calibri"/>
        <family val="2"/>
      </rPr>
      <t>Thermal Performance Laminated Glass</t>
    </r>
    <r>
      <rPr>
        <sz val="11"/>
        <color theme="1"/>
        <rFont val="Calibri"/>
        <family val="2"/>
        <charset val="1"/>
      </rPr>
      <t xml:space="preserve">
Unless specified under Specification for Architectural Works, all
external glazing for windows are to be tinted float glass of 15mm thick
with minimum SC value of 0.48 and U value 4.10W/m2K. The color
and sample glass are to be submitted to the Superintending Officer for
selection and approval.</t>
    </r>
  </si>
  <si>
    <r>
      <rPr>
        <u/>
        <sz val="11"/>
        <color theme="1"/>
        <rFont val="Calibri"/>
        <family val="2"/>
      </rPr>
      <t>Recycling Bins</t>
    </r>
    <r>
      <rPr>
        <sz val="11"/>
        <color theme="1"/>
        <rFont val="Calibri"/>
        <family val="2"/>
        <charset val="1"/>
      </rPr>
      <t xml:space="preserve">
The Contractor shall provide 3 no of NEA approved recycle-bins for
the Works, the location to Superintending Officer’s confirmation. The 3
recycle-bins shall be, one for glass, paper and metal respectively.
Each recycle bin shall have at least an interior holding capacity of 66
litres, or to Superintending Officer’s selection.</t>
    </r>
  </si>
  <si>
    <r>
      <rPr>
        <u/>
        <sz val="11"/>
        <color theme="1"/>
        <rFont val="Calibri"/>
        <family val="2"/>
      </rPr>
      <t>Indoor Environment Adhesives And Low VOC Paint</t>
    </r>
    <r>
      <rPr>
        <sz val="11"/>
        <color theme="1"/>
        <rFont val="Calibri"/>
        <family val="2"/>
        <charset val="1"/>
      </rPr>
      <t xml:space="preserve">
The Contractor shall procure and submit to the Superintending Officer,
environmentally friendly adhesives that are certified by approved local
certification body for internal usage (where required in building).</t>
    </r>
  </si>
  <si>
    <r>
      <rPr>
        <u/>
        <sz val="11"/>
        <color theme="1"/>
        <rFont val="Calibri"/>
        <family val="2"/>
      </rPr>
      <t xml:space="preserve">Building Operation Manual / User Guide On Energy Efficient Features
of Building
</t>
    </r>
    <r>
      <rPr>
        <sz val="11"/>
        <color theme="1"/>
        <rFont val="Calibri"/>
        <family val="2"/>
        <charset val="1"/>
      </rPr>
      <t>The Contractor shall compile a short report to the Superintending
Officer, in A4 size format, a summary on the Greenmark features of
the buildings.</t>
    </r>
  </si>
  <si>
    <t>PRESS STATEMENTS, SOCIAL MEDIA AND INTERNET</t>
  </si>
  <si>
    <t>PRODUCT AND WORKMANSHIP INDEMNITIES AND</t>
  </si>
  <si>
    <t>DIRECT CONTRACTORS ENGAGED BY EMPLOYER</t>
  </si>
  <si>
    <t>STAR RATES</t>
  </si>
  <si>
    <t>SHIFT AND OVERTIME WORKS</t>
  </si>
  <si>
    <t>NOT IN USE</t>
  </si>
  <si>
    <t>WEBCAMS</t>
  </si>
  <si>
    <t>CEREMONIES AND FUNCTIONS ON SITE</t>
  </si>
  <si>
    <t>1. Site clearance, levelling and compacting of ground
2. Personal protective equipment for guests;
3. Safe and accessible way for vehicles and parking area for guests;
4. Covered and protected walkways for safe passages to guests;
5. Keeping all areas of the Site affected by the ceremonies and/or
functions in a safe, secure and clean condition;
6. Removal of all rubbish and debris after the ceremonies and/or
functions; and
7. Providing all power supply, water and clean toilet facilities
The above facilities and attendance shall be provided at the
Contractor's own cost and time including re-scheduling the Works.
The Contractor shall programme and organise the Works and liaise
closely with the Superintending Officer and extend whatever
assistance and co-operation that may be necessary.</t>
  </si>
  <si>
    <t>“FOR INFORMATION ONLY” DRAWINGS, DOCUMENTS AND/OR</t>
  </si>
  <si>
    <t>CONTRACT SUM DEEMED TO INCLUDE ALL OTHER</t>
  </si>
  <si>
    <t>LICENSING OF BUILDERS</t>
  </si>
  <si>
    <r>
      <rPr>
        <u/>
        <sz val="11"/>
        <color theme="1"/>
        <rFont val="Calibri"/>
        <family val="2"/>
      </rPr>
      <t>Requirements</t>
    </r>
    <r>
      <rPr>
        <sz val="11"/>
        <color theme="1"/>
        <rFont val="Calibri"/>
        <family val="2"/>
        <charset val="1"/>
      </rPr>
      <t xml:space="preserve">
The Contractor shall hold a valid General Builder Licence issued by
the Commissioner of Building Control under the Building Control Act
(Cap. 29) and Building Control (Licensing of Builders) Regulations
(the “Regulations”) and any subsequent changes and re-enactments
thereto. A copy of the General Builder Licence shall be provided with
the tender submission.</t>
    </r>
  </si>
  <si>
    <r>
      <rPr>
        <u/>
        <sz val="11"/>
        <color theme="1"/>
        <rFont val="Calibri"/>
        <family val="2"/>
      </rPr>
      <t>Revocation of Licence</t>
    </r>
    <r>
      <rPr>
        <sz val="11"/>
        <color theme="1"/>
        <rFont val="Calibri"/>
        <family val="2"/>
        <charset val="1"/>
      </rPr>
      <t xml:space="preserve">
In the event the Contractor’s General Builder Licence or any of the
Specialist Builder Licences (including that held by any of his sub-
contractors, whether Nominated, directly or indirectly engaged) is
revoked or suspended or if directions and/or restrictions have been
imposed on the Contractor’s business as a General Builder and/or
Specialist Builder for whatever reasons by an order of the
Commissioner of Building Control, the Employer (or the Contractor, as
the case may be) shall be entitled as from the date of the notice of the
order to terminate the employment of the Contractor (or the sub-
contractor) in accordance with the Conditions/Conditions of Sub-
Contract.</t>
    </r>
  </si>
  <si>
    <r>
      <rPr>
        <u/>
        <sz val="11"/>
        <color theme="1"/>
        <rFont val="Calibri"/>
        <family val="2"/>
      </rPr>
      <t>Validity of Licences</t>
    </r>
    <r>
      <rPr>
        <sz val="11"/>
        <color theme="1"/>
        <rFont val="Calibri"/>
        <family val="2"/>
        <charset val="1"/>
      </rPr>
      <t xml:space="preserve">
The Contractor shall maintain validity of his General Builder Licence
and/or Specialist Builder Licences (and shall cause his sub-
contractors, whether Nominated, directly or indirectly engaged, to do
likewise) for the whole of the Time for Completion until the issue of the
Final Completion Certificate. If the Contractor fails to renew such
licences by the date of expiry of the licences, the Employer (or the
Contractor, as the case may be) shall be entitled as from the date of
expiry of the licence, or the earliest date of expiry if there is more than
one licence, to terminate the employment of the Contractor (or the sub-
contractor) in accordance with the Conditions/Conditions of Sub-
Contract.</t>
    </r>
  </si>
  <si>
    <r>
      <rPr>
        <u/>
        <sz val="11"/>
        <color theme="1"/>
        <rFont val="Calibri"/>
        <family val="2"/>
      </rPr>
      <t>Validity of Licences (Cont'd)</t>
    </r>
    <r>
      <rPr>
        <sz val="11"/>
        <color theme="1"/>
        <rFont val="Calibri"/>
        <family val="2"/>
        <charset val="1"/>
      </rPr>
      <t xml:space="preserve">
The Contractor shall at such intervals as the Superintending Officer
may require update the Superintending Officer and the Employer on
the status and validity of his licence(s) (including that of his sub-
contractors, whether Nominated, directly or indirectly engaged). If
requested by the Superintending Officer, the Contractor shall obtain
from the Commissioner of Building Control, a certificate(s) certifying
that the Contractor and/or any of his sub-contractors, whether
Nominated, directly or indirectly engaged is/are licensed as a General
Builder and/or Specialist Builder for the stipulated classes of specialist
work. Any prescribed fees payable for the certificate(s) from the
Commissioner of Building Control shall be borne by the Contractor.</t>
    </r>
  </si>
  <si>
    <t>ACCREDITED INSPECTION BODY FOR SITE INVESTIGATION</t>
  </si>
  <si>
    <t>CONSTRUCTION REGISTRATION OF TRADESMEN (CoreTrade)</t>
  </si>
  <si>
    <t>LICENSING OF IMPORTERS FOR ESSENTIAL CONSTRUCTION</t>
  </si>
  <si>
    <r>
      <rPr>
        <u/>
        <sz val="11"/>
        <color theme="1"/>
        <rFont val="Calibri"/>
        <family val="2"/>
      </rPr>
      <t>Requirements (Cont'd)</t>
    </r>
    <r>
      <rPr>
        <sz val="11"/>
        <color theme="1"/>
        <rFont val="Calibri"/>
        <family val="2"/>
        <charset val="1"/>
      </rPr>
      <t xml:space="preserve">
Any prescribed fees and costs payable in connection with the import
and supply of the Essential Construction Materials including applying
for, obtaining and renewing the Import Licences and the Permits from
the Authority shall be borne by the Contractor.</t>
    </r>
  </si>
  <si>
    <r>
      <rPr>
        <u/>
        <sz val="11"/>
        <color theme="1"/>
        <rFont val="Calibri"/>
        <family val="2"/>
      </rPr>
      <t>Revocation of Licences and Permits</t>
    </r>
    <r>
      <rPr>
        <sz val="11"/>
        <color theme="1"/>
        <rFont val="Calibri"/>
        <family val="2"/>
        <charset val="1"/>
      </rPr>
      <t xml:space="preserve">
In the event the Contractor’s Import Licences and/or Permits
(including that held by any of his sub-contractors, whether Nominated,
directly or indirectly engaged) is/are revoked or suspended or in the
case of the Permits, cancelled or if directions and/or restrictions have
been imposed on the Contractor’s business (including the business of
any of his suppliers and/or sub-contractors, whether Nominated,
directly or indirectly engaged) as an importer or importers of Essential
Construction Materials for whatever reasons by an order of the
Authority, the Contractor shall (and shall cause his suppliers and/or
sub-contractors, whether Nominated, directly or indirectly engaged to
do likewise) forthwith make immediate arrangements to obtain the
Essential Construction Materials from other suppliers holding valid
Import Licences and Permits.</t>
    </r>
  </si>
  <si>
    <t>GREEN AND GRACIOUS BUILDER SCHEME (GGBS)</t>
  </si>
  <si>
    <t>STATUTORY OBLIGATIONS, NOTICES, FEES AND CHARGES</t>
  </si>
  <si>
    <t>EMPLOYMENT OF FOREIGN EMPLOYEES</t>
  </si>
  <si>
    <t>CONTRIBUTIONS TO CPF AND TAXES</t>
  </si>
  <si>
    <t>COMPLIANCE WITH PRODUCT LISTING SCHEME (PLS)</t>
  </si>
  <si>
    <t>SINGAPORE ACCREDITATION COUNCIL’S CERTIFICATION</t>
  </si>
  <si>
    <t>INFECTIOUS DISEASES ACT</t>
  </si>
  <si>
    <t>INFECTIOUS DISEASES ACT (CONT'D)</t>
  </si>
  <si>
    <t>COMPLIANCE WITH STATUTORY ENACTMENTS AND BY-LAWS</t>
  </si>
  <si>
    <t>TAXATION</t>
  </si>
  <si>
    <t>QUALITY PROPOSALS (TEMPORARY AND / OR PERMANENT</t>
  </si>
  <si>
    <t>CONTRACT CONDITIONS</t>
  </si>
  <si>
    <t>CONDITIONS OF CONTRACT (the “Conditions”)</t>
  </si>
  <si>
    <r>
      <rPr>
        <u/>
        <sz val="11"/>
        <color theme="1"/>
        <rFont val="Calibri"/>
        <family val="2"/>
      </rPr>
      <t>Conditions</t>
    </r>
    <r>
      <rPr>
        <sz val="11"/>
        <color theme="1"/>
        <rFont val="Calibri"/>
        <family val="2"/>
        <charset val="1"/>
      </rPr>
      <t xml:space="preserve">
Clause 1 - Definitions and Interpretation
Clause 2 - Superintending Officer and Superintending Officer’s
Representative
Clause 3 - Contract Documents
Clause 4 - General Obligations of the Contractor
Clause 5 - Sub-Surface and Ground Conditions
Clause 6 - Works Designed by the Contractor
Clause 7 - Notices and Fees
Clause 8 - Setting Out
Clause 9 - Programme for the Works
Clause 10 - Quality in Construction
Clause 11 - Administration
Clause 12 - Possession of Site and Commencement of Works
Clause 13 - Suspension
Clause 14 - Time for Completion
Clause 15 - Expediting Progress of Works
Clause 16 - Liquidated Damages
Clause 17 - Substantial Completion
Clause 18 - Defects
Clause 19 - Variations to the Works</t>
    </r>
  </si>
  <si>
    <t>CONTRACT CONDITIONS (CONT'D)</t>
  </si>
  <si>
    <t>CONDITIONS OF CONTRACT (the “Conditions”) (CONT'D)</t>
  </si>
  <si>
    <r>
      <rPr>
        <u/>
        <sz val="11"/>
        <color theme="1"/>
        <rFont val="Calibri"/>
        <family val="2"/>
      </rPr>
      <t>Conditions (Cont'd)</t>
    </r>
    <r>
      <rPr>
        <sz val="11"/>
        <color theme="1"/>
        <rFont val="Calibri"/>
        <family val="2"/>
        <charset val="1"/>
      </rPr>
      <t xml:space="preserve">
Clause 20 - Valuation of Variations
Clause 21 - Measurement
Clause 22 - Claims for Loss and Expense
Clause 23 - Procedure for Claims
Clause 24 - Construction Equipment, Temporary Works, Materials and
Goods
Clause 25 - General Responsibilities
Clause 26 - Indemnity Provisions
Clause 27 - Insurance for Personal Injury, Work Injury Compensation
and Property Damage
Clause 28 - Insurance of the Works
Clause 29 - Damage to Property of Employer or Government
Clause 30 - Assignment and Subcontracting
Clause 31 - Termination by the Employer
Clause 32 - Progress Payments and Final Account
Clause 33 - Fluctuations
Clause 34 - Final Completion Certificate
Clause 35 - Settlement of Disputes
Clause 36 - Recovery by the Employer
Clause 37 - Governing Law &amp; Notices
Clause 38 - Compliance with Prevailing Law
Clause 39 - Compliance with Progressive Wage Mark Requirements
Clause 40 - Compliance with Workplace Safety and Health ("WSH")
Requirements</t>
    </r>
  </si>
  <si>
    <r>
      <rPr>
        <u/>
        <sz val="11"/>
        <color theme="1"/>
        <rFont val="Calibri"/>
        <family val="2"/>
      </rPr>
      <t>Option Modules</t>
    </r>
    <r>
      <rPr>
        <sz val="11"/>
        <color theme="1"/>
        <rFont val="Calibri"/>
        <family val="2"/>
        <charset val="1"/>
      </rPr>
      <t xml:space="preserve">
Option Module A - Unused Materials or Goods not Delivered to Site
Option Module B - Lump Sum Advance Payment for Prefabricated
Prefinished Volumetric Construction (PPVC)</t>
    </r>
  </si>
  <si>
    <r>
      <rPr>
        <u/>
        <sz val="11"/>
        <color theme="1"/>
        <rFont val="Calibri"/>
        <family val="2"/>
      </rPr>
      <t>Particular Conditions</t>
    </r>
    <r>
      <rPr>
        <sz val="11"/>
        <color theme="1"/>
        <rFont val="Calibri"/>
        <family val="2"/>
        <charset val="1"/>
      </rPr>
      <t xml:space="preserve">
Clause 1 - Definitions and Interpretation
Clause 2 - Superintending Officer and Superintending Officer's
Representative
Clause 3 - Contract Documents
Clause 4 - General Obligations of the Contractor
Clause 5 - Sub-Surface and Ground Conditions
Clause 6 - Works Designed by the Contractor
Clause 7 - Notices and Fees
Clause 9 - Programme for the Works
Clause 10 - Quality in Construction
Clause 11 - Administration
Clause 12 - Possession of Site and Commencement of Works
Clause 14 - Time for Completion
Clause 14A - Acceleration
Clause 15 - Expediting Progress of Works
Clause 17 - Substantial Completion</t>
    </r>
  </si>
  <si>
    <r>
      <rPr>
        <u/>
        <sz val="11"/>
        <color theme="1"/>
        <rFont val="Calibri"/>
        <family val="2"/>
      </rPr>
      <t>Particular Conditions (Cont'd)</t>
    </r>
    <r>
      <rPr>
        <sz val="11"/>
        <color theme="1"/>
        <rFont val="Calibri"/>
        <family val="2"/>
        <charset val="1"/>
      </rPr>
      <t xml:space="preserve">
Clause 20 - Valuation of Variations
Clause 22 - Claims for Loss and Expense
Clause 24 - Construction Equipment, Temporary Works, Materials and
Goods
Clause 25 - General Responsibilities
Clause 26 - Indemnity Provisions
Clause 27 - Insurance for Personal Injury, Work Injury Compensation
and Property Damage
Clause 28 - Insurance of the Works
Clause 30 - Assignment and Subcontracting
Clause 30A - Novation
Clause 31 - Termination by the Employer
Clause 32 - Progress Payments and Final Account
Clause 33 - Fluctuations
Clause 34 - Final Completion Certificate
Clause 37 - Governing Law and Notices
Clause 37A - Electronic Document Management System
Clause 39 - Compliance with Progressive Wage Mark Requirements
Clause 41 - Contract Language
Clause 42 - Industrial Relations
Clause 43 - Metrication
Clause 44 - Announcements
Clause 45 - Independent Contractor
Clause 46 - Notification
Clause 47 - Co-operation in the Investigation of Aerodrome Incidents</t>
    </r>
  </si>
  <si>
    <t>APPENDIX TO THE CONDITIONS OF CONTRACT</t>
  </si>
  <si>
    <t>CONSENT AND APPROVAL</t>
  </si>
  <si>
    <t>AMBIGUITY, DISCREPANCY ETC IN OR BETWEEN CONTRACT</t>
  </si>
  <si>
    <t>SECURITY DEPOSIT</t>
  </si>
  <si>
    <t>WORKMANSHIP</t>
  </si>
  <si>
    <t>SAMPLES</t>
  </si>
  <si>
    <t>EXCEPTIONALLY ADVERSE WEATHER</t>
  </si>
  <si>
    <t>EXCEPTIONALLY ADVERSE WEATHER (CONT'D)</t>
  </si>
  <si>
    <t>SEVERE HAZE CONDITIONS</t>
  </si>
  <si>
    <t>SEVERE HAZE CONDITIONS (CONT'D)</t>
  </si>
  <si>
    <t>RECKONING PERIODS OF DAYS – EXTENSION OF TIME AND</t>
  </si>
  <si>
    <t>PRE-REQUISITES FOR ISSUANCE OF CERTIFICATE OF</t>
  </si>
  <si>
    <t>COMPLETION OF PHASE OR PART AND OCCUPATION BY</t>
  </si>
  <si>
    <t>PROGRESS CLAIMS</t>
  </si>
  <si>
    <t>PROGRESS CLAIMS (CONT'D)</t>
  </si>
  <si>
    <t>INVOICING</t>
  </si>
  <si>
    <t>CONSTRUCTION CASHFLOW</t>
  </si>
  <si>
    <t>WORKPLACE SAFETY AND HEALTH (ENHANCED MEASURES TO</t>
  </si>
  <si>
    <t>COMPLIANCE WITH PARTICULAR REQUIREMENTS</t>
  </si>
  <si>
    <t>PARTICULAR REQUIREMENTS</t>
  </si>
  <si>
    <t>COMPLIANCE WITH PARTICULAR REQUIREMENTS (CONT'D)</t>
  </si>
  <si>
    <t>PARTICULAR REQUIREMENTS (CONT'D)</t>
  </si>
  <si>
    <t>CARRIED FORWARD</t>
  </si>
  <si>
    <t>SECTION NO 2.1 - PROFESSIONAL FEES</t>
  </si>
  <si>
    <t>Make submissions such as Development Control (DC)
submission (where applicable) to relevant technical
departments (for architectural works) for clearance</t>
  </si>
  <si>
    <t xml:space="preserve">Obtain clearances (DC clearance) from relevant technical departments (for architectural works) </t>
  </si>
  <si>
    <t>Obtain Building Plan approval from relevant technical departments (for architectural works)</t>
  </si>
  <si>
    <t>Construction</t>
  </si>
  <si>
    <t>During construction period in monthly instalments</t>
  </si>
  <si>
    <t>Completion</t>
  </si>
  <si>
    <t xml:space="preserve">Upon substantial completion and obtain Temporary Occupation Permit (TOP) </t>
  </si>
  <si>
    <t>Verifying defects rectification and submission of documents (warranties, manuals, as-built drawings)</t>
  </si>
  <si>
    <t>Obtain Certificate of Statutory Completion (CSC) /Final
Completion Certificate (for non CSC projects)/ handing
over completed works to relevant Authorities</t>
  </si>
  <si>
    <t>Sec 2.1/2</t>
  </si>
  <si>
    <t>Obtain clearance from relevant technical departments
(for C&amp;S works)</t>
  </si>
  <si>
    <t>Sec 2.1/3</t>
  </si>
  <si>
    <t>Verifying defects rectification and submission of
documents (warranties, manuals, as-built drawings, etc)</t>
  </si>
  <si>
    <t>Sec 2.1/4</t>
  </si>
  <si>
    <t>Sect 2.1/1</t>
  </si>
  <si>
    <t>Sect 2.1/2</t>
  </si>
  <si>
    <t>Sect 2.1/3</t>
  </si>
  <si>
    <t>FITTINGS, FURNISHINGS AND EQUIPMENT (CONT'D)</t>
  </si>
  <si>
    <t xml:space="preserve">Tables and Benches </t>
  </si>
  <si>
    <t>Amenities Block</t>
  </si>
  <si>
    <t>Sect 3.3/1</t>
  </si>
  <si>
    <t>Sect 3.3/2</t>
  </si>
  <si>
    <t>Sect 3.3/3</t>
  </si>
  <si>
    <t>Sect 3.3/4</t>
  </si>
  <si>
    <t>Sect 3.3/5</t>
  </si>
  <si>
    <t>Sect 3.3/6</t>
  </si>
  <si>
    <t>Sect 3.3/7</t>
  </si>
  <si>
    <t>Sect 3.3/8</t>
  </si>
  <si>
    <t>3.3/9</t>
  </si>
  <si>
    <t xml:space="preserve"> Drainage to Corridor</t>
  </si>
  <si>
    <t xml:space="preserve">Roof </t>
  </si>
  <si>
    <t xml:space="preserve"> Roof drainage</t>
  </si>
  <si>
    <t xml:space="preserve"> External walls</t>
  </si>
  <si>
    <t>Recreation Centre</t>
  </si>
  <si>
    <t>Sect 3.4/1</t>
  </si>
  <si>
    <t>Sect 3.4/2</t>
  </si>
  <si>
    <t>Sect 3.4/3</t>
  </si>
  <si>
    <t>Sect 3.4/4</t>
  </si>
  <si>
    <t>Sect 3.4/5</t>
  </si>
  <si>
    <t>Sect 3.4/6</t>
  </si>
  <si>
    <t>RORO Compactor</t>
  </si>
  <si>
    <t>Sect 3.5/1</t>
  </si>
  <si>
    <t>Sect 3.5/2</t>
  </si>
  <si>
    <t>Sect 3.5/3</t>
  </si>
  <si>
    <t>Sect 3.5/4</t>
  </si>
  <si>
    <t>Sect 3.5/5</t>
  </si>
  <si>
    <t>Sect 3.5/6</t>
  </si>
  <si>
    <t>3.5/7</t>
  </si>
  <si>
    <t xml:space="preserve">Trade Code Breakdown — Sec 3 </t>
  </si>
  <si>
    <t>4.2/7</t>
  </si>
  <si>
    <t>SITE PREPARATION WORKS</t>
  </si>
  <si>
    <t xml:space="preserve">Site Clearance </t>
  </si>
  <si>
    <t>EARTHWORKS</t>
  </si>
  <si>
    <t>Excavation and Backfilling</t>
  </si>
  <si>
    <t>To carry out excavation and backfilling works to the required design platform levels of RL106.50. All fill material shall be properly graded to the required fall and compacted to the Minimum AASHTO density of
90% and any deviation in backfill material will subject to S.O. approval. All fill material shall conform to the Specifications and shall be subjected to the approval of the S.O. All fill material shall be supplied from the Contractor's own source, unless otherwise instructed
by the S.O.</t>
  </si>
  <si>
    <t>ROADS / PAVINGS WORKS</t>
  </si>
  <si>
    <t>Roads, paths and pavings</t>
  </si>
  <si>
    <t>To carry out road/paving works including Fire Engine Access and Carriageways, Traffic Ingress/Egress etc. as per design (all necessary road marking, directional signages and finishes are deemed to be included in the tender) complying to LTA standards, laid on graded aggregate base, sub-base and compacted earth sub-grade, all as specified in the drawings</t>
  </si>
  <si>
    <t>VEHICLE DOP/ BUS BAY WORKS</t>
  </si>
  <si>
    <t>Vehicle DOP/Bus Bay Works</t>
  </si>
  <si>
    <t>To construct bus bays for pickup/drop off including substructure and superstructure, sheltered linkways, rain shelters and benches.</t>
  </si>
  <si>
    <t>4.2/8</t>
  </si>
  <si>
    <t>CONCRETE WORKS</t>
  </si>
  <si>
    <t>Concrete Works</t>
  </si>
  <si>
    <t>To construct concrete works such as slabs, footpaths, pavement, structure for multi-purpose hall hard courts, football/games pitches, outdoor fitness areas with all necessary painting and finishes.</t>
  </si>
  <si>
    <t>Signage</t>
  </si>
  <si>
    <t>6.1.1</t>
  </si>
  <si>
    <t>To supply and install all directional signages/traffic
sign, mandatory signages required for TOP and
obtaining FEDA licence, signboards and safety</t>
  </si>
  <si>
    <t>GRADING AND TURFING WORKS</t>
  </si>
  <si>
    <t>Grading and Turfing Works</t>
  </si>
  <si>
    <t>To grade and close turf all unpaved areas within the
Contract boundary complete with necessary drainage
and sumps (where required)</t>
  </si>
  <si>
    <t>7.1.1</t>
  </si>
  <si>
    <t>7.1.2</t>
  </si>
  <si>
    <t>To re-grade and re-turf and reinstate all unpaved areas outside the Contract boundary disturbed in the process of the works.</t>
  </si>
  <si>
    <t>DRAINAGE</t>
  </si>
  <si>
    <t>Drainage</t>
  </si>
  <si>
    <t>To design and construct, including all necessary
markings, associated drainage for the open field to be
functional and fit for purpose.</t>
  </si>
  <si>
    <t>8.1.1</t>
  </si>
  <si>
    <t>4.2/9</t>
  </si>
  <si>
    <t>COURTS</t>
  </si>
  <si>
    <t>Courts</t>
  </si>
  <si>
    <t>9.1.1</t>
  </si>
  <si>
    <t>9.1.2</t>
  </si>
  <si>
    <t>9.1.3</t>
  </si>
  <si>
    <t xml:space="preserve">Hard Court - for games </t>
  </si>
  <si>
    <t xml:space="preserve">Game Court – for mini football pitch </t>
  </si>
  <si>
    <t xml:space="preserve">Fitness Corner including equipment </t>
  </si>
  <si>
    <t>SECURITY FENCE</t>
  </si>
  <si>
    <t>Security Fence</t>
  </si>
  <si>
    <t>To carry of design, construct, complete with testing and
commissioning of (where applicable) perimeter security
dormitory fencing and gates including all associated civil
works, using welded mesh fence with anti-climb features,
with a minimum height of 2.5 metres including PE
endorsement.</t>
  </si>
  <si>
    <t>10.1.1</t>
  </si>
  <si>
    <t>4.2/10</t>
  </si>
  <si>
    <t>Sec 4.2/1</t>
  </si>
  <si>
    <t>Sec 4.2/2</t>
  </si>
  <si>
    <t>Sec 4.2/3</t>
  </si>
  <si>
    <t>Sec 4.2/4</t>
  </si>
  <si>
    <t>Sec 4.2/5</t>
  </si>
  <si>
    <t>Sec 4.2/6</t>
  </si>
  <si>
    <t>Sec 4.2/7</t>
  </si>
  <si>
    <t>Sec 4.2/8</t>
  </si>
  <si>
    <t>Sec 4.2/9</t>
  </si>
  <si>
    <t>Trade Code Breakdown — Sec 4</t>
  </si>
  <si>
    <t>Phase B
SUBMISSION
AMOUNT (S$)</t>
  </si>
  <si>
    <t>Trade Code Breakdown — Sec 5</t>
  </si>
  <si>
    <t>SECT5.2/7</t>
  </si>
  <si>
    <t>Plumbing, Sanitary and Gas</t>
  </si>
  <si>
    <t>Sanitary System</t>
  </si>
  <si>
    <t>Plumbing System</t>
  </si>
  <si>
    <t>Above ground domestic cold water pipes including sub water meter, valves, bib taps and all necessary accessories</t>
  </si>
  <si>
    <t>Gas System</t>
  </si>
  <si>
    <t>Gas pipes including valves, gas meter and all necessaary accessories</t>
  </si>
  <si>
    <t>Others (Please specify)</t>
  </si>
  <si>
    <t>____________________________________</t>
  </si>
  <si>
    <t>ii)</t>
  </si>
  <si>
    <t>iii)</t>
  </si>
  <si>
    <t>To Collection (S$)</t>
  </si>
  <si>
    <t>SECT5.2/8</t>
  </si>
  <si>
    <t>Air-Conditioning and Mechanical Ventilation</t>
  </si>
  <si>
    <t>Exhaust Fan</t>
  </si>
  <si>
    <t>SECT5.2/9</t>
  </si>
  <si>
    <t>Electrical and ELV</t>
  </si>
  <si>
    <t>Electrical System</t>
  </si>
  <si>
    <t>Electrical Panel</t>
  </si>
  <si>
    <t>Sub-Switchboard and distribution board</t>
  </si>
  <si>
    <t>Power</t>
  </si>
  <si>
    <t>Lighting</t>
  </si>
  <si>
    <t>Lighting switch</t>
  </si>
  <si>
    <t>Fan</t>
  </si>
  <si>
    <t>Fan wiring point</t>
  </si>
  <si>
    <t>3.1.5</t>
  </si>
  <si>
    <t>Lightning Protection System</t>
  </si>
  <si>
    <t>Earth pit including earth rods and all necessaary accessories</t>
  </si>
  <si>
    <t>3.1.6</t>
  </si>
  <si>
    <t>Cable</t>
  </si>
  <si>
    <t>Cable containment</t>
  </si>
  <si>
    <t>ELV System</t>
  </si>
  <si>
    <t>CCTV System</t>
  </si>
  <si>
    <t>Public Address System</t>
  </si>
  <si>
    <t>Data System</t>
  </si>
  <si>
    <t>SECT5.2/10</t>
  </si>
  <si>
    <t>Fire Protection System</t>
  </si>
  <si>
    <t>Hosereel System</t>
  </si>
  <si>
    <t>Fire Alarm System</t>
  </si>
  <si>
    <t>FIre Alarm panel</t>
  </si>
  <si>
    <t>Fire alarm detector and devices</t>
  </si>
  <si>
    <t>Fire alarm wiring point</t>
  </si>
  <si>
    <t>SECT5.2/11</t>
  </si>
  <si>
    <t>SECTION NO 5 - RESIDENTIAL BLOCKS COLLECTION</t>
  </si>
  <si>
    <t>SECT5.3/12</t>
  </si>
  <si>
    <t>SECT5.3/13</t>
  </si>
  <si>
    <t>SECT5.3/14</t>
  </si>
  <si>
    <t>SECT5.3/15</t>
  </si>
  <si>
    <t>Wifi point</t>
  </si>
  <si>
    <t>3.2.7</t>
  </si>
  <si>
    <t>SECT5.3/16</t>
  </si>
  <si>
    <t>Alarm panel</t>
  </si>
  <si>
    <t>SECT5.3/17</t>
  </si>
  <si>
    <t>SECTION NO 5 - FACILITIES BLOCKS COLLECTION</t>
  </si>
  <si>
    <t>SECT5.4/18</t>
  </si>
  <si>
    <t>SECT5.4/19</t>
  </si>
  <si>
    <t>SECT5.4/20</t>
  </si>
  <si>
    <t>3.1.3.4</t>
  </si>
  <si>
    <t>SECT5.4/21</t>
  </si>
  <si>
    <t>SECT5.4/22</t>
  </si>
  <si>
    <t>SECT5.4/23</t>
  </si>
  <si>
    <t>SECTION NO 5 - RECREATION CENTRE COLLECTION</t>
  </si>
  <si>
    <t>SECT5.5/24</t>
  </si>
  <si>
    <t>Grease seperator</t>
  </si>
  <si>
    <t>Above ground and underground domestic cold water pipes including excavation, backfill and all necessary accessories.</t>
  </si>
  <si>
    <t>SECT5.5/25</t>
  </si>
  <si>
    <t>2.1.2</t>
  </si>
  <si>
    <t>2.1.3</t>
  </si>
  <si>
    <t>2.1.4</t>
  </si>
  <si>
    <t>2.1.5</t>
  </si>
  <si>
    <t>2.1.6</t>
  </si>
  <si>
    <t>Underground Pipe</t>
  </si>
  <si>
    <t>CCTV</t>
  </si>
  <si>
    <t>Outdoor cable</t>
  </si>
  <si>
    <t>2.2.3</t>
  </si>
  <si>
    <t>2.2.4</t>
  </si>
  <si>
    <t>Turnstile System</t>
  </si>
  <si>
    <t>SECT5.5/26</t>
  </si>
  <si>
    <t>2.2.5</t>
  </si>
  <si>
    <t>SECT5.5/27</t>
  </si>
  <si>
    <t>External Private Hydrant System</t>
  </si>
  <si>
    <t>SECT5.5/28</t>
  </si>
  <si>
    <t>SECT5.5/29</t>
  </si>
  <si>
    <t>SECTION NO 5 - EXTERNAL COLLECTION</t>
  </si>
  <si>
    <t>Pg Sect 5.2/7</t>
  </si>
  <si>
    <t>Pg Sect 5.2/8</t>
  </si>
  <si>
    <t>Pg Sect 5.2/9</t>
  </si>
  <si>
    <t>Pg Sect 5.2/10</t>
  </si>
  <si>
    <t>Pg Sect 5.3/12</t>
  </si>
  <si>
    <t>Pg Sect 5.3/13</t>
  </si>
  <si>
    <t>Pg Sect 5.3/14</t>
  </si>
  <si>
    <t>Pg Sect 5.3/15</t>
  </si>
  <si>
    <t>Pg Sect 5.3/16</t>
  </si>
  <si>
    <t>Pg Sect 5.4/18</t>
  </si>
  <si>
    <t>Pg Sect 5.4/19</t>
  </si>
  <si>
    <t>Pg Sect 5.4/20</t>
  </si>
  <si>
    <t>Pg Sect 5.4/21</t>
  </si>
  <si>
    <t>Pg Sect 5.4/22</t>
  </si>
  <si>
    <t>Pg Sect 5.5/24</t>
  </si>
  <si>
    <t>Pg Sect 5.5/25</t>
  </si>
  <si>
    <t>Pg Sect 5.5/26</t>
  </si>
  <si>
    <t>Pg Sect 5.5/27</t>
  </si>
  <si>
    <t>Pg Sect 5.5/28</t>
  </si>
  <si>
    <t xml:space="preserve">SECTION NO 5.2 - RESIDENTIAL BLOCKS </t>
  </si>
  <si>
    <t>Contract Sum</t>
  </si>
  <si>
    <t>Contract Period</t>
  </si>
  <si>
    <t>Maintenance Period</t>
  </si>
  <si>
    <t>Performance Bond</t>
  </si>
  <si>
    <t>Stated % of Contract Sum (As Stated)</t>
  </si>
  <si>
    <t>Premium for Contract Period</t>
  </si>
  <si>
    <t>Premium for Maintenance Period</t>
  </si>
  <si>
    <t>Amount A</t>
  </si>
  <si>
    <t>Employer's Liability</t>
  </si>
  <si>
    <t>Premium Amount</t>
  </si>
  <si>
    <t>Contractor's All Risks</t>
  </si>
  <si>
    <t>Stated % Professional Fees</t>
  </si>
  <si>
    <t>Stated % Removal of Debris</t>
  </si>
  <si>
    <t>Employer's Existing Property</t>
  </si>
  <si>
    <t>GST</t>
  </si>
  <si>
    <t>Total Amount</t>
  </si>
  <si>
    <t>Within 14 days of the Letter of Acceptance, the Contractor shall provide To price in Final To price in Final to the Employer a cash deposit or in lieu thereof, a Security Deposit for Summary Summary an amount equal to five percent (5%) of the Contract Sum as security for the due performance and observance by the Contractor of his obligations and liabilities under the Contract in accordance with Clause 4.5 of the Conditions. The Security Deposit shall be in accordance with the prescribed form as annexed in the Contract Documents and
obtained from a licensed bank having a place of business in Singapore
or a Monetary Authority of Singapore (MAS)-approved insurance
company.</t>
  </si>
  <si>
    <t>Type 1
Qty</t>
  </si>
  <si>
    <t>Type 3
Qty</t>
  </si>
  <si>
    <t>Qty per Block</t>
  </si>
  <si>
    <t>Type 1 -</t>
  </si>
  <si>
    <t>Type 3 -</t>
  </si>
  <si>
    <t>Excavation</t>
  </si>
  <si>
    <t>Backfill</t>
  </si>
  <si>
    <t>Disposal</t>
  </si>
  <si>
    <t>m3</t>
  </si>
  <si>
    <t>External Wall</t>
  </si>
  <si>
    <t>Plastering</t>
  </si>
  <si>
    <t>Painting</t>
  </si>
  <si>
    <t xml:space="preserve">Main Door; size: </t>
  </si>
  <si>
    <t xml:space="preserve">RS; size: </t>
  </si>
  <si>
    <t>Internal Wall</t>
  </si>
  <si>
    <t>Self-screed levelling</t>
  </si>
  <si>
    <t>Vinyl</t>
  </si>
  <si>
    <t>Upturn skirting</t>
  </si>
  <si>
    <t>SupplyTile</t>
  </si>
  <si>
    <t>Lay only for toilet floor tiles</t>
  </si>
  <si>
    <t>Supply only for toilet floor tiles</t>
  </si>
  <si>
    <t>Supply only for corridor floor tiles</t>
  </si>
  <si>
    <t>Lay only for corridor floor tiles</t>
  </si>
  <si>
    <t>Supply only for toilet wall tiles</t>
  </si>
  <si>
    <t>Lay only for toilet wall tiles</t>
  </si>
  <si>
    <t>SS sink</t>
  </si>
  <si>
    <t>Sink Tap</t>
  </si>
  <si>
    <t>WC</t>
  </si>
  <si>
    <t>Shower set</t>
  </si>
  <si>
    <t>Toilet paper holder</t>
  </si>
  <si>
    <t>Wash basin</t>
  </si>
  <si>
    <t>Bib tap</t>
  </si>
  <si>
    <t>Shower rail curtain</t>
  </si>
  <si>
    <t>Directional sign</t>
  </si>
  <si>
    <t>Signboards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</si>
</sst>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_);_(@_)"/>
    <numFmt numFmtId="165" formatCode="_-* #,##0.00_-;\-* #,##0.00_-;_-* \-??_-;_-@_-"/>
    <numFmt numFmtId="166" formatCode="#,##0.000"/>
    <numFmt numFmtId="167" formatCode="#,##0.00;\(#,##0.00\);\-"/>
    <numFmt numFmtId="168" formatCode="#,##0.0;\(#,##0.0\);\-"/>
    <numFmt numFmtId="169" formatCode="#,##0;\(#,##0\);\-"/>
    <numFmt numFmtId="170" formatCode="_(* #,##0.00_);_(* \(#,##0.00\);_(* &quot;-&quot;??_);_(@_)"/>
    <numFmt numFmtId="171" formatCode="_(&quot;$&quot;* #,##0.00_);_(&quot;$&quot;* \(#,##0.00\);_(&quot;$&quot;* &quot;-&quot;??_);_(@_)"/>
    <numFmt numFmtId="172" formatCode="0.000%"/>
    <numFmt numFmtId="173" formatCode="0\ &quot;Block&quot;"/>
  </numFmts>
  <fonts count="65" x14ac:knownFonts="1">
    <font>
      <sz val="11"/>
      <color rgb="FF000000"/>
      <name val="Calibri"/>
      <charset val="1"/>
    </font>
    <font>
      <sz val="11"/>
      <color rgb="FF000000"/>
      <name val="Calibri"/>
      <family val="2"/>
      <charset val="1"/>
    </font>
    <font>
      <sz val="10"/>
      <name val="Arial"/>
      <family val="2"/>
      <charset val="1"/>
    </font>
    <font>
      <sz val="11"/>
      <color theme="1"/>
      <name val="Calibri"/>
      <family val="2"/>
      <charset val="1"/>
    </font>
    <font>
      <sz val="10"/>
      <name val="SimSun"/>
      <family val="3"/>
      <charset val="134"/>
    </font>
    <font>
      <b/>
      <sz val="14"/>
      <color rgb="FFFFFFFF"/>
      <name val="Arial"/>
      <charset val="1"/>
    </font>
    <font>
      <i/>
      <sz val="10"/>
      <color rgb="FF555555"/>
      <name val="Arial"/>
      <charset val="1"/>
    </font>
    <font>
      <b/>
      <sz val="12"/>
      <color rgb="FFFFFFFF"/>
      <name val="Arial"/>
      <charset val="1"/>
    </font>
    <font>
      <b/>
      <sz val="10"/>
      <color rgb="FFFFFFFF"/>
      <name val="Arial"/>
      <charset val="1"/>
    </font>
    <font>
      <b/>
      <sz val="10"/>
      <color rgb="FF000000"/>
      <name val="Arial"/>
      <charset val="1"/>
    </font>
    <font>
      <b/>
      <sz val="10"/>
      <color rgb="FF1F3864"/>
      <name val="Arial"/>
      <charset val="1"/>
    </font>
    <font>
      <sz val="9"/>
      <color rgb="FF333333"/>
      <name val="Arial"/>
      <charset val="1"/>
    </font>
    <font>
      <sz val="10"/>
      <color rgb="FF000000"/>
      <name val="Arial"/>
      <charset val="1"/>
    </font>
    <font>
      <b/>
      <sz val="11"/>
      <color rgb="FFFFFFFF"/>
      <name val="Arial"/>
      <charset val="1"/>
    </font>
    <font>
      <i/>
      <sz val="9"/>
      <color rgb="FF333333"/>
      <name val="Arial"/>
      <charset val="1"/>
    </font>
    <font>
      <b/>
      <sz val="11"/>
      <color rgb="FF1F4E79"/>
      <name val="Arial"/>
      <charset val="1"/>
    </font>
    <font>
      <i/>
      <sz val="9"/>
      <color rgb="FF555555"/>
      <name val="Arial"/>
      <charset val="1"/>
    </font>
    <font>
      <b/>
      <u/>
      <sz val="12"/>
      <color rgb="FFFFFFFF"/>
      <name val="Arial"/>
      <family val="2"/>
      <charset val="1"/>
    </font>
    <font>
      <b/>
      <sz val="12"/>
      <color rgb="FFFFFFFF"/>
      <name val="Arial"/>
      <family val="2"/>
      <charset val="1"/>
    </font>
    <font>
      <b/>
      <sz val="10"/>
      <color rgb="FFFFFFFF"/>
      <name val="Arial"/>
      <family val="2"/>
      <charset val="1"/>
    </font>
    <font>
      <sz val="10"/>
      <color rgb="FF0000FF"/>
      <name val="Arial"/>
      <charset val="1"/>
    </font>
    <font>
      <sz val="10"/>
      <color rgb="FF008000"/>
      <name val="Arial"/>
      <charset val="1"/>
    </font>
    <font>
      <b/>
      <u/>
      <sz val="10"/>
      <color rgb="FF000000"/>
      <name val="Arial"/>
      <family val="2"/>
      <charset val="1"/>
    </font>
    <font>
      <sz val="10"/>
      <color rgb="FF000000"/>
      <name val="Arial"/>
      <family val="2"/>
      <charset val="1"/>
    </font>
    <font>
      <b/>
      <sz val="10"/>
      <color theme="1"/>
      <name val="Arial"/>
      <family val="2"/>
      <charset val="1"/>
    </font>
    <font>
      <b/>
      <sz val="11"/>
      <color rgb="FF000000"/>
      <name val="Arial"/>
      <charset val="1"/>
    </font>
    <font>
      <b/>
      <sz val="9"/>
      <color rgb="FF000000"/>
      <name val="Arial"/>
      <charset val="1"/>
    </font>
    <font>
      <b/>
      <sz val="9"/>
      <color rgb="FFFFFFFF"/>
      <name val="Arial"/>
      <charset val="1"/>
    </font>
    <font>
      <sz val="9"/>
      <color rgb="FF000000"/>
      <name val="Arial"/>
      <charset val="1"/>
    </font>
    <font>
      <sz val="9"/>
      <name val="Arial"/>
      <charset val="1"/>
    </font>
    <font>
      <sz val="11"/>
      <color rgb="FF0000FF"/>
      <name val="Calibri"/>
      <charset val="1"/>
    </font>
    <font>
      <sz val="9"/>
      <color rgb="FF0000FF"/>
      <name val="Arial"/>
      <charset val="1"/>
    </font>
    <font>
      <sz val="10"/>
      <name val="Arial"/>
      <charset val="1"/>
    </font>
    <font>
      <sz val="9"/>
      <color rgb="FF00008B"/>
      <name val="Arial"/>
      <charset val="1"/>
    </font>
    <font>
      <sz val="9"/>
      <color rgb="FF006400"/>
      <name val="Arial"/>
      <charset val="1"/>
    </font>
    <font>
      <sz val="9"/>
      <color rgb="FF000000"/>
      <name val="Arial"/>
      <family val="2"/>
      <charset val="1"/>
    </font>
    <font>
      <b/>
      <sz val="10"/>
      <color rgb="FF000000"/>
      <name val="Arial"/>
      <family val="2"/>
      <charset val="1"/>
    </font>
    <font>
      <sz val="9"/>
      <name val="Arial"/>
      <family val="2"/>
      <charset val="1"/>
    </font>
    <font>
      <b/>
      <sz val="9"/>
      <color rgb="FF000000"/>
      <name val="Arial"/>
      <family val="2"/>
      <charset val="1"/>
    </font>
    <font>
      <b/>
      <u/>
      <sz val="9"/>
      <color rgb="FF000000"/>
      <name val="Arial"/>
      <family val="2"/>
      <charset val="1"/>
    </font>
    <font>
      <b/>
      <sz val="9"/>
      <name val="Arial"/>
      <family val="2"/>
      <charset val="1"/>
    </font>
    <font>
      <b/>
      <sz val="11"/>
      <color theme="1"/>
      <name val="Calibri"/>
      <family val="2"/>
    </font>
    <font>
      <u/>
      <sz val="11"/>
      <color theme="1"/>
      <name val="Calibri"/>
      <family val="2"/>
    </font>
    <font>
      <sz val="11"/>
      <color theme="1"/>
      <name val="Calibri"/>
      <family val="2"/>
    </font>
    <font>
      <b/>
      <sz val="9"/>
      <color rgb="FF000000"/>
      <name val="Arial"/>
      <family val="2"/>
    </font>
    <font>
      <sz val="9"/>
      <name val="Arial"/>
      <family val="2"/>
    </font>
    <font>
      <sz val="9"/>
      <color rgb="FF000000"/>
      <name val="Arial"/>
      <family val="2"/>
    </font>
    <font>
      <sz val="11"/>
      <color rgb="FF000000"/>
      <name val="Calibri"/>
      <charset val="1"/>
    </font>
    <font>
      <b/>
      <u/>
      <sz val="9"/>
      <color rgb="FF000000"/>
      <name val="Arial"/>
      <family val="2"/>
    </font>
    <font>
      <sz val="8"/>
      <name val="Calibri"/>
      <family val="2"/>
    </font>
    <font>
      <b/>
      <sz val="9"/>
      <name val="Arial"/>
      <family val="2"/>
    </font>
    <font>
      <b/>
      <sz val="11"/>
      <color rgb="FFFFFFFF"/>
      <name val="Arial"/>
      <family val="2"/>
    </font>
    <font>
      <b/>
      <sz val="10"/>
      <color rgb="FF000000"/>
      <name val="Arial"/>
      <family val="2"/>
    </font>
    <font>
      <sz val="9"/>
      <color rgb="FF0000FF"/>
      <name val="Arial"/>
      <family val="2"/>
      <charset val="1"/>
    </font>
    <font>
      <sz val="9"/>
      <color rgb="FF0000FF"/>
      <name val="Arial"/>
      <family val="2"/>
    </font>
    <font>
      <b/>
      <u/>
      <sz val="9"/>
      <name val="Arial"/>
      <family val="2"/>
    </font>
    <font>
      <sz val="9"/>
      <color rgb="FF0070C0"/>
      <name val="Arial"/>
      <family val="2"/>
      <charset val="1"/>
    </font>
    <font>
      <sz val="11"/>
      <color indexed="8"/>
      <name val="Calibri"/>
      <family val="2"/>
    </font>
    <font>
      <sz val="10"/>
      <name val="Calibri"/>
      <family val="2"/>
      <scheme val="minor"/>
    </font>
    <font>
      <b/>
      <sz val="10"/>
      <name val="Calibri"/>
      <family val="2"/>
      <scheme val="minor"/>
    </font>
    <font>
      <b/>
      <u/>
      <sz val="10"/>
      <name val="Calibri"/>
      <family val="2"/>
      <scheme val="minor"/>
    </font>
    <font>
      <b/>
      <sz val="11"/>
      <color rgb="FF000000"/>
      <name val="Calibri"/>
      <family val="2"/>
    </font>
    <font>
      <sz val="9"/>
      <color rgb="FF0070C0"/>
      <name val="Arial"/>
      <family val="2"/>
    </font>
    <font>
      <sz val="11"/>
      <color rgb="FF0070C0"/>
      <name val="Calibri"/>
      <family val="2"/>
      <charset val="1"/>
    </font>
    <font>
      <sz val="9"/>
      <color theme="1"/>
      <name val="Arial"/>
      <family val="2"/>
      <charset val="1"/>
    </font>
  </fonts>
  <fills count="71">
    <fill>
      <patternFill patternType="none"/>
    </fill>
    <fill>
      <patternFill patternType="gray125"/>
    </fill>
    <fill>
      <patternFill patternType="solid">
        <fgColor rgb="FF1F4E79"/>
        <bgColor rgb="FF2F5496"/>
      </patternFill>
    </fill>
    <fill>
      <patternFill patternType="solid">
        <fgColor rgb="FF305496"/>
        <bgColor rgb="FF2F5496"/>
      </patternFill>
    </fill>
    <fill>
      <patternFill patternType="solid">
        <fgColor rgb="FFD9E1F2"/>
        <bgColor rgb="FFD6E4F0"/>
      </patternFill>
    </fill>
    <fill>
      <patternFill patternType="solid">
        <fgColor rgb="FFFFCCCC"/>
        <bgColor rgb="FFFFCCFF"/>
      </patternFill>
    </fill>
    <fill>
      <patternFill patternType="solid">
        <fgColor rgb="FF1F3864"/>
        <bgColor rgb="FF1F4E79"/>
      </patternFill>
    </fill>
    <fill>
      <patternFill patternType="solid">
        <fgColor rgb="FF2F5496"/>
        <bgColor rgb="FF305496"/>
      </patternFill>
    </fill>
    <fill>
      <patternFill patternType="solid">
        <fgColor theme="1" tint="0.49989318521683401"/>
        <bgColor rgb="FF548235"/>
      </patternFill>
    </fill>
    <fill>
      <patternFill patternType="solid">
        <fgColor rgb="FF7030A0"/>
        <bgColor rgb="FF993366"/>
      </patternFill>
    </fill>
    <fill>
      <patternFill patternType="solid">
        <fgColor rgb="FF2E5799"/>
        <bgColor rgb="FF2F5496"/>
      </patternFill>
    </fill>
    <fill>
      <patternFill patternType="solid">
        <fgColor rgb="FFF2F7FC"/>
        <bgColor rgb="FFEAF4FB"/>
      </patternFill>
    </fill>
    <fill>
      <patternFill patternType="solid">
        <fgColor rgb="FFFFFFFF"/>
        <bgColor rgb="FFF2F7FC"/>
      </patternFill>
    </fill>
    <fill>
      <patternFill patternType="solid">
        <fgColor rgb="FFCCCCFF"/>
        <bgColor rgb="FFBDD7EE"/>
      </patternFill>
    </fill>
    <fill>
      <patternFill patternType="solid">
        <fgColor rgb="FF2E75B6"/>
        <bgColor rgb="FF2E5799"/>
      </patternFill>
    </fill>
    <fill>
      <patternFill patternType="solid">
        <fgColor rgb="FF548235"/>
        <bgColor rgb="FF7F7F7F"/>
      </patternFill>
    </fill>
    <fill>
      <patternFill patternType="solid">
        <fgColor rgb="FFDEEAF1"/>
        <bgColor rgb="FFD6E4F0"/>
      </patternFill>
    </fill>
    <fill>
      <patternFill patternType="solid">
        <fgColor rgb="FFE2EFDA"/>
        <bgColor rgb="FFDEEAF1"/>
      </patternFill>
    </fill>
    <fill>
      <patternFill patternType="solid">
        <fgColor rgb="FFFFFF00"/>
        <bgColor rgb="FFFFD966"/>
      </patternFill>
    </fill>
    <fill>
      <patternFill patternType="solid">
        <fgColor rgb="FFCCFFFF"/>
        <bgColor rgb="FFEAF4FB"/>
      </patternFill>
    </fill>
    <fill>
      <patternFill patternType="solid">
        <fgColor rgb="FFCCFF99"/>
        <bgColor rgb="FFCCEBB5"/>
      </patternFill>
    </fill>
    <fill>
      <patternFill patternType="solid">
        <fgColor rgb="FFFFFFCC"/>
        <bgColor rgb="FFFFF2CC"/>
      </patternFill>
    </fill>
    <fill>
      <patternFill patternType="solid">
        <fgColor rgb="FFCC99FF"/>
        <bgColor rgb="FFB0B0B0"/>
      </patternFill>
    </fill>
    <fill>
      <patternFill patternType="solid">
        <fgColor rgb="FFFFF2CC"/>
        <bgColor rgb="FFFFFFCC"/>
      </patternFill>
    </fill>
    <fill>
      <patternFill patternType="solid">
        <fgColor rgb="FFFFE699"/>
        <bgColor rgb="FFFFF2CC"/>
      </patternFill>
    </fill>
    <fill>
      <patternFill patternType="solid">
        <fgColor rgb="FFFFD966"/>
        <bgColor rgb="FFFFE699"/>
      </patternFill>
    </fill>
    <fill>
      <patternFill patternType="solid">
        <fgColor rgb="FFCCEBB5"/>
        <bgColor rgb="FFE2EFDA"/>
      </patternFill>
    </fill>
    <fill>
      <patternFill patternType="solid">
        <fgColor rgb="FF92D050"/>
        <bgColor rgb="FFB0B0B0"/>
      </patternFill>
    </fill>
    <fill>
      <patternFill patternType="solid">
        <fgColor rgb="FFFFCCFF"/>
        <bgColor rgb="FFFFCCCC"/>
      </patternFill>
    </fill>
    <fill>
      <patternFill patternType="solid">
        <fgColor rgb="FFD6E4F0"/>
        <bgColor rgb="FFD9E1F2"/>
      </patternFill>
    </fill>
    <fill>
      <patternFill patternType="solid">
        <fgColor rgb="FFEAF4FB"/>
        <bgColor rgb="FFF2F7FC"/>
      </patternFill>
    </fill>
    <fill>
      <patternFill patternType="solid">
        <fgColor rgb="FFBDD7EE"/>
        <bgColor rgb="FFCCCCFF"/>
      </patternFill>
    </fill>
    <fill>
      <patternFill patternType="solid">
        <fgColor rgb="FFFFCCFF"/>
        <bgColor indexed="64"/>
      </patternFill>
    </fill>
    <fill>
      <patternFill patternType="solid">
        <fgColor rgb="FFFFCCFF"/>
        <bgColor rgb="FFD6E4F0"/>
      </patternFill>
    </fill>
    <fill>
      <patternFill patternType="solid">
        <fgColor rgb="FFFFCCFF"/>
        <bgColor rgb="FFDEEAF1"/>
      </patternFill>
    </fill>
    <fill>
      <patternFill patternType="solid">
        <fgColor rgb="FFCCFFFF"/>
        <bgColor indexed="64"/>
      </patternFill>
    </fill>
    <fill>
      <patternFill patternType="solid">
        <fgColor rgb="FFFFFFCC"/>
        <bgColor indexed="64"/>
      </patternFill>
    </fill>
    <fill>
      <patternFill patternType="solid">
        <fgColor rgb="FFFF99CC"/>
        <bgColor rgb="FFB0B0B0"/>
      </patternFill>
    </fill>
    <fill>
      <patternFill patternType="solid">
        <fgColor rgb="FFFF99CC"/>
        <bgColor rgb="FFFFD966"/>
      </patternFill>
    </fill>
    <fill>
      <patternFill patternType="solid">
        <fgColor rgb="FFFF99CC"/>
        <bgColor rgb="FF548235"/>
      </patternFill>
    </fill>
    <fill>
      <patternFill patternType="solid">
        <fgColor rgb="FFCCFF99"/>
        <bgColor indexed="64"/>
      </patternFill>
    </fill>
    <fill>
      <patternFill patternType="solid">
        <fgColor rgb="FFCCCCFF"/>
        <bgColor indexed="64"/>
      </patternFill>
    </fill>
    <fill>
      <patternFill patternType="solid">
        <fgColor rgb="FFFFFFFF"/>
        <bgColor indexed="64"/>
      </patternFill>
    </fill>
    <fill>
      <patternFill patternType="solid">
        <fgColor rgb="FFFFD966"/>
        <bgColor indexed="64"/>
      </patternFill>
    </fill>
    <fill>
      <patternFill patternType="solid">
        <fgColor rgb="FF92D050"/>
        <bgColor indexed="64"/>
      </patternFill>
    </fill>
    <fill>
      <patternFill patternType="solid">
        <fgColor rgb="FFFFCCCC"/>
        <bgColor indexed="64"/>
      </patternFill>
    </fill>
    <fill>
      <patternFill patternType="solid">
        <fgColor rgb="FFCC99FF"/>
        <bgColor indexed="64"/>
      </patternFill>
    </fill>
    <fill>
      <patternFill patternType="solid">
        <fgColor rgb="FFFFFF00"/>
        <bgColor indexed="64"/>
      </patternFill>
    </fill>
    <fill>
      <patternFill patternType="solid">
        <fgColor rgb="FFFFFFCC"/>
        <bgColor rgb="FFB0B0B0"/>
      </patternFill>
    </fill>
    <fill>
      <patternFill patternType="solid">
        <fgColor rgb="FFFFFFCC"/>
        <bgColor rgb="FFBDD7EE"/>
      </patternFill>
    </fill>
    <fill>
      <patternFill patternType="solid">
        <fgColor rgb="FFFFFFCC"/>
        <bgColor rgb="FFFFFFCC"/>
      </patternFill>
    </fill>
    <fill>
      <patternFill patternType="solid">
        <fgColor rgb="FFFFFFCC"/>
        <bgColor rgb="FFFFE699"/>
      </patternFill>
    </fill>
    <fill>
      <patternFill patternType="solid">
        <fgColor rgb="FFFFFFCC"/>
        <bgColor rgb="FFDEEAF1"/>
      </patternFill>
    </fill>
    <fill>
      <patternFill patternType="solid">
        <fgColor rgb="FFFFFFCC"/>
        <bgColor rgb="FFE2EFDA"/>
      </patternFill>
    </fill>
    <fill>
      <patternFill patternType="solid">
        <fgColor rgb="FFFFFFCC"/>
        <bgColor rgb="FF548235"/>
      </patternFill>
    </fill>
    <fill>
      <patternFill patternType="solid">
        <fgColor rgb="FFFFFFCC"/>
        <bgColor rgb="FFFFCCCC"/>
      </patternFill>
    </fill>
    <fill>
      <patternFill patternType="solid">
        <fgColor rgb="FFCC99FF"/>
        <bgColor rgb="FFFFD966"/>
      </patternFill>
    </fill>
    <fill>
      <patternFill patternType="solid">
        <fgColor rgb="FFFFCC99"/>
        <bgColor rgb="FFFFF2CC"/>
      </patternFill>
    </fill>
    <fill>
      <patternFill patternType="solid">
        <fgColor rgb="FFFFCC99"/>
        <bgColor rgb="FFFFFFCC"/>
      </patternFill>
    </fill>
    <fill>
      <patternFill patternType="solid">
        <fgColor rgb="FFFFCC99"/>
        <bgColor indexed="64"/>
      </patternFill>
    </fill>
    <fill>
      <patternFill patternType="solid">
        <fgColor theme="5" tint="0.79998168889431442"/>
        <bgColor rgb="FFFFFFCC"/>
      </patternFill>
    </fill>
    <fill>
      <patternFill patternType="solid">
        <fgColor theme="5" tint="0.79998168889431442"/>
        <bgColor indexed="64"/>
      </patternFill>
    </fill>
    <fill>
      <patternFill patternType="solid">
        <fgColor rgb="FFFF99CC"/>
        <bgColor rgb="FFFFCCFF"/>
      </patternFill>
    </fill>
    <fill>
      <patternFill patternType="solid">
        <fgColor rgb="FFFF99CC"/>
        <bgColor rgb="FFFFCCCC"/>
      </patternFill>
    </fill>
    <fill>
      <patternFill patternType="solid">
        <fgColor rgb="FFCCFFCC"/>
        <bgColor rgb="FFFFFFCC"/>
      </patternFill>
    </fill>
    <fill>
      <patternFill patternType="solid">
        <fgColor rgb="FFCCFFCC"/>
        <bgColor indexed="64"/>
      </patternFill>
    </fill>
    <fill>
      <patternFill patternType="solid">
        <fgColor rgb="FF99FF99"/>
        <bgColor rgb="FFFFF2CC"/>
      </patternFill>
    </fill>
    <fill>
      <patternFill patternType="solid">
        <fgColor rgb="FF99FF99"/>
        <bgColor rgb="FFFFFFCC"/>
      </patternFill>
    </fill>
    <fill>
      <patternFill patternType="solid">
        <fgColor rgb="FF99FF99"/>
        <bgColor indexed="64"/>
      </patternFill>
    </fill>
    <fill>
      <patternFill patternType="solid">
        <fgColor rgb="FFFFFFCC"/>
        <bgColor rgb="FFFFCCFF"/>
      </patternFill>
    </fill>
    <fill>
      <patternFill patternType="solid">
        <fgColor rgb="FFFFC000"/>
        <bgColor indexed="64"/>
      </patternFill>
    </fill>
  </fills>
  <borders count="29">
    <border>
      <left/>
      <right/>
      <top/>
      <bottom/>
      <diagonal/>
    </border>
    <border>
      <left style="thin">
        <color rgb="FFB0B0B0"/>
      </left>
      <right style="thin">
        <color rgb="FFB0B0B0"/>
      </right>
      <top style="thin">
        <color rgb="FFB0B0B0"/>
      </top>
      <bottom style="thin">
        <color rgb="FFB0B0B0"/>
      </bottom>
      <diagonal/>
    </border>
    <border>
      <left/>
      <right/>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top style="thin">
        <color rgb="FFAAAAAA"/>
      </top>
      <bottom style="medium">
        <color rgb="FF2F5496"/>
      </bottom>
      <diagonal/>
    </border>
    <border>
      <left/>
      <right style="thin">
        <color rgb="FFAAAAAA"/>
      </right>
      <top style="thin">
        <color rgb="FFAAAAAA"/>
      </top>
      <bottom style="medium">
        <color rgb="FF2F5496"/>
      </bottom>
      <diagonal/>
    </border>
    <border>
      <left style="medium">
        <color rgb="FF2F5496"/>
      </left>
      <right style="medium">
        <color rgb="FF2F5496"/>
      </right>
      <top style="medium">
        <color rgb="FF2F5496"/>
      </top>
      <bottom style="medium">
        <color rgb="FF2F5496"/>
      </bottom>
      <diagonal/>
    </border>
    <border>
      <left/>
      <right style="medium">
        <color rgb="FF2F5496"/>
      </right>
      <top style="medium">
        <color rgb="FF2F5496"/>
      </top>
      <bottom style="medium">
        <color rgb="FF2F5496"/>
      </bottom>
      <diagonal/>
    </border>
    <border>
      <left style="thin">
        <color auto="1"/>
      </left>
      <right style="thin">
        <color auto="1"/>
      </right>
      <top style="thin">
        <color auto="1"/>
      </top>
      <bottom style="thin">
        <color auto="1"/>
      </bottom>
      <diagonal/>
    </border>
    <border>
      <left style="medium">
        <color rgb="FF1F3864"/>
      </left>
      <right style="medium">
        <color rgb="FF1F3864"/>
      </right>
      <top style="medium">
        <color rgb="FF1F3864"/>
      </top>
      <bottom style="medium">
        <color rgb="FF1F3864"/>
      </bottom>
      <diagonal/>
    </border>
    <border>
      <left style="thin">
        <color auto="1"/>
      </left>
      <right/>
      <top style="thin">
        <color auto="1"/>
      </top>
      <bottom style="thin">
        <color auto="1"/>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auto="1"/>
      </right>
      <top style="thin">
        <color auto="1"/>
      </top>
      <bottom style="double">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s>
  <cellStyleXfs count="18">
    <xf numFmtId="0" fontId="0" fillId="0" borderId="0"/>
    <xf numFmtId="164" fontId="1" fillId="0" borderId="0"/>
    <xf numFmtId="164" fontId="2" fillId="0" borderId="0"/>
    <xf numFmtId="164" fontId="3" fillId="0" borderId="0"/>
    <xf numFmtId="164" fontId="2" fillId="0" borderId="0"/>
    <xf numFmtId="0" fontId="3" fillId="0" borderId="0"/>
    <xf numFmtId="0" fontId="3" fillId="0" borderId="0"/>
    <xf numFmtId="0" fontId="3" fillId="0" borderId="0"/>
    <xf numFmtId="0" fontId="3" fillId="0" borderId="0"/>
    <xf numFmtId="0" fontId="3" fillId="0" borderId="0"/>
    <xf numFmtId="0" fontId="1" fillId="0" borderId="0"/>
    <xf numFmtId="0" fontId="4" fillId="0" borderId="0"/>
    <xf numFmtId="0" fontId="1" fillId="0" borderId="0"/>
    <xf numFmtId="9" fontId="2" fillId="0" borderId="0"/>
    <xf numFmtId="43" fontId="47" fillId="0" borderId="0" applyFont="0" applyFill="0" applyBorder="0" applyAlignment="0" applyProtection="0"/>
    <xf numFmtId="9" fontId="47" fillId="0" borderId="0" applyFont="0" applyFill="0" applyBorder="0" applyAlignment="0" applyProtection="0"/>
    <xf numFmtId="0" fontId="57" fillId="0" borderId="0"/>
    <xf numFmtId="171" fontId="57" fillId="0" borderId="0" applyFont="0" applyFill="0" applyBorder="0" applyAlignment="0" applyProtection="0"/>
  </cellStyleXfs>
  <cellXfs count="583">
    <xf numFmtId="0" fontId="0" fillId="0" borderId="0" xfId="0"/>
    <xf numFmtId="0" fontId="3" fillId="0" borderId="0" xfId="0" applyFont="1"/>
    <xf numFmtId="4" fontId="21" fillId="12" borderId="3" xfId="0" applyNumberFormat="1" applyFont="1" applyFill="1" applyBorder="1" applyAlignment="1">
      <alignment horizontal="right" vertical="center"/>
    </xf>
    <xf numFmtId="165" fontId="0" fillId="0" borderId="0" xfId="0" applyNumberFormat="1"/>
    <xf numFmtId="165" fontId="26" fillId="16" borderId="11" xfId="0" applyNumberFormat="1" applyFont="1" applyFill="1" applyBorder="1" applyAlignment="1">
      <alignment horizontal="center" vertical="center" wrapText="1"/>
    </xf>
    <xf numFmtId="165" fontId="26" fillId="17" borderId="11" xfId="0" applyNumberFormat="1" applyFont="1" applyFill="1" applyBorder="1" applyAlignment="1">
      <alignment horizontal="center" vertical="center" wrapText="1"/>
    </xf>
    <xf numFmtId="165" fontId="0" fillId="0" borderId="11" xfId="0" applyNumberFormat="1" applyBorder="1" applyAlignment="1">
      <alignment horizontal="center" vertical="center"/>
    </xf>
    <xf numFmtId="165" fontId="0" fillId="16" borderId="11" xfId="0" applyNumberFormat="1" applyFill="1" applyBorder="1" applyAlignment="1">
      <alignment horizontal="right" vertical="center"/>
    </xf>
    <xf numFmtId="165" fontId="29" fillId="16" borderId="11" xfId="0" applyNumberFormat="1" applyFont="1" applyFill="1" applyBorder="1" applyAlignment="1">
      <alignment horizontal="right" vertical="center"/>
    </xf>
    <xf numFmtId="165" fontId="0" fillId="17" borderId="11" xfId="0" applyNumberFormat="1" applyFill="1" applyBorder="1" applyAlignment="1">
      <alignment horizontal="right" vertical="center"/>
    </xf>
    <xf numFmtId="165" fontId="29" fillId="17" borderId="11" xfId="0" applyNumberFormat="1" applyFont="1" applyFill="1" applyBorder="1" applyAlignment="1">
      <alignment horizontal="right" vertical="center"/>
    </xf>
    <xf numFmtId="165" fontId="0" fillId="18" borderId="11" xfId="0" applyNumberFormat="1" applyFill="1" applyBorder="1"/>
    <xf numFmtId="165" fontId="30" fillId="0" borderId="11" xfId="0" applyNumberFormat="1" applyFont="1" applyBorder="1" applyAlignment="1">
      <alignment horizontal="center" vertical="center"/>
    </xf>
    <xf numFmtId="165" fontId="30" fillId="16" borderId="11" xfId="0" applyNumberFormat="1" applyFont="1" applyFill="1" applyBorder="1" applyAlignment="1">
      <alignment horizontal="right" vertical="center"/>
    </xf>
    <xf numFmtId="165" fontId="30" fillId="17" borderId="11" xfId="0" applyNumberFormat="1" applyFont="1" applyFill="1" applyBorder="1" applyAlignment="1">
      <alignment horizontal="right" vertical="center"/>
    </xf>
    <xf numFmtId="0" fontId="0" fillId="0" borderId="0" xfId="0" applyAlignment="1">
      <alignment horizontal="left"/>
    </xf>
    <xf numFmtId="0" fontId="0" fillId="8" borderId="0" xfId="0" applyFill="1"/>
    <xf numFmtId="4" fontId="33" fillId="13" borderId="11" xfId="0" applyNumberFormat="1" applyFont="1" applyFill="1" applyBorder="1"/>
    <xf numFmtId="166" fontId="33" fillId="23" borderId="11" xfId="0" applyNumberFormat="1" applyFont="1" applyFill="1" applyBorder="1"/>
    <xf numFmtId="4" fontId="28" fillId="25" borderId="11" xfId="0" applyNumberFormat="1" applyFont="1" applyFill="1" applyBorder="1"/>
    <xf numFmtId="166" fontId="34" fillId="17" borderId="11" xfId="0" applyNumberFormat="1" applyFont="1" applyFill="1" applyBorder="1"/>
    <xf numFmtId="4" fontId="28" fillId="27" borderId="11" xfId="0" applyNumberFormat="1" applyFont="1" applyFill="1" applyBorder="1"/>
    <xf numFmtId="0" fontId="1" fillId="0" borderId="0" xfId="0" applyFont="1" applyAlignment="1">
      <alignment horizontal="left" vertical="top"/>
    </xf>
    <xf numFmtId="0" fontId="1" fillId="0" borderId="0" xfId="0" applyFont="1" applyAlignment="1">
      <alignment vertical="top"/>
    </xf>
    <xf numFmtId="0" fontId="1" fillId="0" borderId="0" xfId="0" applyFont="1" applyAlignment="1">
      <alignment horizontal="center" vertical="top"/>
    </xf>
    <xf numFmtId="0" fontId="1" fillId="0" borderId="0" xfId="0" applyFont="1"/>
    <xf numFmtId="167" fontId="1" fillId="0" borderId="0" xfId="0" applyNumberFormat="1" applyFont="1" applyAlignment="1">
      <alignment vertical="top"/>
    </xf>
    <xf numFmtId="9" fontId="2" fillId="0" borderId="0" xfId="0" applyNumberFormat="1" applyFont="1"/>
    <xf numFmtId="9" fontId="2" fillId="0" borderId="0" xfId="0" applyNumberFormat="1" applyFont="1" applyAlignment="1">
      <alignment vertical="top"/>
    </xf>
    <xf numFmtId="167" fontId="36" fillId="13" borderId="11" xfId="0" applyNumberFormat="1" applyFont="1" applyFill="1" applyBorder="1" applyAlignment="1">
      <alignment horizontal="center" vertical="top" wrapText="1"/>
    </xf>
    <xf numFmtId="167" fontId="36" fillId="0" borderId="11" xfId="0" applyNumberFormat="1" applyFont="1" applyBorder="1" applyAlignment="1">
      <alignment horizontal="center" vertical="top" wrapText="1"/>
    </xf>
    <xf numFmtId="167" fontId="36" fillId="28" borderId="11" xfId="0" applyNumberFormat="1" applyFont="1" applyFill="1" applyBorder="1" applyAlignment="1">
      <alignment horizontal="center" vertical="top" wrapText="1"/>
    </xf>
    <xf numFmtId="165" fontId="2" fillId="0" borderId="0" xfId="0" applyNumberFormat="1" applyFont="1"/>
    <xf numFmtId="167" fontId="35" fillId="13" borderId="11" xfId="0" applyNumberFormat="1" applyFont="1" applyFill="1" applyBorder="1" applyAlignment="1">
      <alignment vertical="top"/>
    </xf>
    <xf numFmtId="167" fontId="37" fillId="0" borderId="11" xfId="0" applyNumberFormat="1" applyFont="1" applyBorder="1" applyAlignment="1">
      <alignment vertical="top"/>
    </xf>
    <xf numFmtId="4" fontId="35" fillId="25" borderId="11" xfId="0" applyNumberFormat="1" applyFont="1" applyFill="1" applyBorder="1" applyAlignment="1">
      <alignment horizontal="right" vertical="top"/>
    </xf>
    <xf numFmtId="4" fontId="35" fillId="27" borderId="11" xfId="0" applyNumberFormat="1" applyFont="1" applyFill="1" applyBorder="1" applyAlignment="1">
      <alignment horizontal="right" vertical="top"/>
    </xf>
    <xf numFmtId="167" fontId="35" fillId="28" borderId="11" xfId="0" applyNumberFormat="1" applyFont="1" applyFill="1" applyBorder="1" applyAlignment="1">
      <alignment horizontal="right" vertical="top"/>
    </xf>
    <xf numFmtId="0" fontId="37" fillId="0" borderId="0" xfId="0" applyFont="1"/>
    <xf numFmtId="167" fontId="31" fillId="0" borderId="11" xfId="0" applyNumberFormat="1" applyFont="1" applyBorder="1" applyAlignment="1">
      <alignment vertical="top"/>
    </xf>
    <xf numFmtId="4" fontId="37" fillId="0" borderId="11" xfId="0" applyNumberFormat="1" applyFont="1" applyBorder="1"/>
    <xf numFmtId="4" fontId="37" fillId="5" borderId="11" xfId="0" applyNumberFormat="1" applyFont="1" applyFill="1" applyBorder="1"/>
    <xf numFmtId="167" fontId="37" fillId="5" borderId="11" xfId="0" applyNumberFormat="1" applyFont="1" applyFill="1" applyBorder="1" applyAlignment="1">
      <alignment vertical="top"/>
    </xf>
    <xf numFmtId="4" fontId="37" fillId="5" borderId="11" xfId="0" applyNumberFormat="1" applyFont="1" applyFill="1" applyBorder="1" applyAlignment="1">
      <alignment vertical="top"/>
    </xf>
    <xf numFmtId="4" fontId="38" fillId="5" borderId="11" xfId="0" applyNumberFormat="1" applyFont="1" applyFill="1" applyBorder="1" applyAlignment="1">
      <alignment horizontal="right" vertical="top"/>
    </xf>
    <xf numFmtId="167" fontId="35" fillId="5" borderId="11" xfId="0" applyNumberFormat="1" applyFont="1" applyFill="1" applyBorder="1" applyAlignment="1">
      <alignment horizontal="right" vertical="top"/>
    </xf>
    <xf numFmtId="167" fontId="37" fillId="5" borderId="11" xfId="0" applyNumberFormat="1" applyFont="1" applyFill="1" applyBorder="1" applyAlignment="1">
      <alignment horizontal="right" vertical="top"/>
    </xf>
    <xf numFmtId="167" fontId="37" fillId="0" borderId="12" xfId="0" applyNumberFormat="1" applyFont="1" applyBorder="1" applyAlignment="1">
      <alignment vertical="top"/>
    </xf>
    <xf numFmtId="167" fontId="1" fillId="12" borderId="11" xfId="0" applyNumberFormat="1" applyFont="1" applyFill="1" applyBorder="1" applyAlignment="1">
      <alignment vertical="top"/>
    </xf>
    <xf numFmtId="167" fontId="1" fillId="0" borderId="11" xfId="0" applyNumberFormat="1" applyFont="1" applyBorder="1" applyAlignment="1">
      <alignment vertical="top"/>
    </xf>
    <xf numFmtId="167" fontId="1" fillId="30" borderId="11" xfId="0" applyNumberFormat="1" applyFont="1" applyFill="1" applyBorder="1" applyAlignment="1">
      <alignment vertical="top"/>
    </xf>
    <xf numFmtId="167" fontId="36" fillId="31" borderId="12" xfId="0" applyNumberFormat="1" applyFont="1" applyFill="1" applyBorder="1" applyAlignment="1">
      <alignment vertical="top"/>
    </xf>
    <xf numFmtId="167" fontId="36" fillId="0" borderId="12" xfId="0" applyNumberFormat="1" applyFont="1" applyBorder="1" applyAlignment="1">
      <alignment vertical="top"/>
    </xf>
    <xf numFmtId="167" fontId="36" fillId="31" borderId="12" xfId="0" applyNumberFormat="1" applyFont="1" applyFill="1" applyBorder="1" applyAlignment="1">
      <alignment horizontal="right" vertical="top"/>
    </xf>
    <xf numFmtId="0" fontId="8"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0" fillId="4" borderId="1" xfId="0" applyFill="1" applyBorder="1"/>
    <xf numFmtId="0" fontId="0" fillId="0" borderId="1" xfId="0" applyBorder="1"/>
    <xf numFmtId="0" fontId="11" fillId="0" borderId="1" xfId="0" applyFont="1" applyBorder="1" applyAlignment="1">
      <alignment horizontal="left" vertical="center" wrapText="1"/>
    </xf>
    <xf numFmtId="167" fontId="0" fillId="0" borderId="1" xfId="0" applyNumberFormat="1" applyBorder="1" applyAlignment="1">
      <alignment horizontal="right" vertical="center"/>
    </xf>
    <xf numFmtId="0" fontId="0" fillId="0" borderId="1" xfId="0" applyBorder="1" applyAlignment="1">
      <alignment horizontal="center" vertical="center" wrapText="1"/>
    </xf>
    <xf numFmtId="0" fontId="0" fillId="5" borderId="1" xfId="0" applyFill="1" applyBorder="1"/>
    <xf numFmtId="0" fontId="9" fillId="5" borderId="1" xfId="0" applyFont="1" applyFill="1" applyBorder="1" applyAlignment="1">
      <alignment horizontal="left" vertical="center" wrapText="1"/>
    </xf>
    <xf numFmtId="167" fontId="9" fillId="5" borderId="1" xfId="0" applyNumberFormat="1" applyFont="1" applyFill="1" applyBorder="1" applyAlignment="1">
      <alignment horizontal="right" vertical="center"/>
    </xf>
    <xf numFmtId="0" fontId="13" fillId="2" borderId="1" xfId="0" applyFont="1" applyFill="1" applyBorder="1" applyAlignment="1">
      <alignment horizontal="left" vertical="center" wrapText="1"/>
    </xf>
    <xf numFmtId="0" fontId="0" fillId="2" borderId="1" xfId="0" applyFill="1" applyBorder="1"/>
    <xf numFmtId="167" fontId="13" fillId="2" borderId="1" xfId="0" applyNumberFormat="1" applyFont="1" applyFill="1" applyBorder="1" applyAlignment="1">
      <alignment horizontal="right" vertical="center"/>
    </xf>
    <xf numFmtId="167" fontId="13" fillId="2" borderId="1" xfId="0" applyNumberFormat="1" applyFont="1" applyFill="1" applyBorder="1" applyAlignment="1">
      <alignment horizontal="center" vertical="center" wrapText="1"/>
    </xf>
    <xf numFmtId="10" fontId="13" fillId="2" borderId="1" xfId="0" applyNumberFormat="1" applyFont="1" applyFill="1" applyBorder="1" applyAlignment="1">
      <alignment horizontal="center" vertical="center" wrapText="1"/>
    </xf>
    <xf numFmtId="0" fontId="15" fillId="0" borderId="0" xfId="0" applyFont="1"/>
    <xf numFmtId="0" fontId="16" fillId="0" borderId="0" xfId="0" applyFont="1"/>
    <xf numFmtId="0" fontId="3" fillId="8" borderId="0" xfId="0" applyFont="1" applyFill="1"/>
    <xf numFmtId="0" fontId="8" fillId="10" borderId="3"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19" fillId="10" borderId="6"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9" fillId="11" borderId="3" xfId="0" applyFont="1" applyFill="1" applyBorder="1"/>
    <xf numFmtId="0" fontId="20" fillId="11" borderId="6" xfId="0" applyFont="1" applyFill="1" applyBorder="1"/>
    <xf numFmtId="167" fontId="21" fillId="11" borderId="3" xfId="0" applyNumberFormat="1" applyFont="1" applyFill="1" applyBorder="1" applyAlignment="1">
      <alignment vertical="center"/>
    </xf>
    <xf numFmtId="0" fontId="9" fillId="12" borderId="3" xfId="0" applyFont="1" applyFill="1" applyBorder="1"/>
    <xf numFmtId="0" fontId="20" fillId="12" borderId="6" xfId="0" applyFont="1" applyFill="1" applyBorder="1"/>
    <xf numFmtId="167" fontId="21" fillId="12" borderId="3" xfId="0" applyNumberFormat="1" applyFont="1" applyFill="1" applyBorder="1" applyAlignment="1">
      <alignment vertical="center"/>
    </xf>
    <xf numFmtId="0" fontId="22" fillId="12" borderId="3" xfId="0" applyFont="1" applyFill="1" applyBorder="1"/>
    <xf numFmtId="0" fontId="23" fillId="12" borderId="4" xfId="0" applyFont="1" applyFill="1" applyBorder="1" applyAlignment="1">
      <alignment horizontal="left" vertical="center" wrapText="1"/>
    </xf>
    <xf numFmtId="0" fontId="12" fillId="12" borderId="5" xfId="0" applyFont="1" applyFill="1" applyBorder="1" applyAlignment="1">
      <alignment horizontal="left" vertical="center" wrapText="1"/>
    </xf>
    <xf numFmtId="0" fontId="20" fillId="12" borderId="8" xfId="0" applyFont="1" applyFill="1" applyBorder="1"/>
    <xf numFmtId="0" fontId="24" fillId="4" borderId="10" xfId="0" applyFont="1" applyFill="1" applyBorder="1" applyAlignment="1">
      <alignment horizontal="left" vertical="center" wrapText="1"/>
    </xf>
    <xf numFmtId="167" fontId="24" fillId="4" borderId="9" xfId="0" applyNumberFormat="1" applyFont="1" applyFill="1" applyBorder="1" applyAlignment="1">
      <alignment vertical="center"/>
    </xf>
    <xf numFmtId="167" fontId="24" fillId="13" borderId="9" xfId="0" applyNumberFormat="1" applyFont="1" applyFill="1" applyBorder="1" applyAlignment="1">
      <alignment vertical="center"/>
    </xf>
    <xf numFmtId="0" fontId="28" fillId="0" borderId="11" xfId="0" applyFont="1" applyBorder="1" applyAlignment="1">
      <alignment horizontal="center" vertical="center" wrapText="1"/>
    </xf>
    <xf numFmtId="0" fontId="3" fillId="0" borderId="11" xfId="0" applyFont="1" applyBorder="1"/>
    <xf numFmtId="0" fontId="3" fillId="0" borderId="11" xfId="0" applyFont="1" applyBorder="1" applyAlignment="1">
      <alignment horizontal="left" vertical="center" wrapText="1"/>
    </xf>
    <xf numFmtId="0" fontId="3" fillId="0" borderId="11" xfId="0" applyFont="1" applyBorder="1" applyAlignment="1">
      <alignment horizontal="center" vertical="center"/>
    </xf>
    <xf numFmtId="167" fontId="29" fillId="16" borderId="11" xfId="0" applyNumberFormat="1" applyFont="1" applyFill="1" applyBorder="1" applyAlignment="1">
      <alignment horizontal="right" vertical="center"/>
    </xf>
    <xf numFmtId="167" fontId="29" fillId="17" borderId="11" xfId="0" applyNumberFormat="1" applyFont="1" applyFill="1" applyBorder="1" applyAlignment="1">
      <alignment horizontal="right" vertical="center"/>
    </xf>
    <xf numFmtId="0" fontId="3" fillId="18" borderId="11" xfId="0" applyFont="1" applyFill="1" applyBorder="1"/>
    <xf numFmtId="0" fontId="26" fillId="18" borderId="11" xfId="0" applyFont="1" applyFill="1" applyBorder="1" applyAlignment="1">
      <alignment horizontal="right" vertical="center" wrapText="1"/>
    </xf>
    <xf numFmtId="167" fontId="26" fillId="18" borderId="11" xfId="0" applyNumberFormat="1" applyFont="1" applyFill="1" applyBorder="1" applyAlignment="1">
      <alignment horizontal="right" vertical="center"/>
    </xf>
    <xf numFmtId="0" fontId="9" fillId="18" borderId="11" xfId="0" applyFont="1" applyFill="1" applyBorder="1" applyAlignment="1">
      <alignment horizontal="center" vertical="center" wrapText="1"/>
    </xf>
    <xf numFmtId="167" fontId="0" fillId="18" borderId="11" xfId="0" applyNumberFormat="1" applyFill="1" applyBorder="1"/>
    <xf numFmtId="0" fontId="0" fillId="19" borderId="0" xfId="0" applyFill="1"/>
    <xf numFmtId="10" fontId="32" fillId="0" borderId="0" xfId="0" applyNumberFormat="1" applyFont="1"/>
    <xf numFmtId="0" fontId="0" fillId="20" borderId="0" xfId="0" applyFill="1"/>
    <xf numFmtId="0" fontId="0" fillId="21" borderId="0" xfId="0" applyFill="1"/>
    <xf numFmtId="0" fontId="9" fillId="22" borderId="11" xfId="0" applyFont="1" applyFill="1" applyBorder="1" applyAlignment="1">
      <alignment horizontal="left" vertical="center" wrapText="1"/>
    </xf>
    <xf numFmtId="0" fontId="9" fillId="22" borderId="11" xfId="0" applyFont="1" applyFill="1" applyBorder="1" applyAlignment="1">
      <alignment horizontal="center" vertical="center" wrapText="1"/>
    </xf>
    <xf numFmtId="0" fontId="9" fillId="13" borderId="11" xfId="0" applyFont="1" applyFill="1" applyBorder="1" applyAlignment="1">
      <alignment horizontal="center" vertical="center" wrapText="1"/>
    </xf>
    <xf numFmtId="0" fontId="9" fillId="23" borderId="11" xfId="0" applyFont="1" applyFill="1" applyBorder="1" applyAlignment="1">
      <alignment horizontal="center" vertical="center" wrapText="1"/>
    </xf>
    <xf numFmtId="0" fontId="9" fillId="24" borderId="11" xfId="0" applyFont="1" applyFill="1" applyBorder="1" applyAlignment="1">
      <alignment horizontal="center" vertical="center" wrapText="1"/>
    </xf>
    <xf numFmtId="0" fontId="9" fillId="25" borderId="11" xfId="0" applyFont="1" applyFill="1" applyBorder="1" applyAlignment="1">
      <alignment horizontal="center" vertical="center" wrapText="1"/>
    </xf>
    <xf numFmtId="0" fontId="9" fillId="17" borderId="11" xfId="0" applyFont="1" applyFill="1" applyBorder="1" applyAlignment="1">
      <alignment horizontal="center" vertical="center" wrapText="1"/>
    </xf>
    <xf numFmtId="0" fontId="9" fillId="26" borderId="11" xfId="0" applyFont="1" applyFill="1" applyBorder="1" applyAlignment="1">
      <alignment horizontal="center" vertical="center" wrapText="1"/>
    </xf>
    <xf numFmtId="0" fontId="9" fillId="27" borderId="11" xfId="0" applyFont="1" applyFill="1" applyBorder="1" applyAlignment="1">
      <alignment horizontal="center" vertical="center" wrapText="1"/>
    </xf>
    <xf numFmtId="0" fontId="9" fillId="12" borderId="11"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19" borderId="11" xfId="0" applyFont="1" applyFill="1" applyBorder="1" applyAlignment="1">
      <alignment horizontal="center" vertical="center" wrapText="1"/>
    </xf>
    <xf numFmtId="0" fontId="9" fillId="28" borderId="11" xfId="0" applyFont="1" applyFill="1" applyBorder="1" applyAlignment="1">
      <alignment horizontal="center" vertical="center" wrapText="1"/>
    </xf>
    <xf numFmtId="0" fontId="28" fillId="22" borderId="11" xfId="0" applyFont="1" applyFill="1" applyBorder="1" applyAlignment="1">
      <alignment horizontal="left" vertical="center"/>
    </xf>
    <xf numFmtId="0" fontId="28" fillId="22" borderId="11" xfId="0" applyFont="1" applyFill="1" applyBorder="1"/>
    <xf numFmtId="0" fontId="28" fillId="0" borderId="11" xfId="0" applyFont="1" applyBorder="1" applyAlignment="1">
      <alignment horizontal="center" vertical="center"/>
    </xf>
    <xf numFmtId="0" fontId="26" fillId="0" borderId="11" xfId="0" applyFont="1" applyBorder="1" applyAlignment="1">
      <alignment horizontal="left" vertical="center" wrapText="1"/>
    </xf>
    <xf numFmtId="167" fontId="28" fillId="13" borderId="11" xfId="0" applyNumberFormat="1" applyFont="1" applyFill="1" applyBorder="1"/>
    <xf numFmtId="167" fontId="28" fillId="24" borderId="11" xfId="0" applyNumberFormat="1" applyFont="1" applyFill="1" applyBorder="1" applyAlignment="1">
      <alignment horizontal="right" vertical="center"/>
    </xf>
    <xf numFmtId="167" fontId="28" fillId="26" borderId="11" xfId="0" applyNumberFormat="1" applyFont="1" applyFill="1" applyBorder="1" applyAlignment="1">
      <alignment horizontal="right" vertical="center"/>
    </xf>
    <xf numFmtId="0" fontId="0" fillId="0" borderId="11" xfId="0" applyBorder="1"/>
    <xf numFmtId="0" fontId="0" fillId="8" borderId="11" xfId="0" applyFill="1" applyBorder="1"/>
    <xf numFmtId="0" fontId="28" fillId="28" borderId="11" xfId="0" applyFont="1" applyFill="1" applyBorder="1" applyAlignment="1">
      <alignment horizontal="center" vertical="center"/>
    </xf>
    <xf numFmtId="167" fontId="28" fillId="28" borderId="11" xfId="0" applyNumberFormat="1" applyFont="1" applyFill="1" applyBorder="1" applyAlignment="1">
      <alignment horizontal="right" vertical="center"/>
    </xf>
    <xf numFmtId="0" fontId="28" fillId="0" borderId="11" xfId="0" applyFont="1" applyBorder="1" applyAlignment="1">
      <alignment horizontal="left" vertical="center" wrapText="1"/>
    </xf>
    <xf numFmtId="167" fontId="31" fillId="13" borderId="11" xfId="0" applyNumberFormat="1" applyFont="1" applyFill="1" applyBorder="1"/>
    <xf numFmtId="167" fontId="31" fillId="23" borderId="11" xfId="0" applyNumberFormat="1" applyFont="1" applyFill="1" applyBorder="1"/>
    <xf numFmtId="167" fontId="28" fillId="25" borderId="11" xfId="0" applyNumberFormat="1" applyFont="1" applyFill="1" applyBorder="1" applyAlignment="1">
      <alignment horizontal="right" vertical="center"/>
    </xf>
    <xf numFmtId="167" fontId="31" fillId="17" borderId="11" xfId="0" applyNumberFormat="1" applyFont="1" applyFill="1" applyBorder="1"/>
    <xf numFmtId="167" fontId="28" fillId="27" borderId="11" xfId="0" applyNumberFormat="1" applyFont="1" applyFill="1" applyBorder="1" applyAlignment="1">
      <alignment horizontal="right" vertical="center"/>
    </xf>
    <xf numFmtId="0" fontId="7" fillId="6" borderId="12" xfId="0" applyFont="1" applyFill="1" applyBorder="1" applyAlignment="1">
      <alignment horizontal="left" vertical="center"/>
    </xf>
    <xf numFmtId="0" fontId="0" fillId="6" borderId="12" xfId="0" applyFill="1" applyBorder="1"/>
    <xf numFmtId="0" fontId="13" fillId="6" borderId="12" xfId="0" applyFont="1" applyFill="1" applyBorder="1" applyAlignment="1">
      <alignment horizontal="left" vertical="center"/>
    </xf>
    <xf numFmtId="0" fontId="0" fillId="8" borderId="12" xfId="0" applyFill="1" applyBorder="1"/>
    <xf numFmtId="0" fontId="26" fillId="29" borderId="11" xfId="0" applyFont="1" applyFill="1" applyBorder="1" applyAlignment="1">
      <alignment horizontal="left" vertical="center" wrapText="1"/>
    </xf>
    <xf numFmtId="0" fontId="0" fillId="29" borderId="11" xfId="0" applyFill="1" applyBorder="1"/>
    <xf numFmtId="0" fontId="26" fillId="28" borderId="11" xfId="0" applyFont="1" applyFill="1" applyBorder="1" applyAlignment="1">
      <alignment horizontal="center" vertical="center" wrapText="1"/>
    </xf>
    <xf numFmtId="0" fontId="26" fillId="22" borderId="11" xfId="0" applyFont="1" applyFill="1" applyBorder="1" applyAlignment="1">
      <alignment horizontal="left" vertical="center"/>
    </xf>
    <xf numFmtId="0" fontId="0" fillId="30" borderId="11" xfId="0" applyFill="1" applyBorder="1"/>
    <xf numFmtId="0" fontId="0" fillId="12" borderId="11" xfId="0" applyFill="1" applyBorder="1"/>
    <xf numFmtId="0" fontId="9" fillId="31" borderId="12" xfId="0" applyFont="1" applyFill="1" applyBorder="1" applyAlignment="1">
      <alignment horizontal="left" vertical="center"/>
    </xf>
    <xf numFmtId="0" fontId="9" fillId="31" borderId="12" xfId="0" applyFont="1" applyFill="1" applyBorder="1"/>
    <xf numFmtId="167" fontId="9" fillId="31" borderId="12" xfId="0" applyNumberFormat="1" applyFont="1" applyFill="1" applyBorder="1" applyAlignment="1">
      <alignment horizontal="right" vertical="center"/>
    </xf>
    <xf numFmtId="0" fontId="9" fillId="8" borderId="12" xfId="0" applyFont="1" applyFill="1" applyBorder="1"/>
    <xf numFmtId="0" fontId="36" fillId="22" borderId="11" xfId="0" applyFont="1" applyFill="1" applyBorder="1" applyAlignment="1">
      <alignment horizontal="left" vertical="top" wrapText="1"/>
    </xf>
    <xf numFmtId="0" fontId="36" fillId="22" borderId="11" xfId="0" applyFont="1" applyFill="1" applyBorder="1" applyAlignment="1">
      <alignment horizontal="center" vertical="top" wrapText="1"/>
    </xf>
    <xf numFmtId="0" fontId="36" fillId="13" borderId="11" xfId="0" applyFont="1" applyFill="1" applyBorder="1" applyAlignment="1">
      <alignment horizontal="center" vertical="top" wrapText="1"/>
    </xf>
    <xf numFmtId="0" fontId="36" fillId="0" borderId="11" xfId="0" applyFont="1" applyBorder="1" applyAlignment="1">
      <alignment horizontal="center" vertical="top" wrapText="1"/>
    </xf>
    <xf numFmtId="0" fontId="36" fillId="25" borderId="11" xfId="0" applyFont="1" applyFill="1" applyBorder="1" applyAlignment="1">
      <alignment horizontal="center" vertical="top" wrapText="1"/>
    </xf>
    <xf numFmtId="0" fontId="36" fillId="27" borderId="11" xfId="0" applyFont="1" applyFill="1" applyBorder="1" applyAlignment="1">
      <alignment horizontal="center" vertical="top" wrapText="1"/>
    </xf>
    <xf numFmtId="0" fontId="36" fillId="12" borderId="11" xfId="0" applyFont="1" applyFill="1" applyBorder="1" applyAlignment="1">
      <alignment horizontal="center" vertical="top" wrapText="1"/>
    </xf>
    <xf numFmtId="0" fontId="36" fillId="28" borderId="11" xfId="0" applyFont="1" applyFill="1" applyBorder="1" applyAlignment="1">
      <alignment horizontal="center" vertical="top" wrapText="1"/>
    </xf>
    <xf numFmtId="0" fontId="35" fillId="22" borderId="11" xfId="0" applyFont="1" applyFill="1" applyBorder="1" applyAlignment="1">
      <alignment horizontal="left" vertical="top"/>
    </xf>
    <xf numFmtId="0" fontId="35" fillId="22" borderId="11" xfId="0" applyFont="1" applyFill="1" applyBorder="1" applyAlignment="1">
      <alignment vertical="top"/>
    </xf>
    <xf numFmtId="0" fontId="37" fillId="0" borderId="11" xfId="0" applyFont="1" applyBorder="1" applyAlignment="1">
      <alignment horizontal="center" vertical="top"/>
    </xf>
    <xf numFmtId="0" fontId="38" fillId="0" borderId="11" xfId="0" applyFont="1" applyBorder="1" applyAlignment="1">
      <alignment horizontal="left" vertical="center" wrapText="1"/>
    </xf>
    <xf numFmtId="0" fontId="37" fillId="0" borderId="11" xfId="0" applyFont="1" applyBorder="1"/>
    <xf numFmtId="167" fontId="35" fillId="0" borderId="11" xfId="0" applyNumberFormat="1" applyFont="1" applyBorder="1" applyAlignment="1">
      <alignment horizontal="right" vertical="top"/>
    </xf>
    <xf numFmtId="0" fontId="37" fillId="0" borderId="11" xfId="0" applyFont="1" applyBorder="1" applyAlignment="1">
      <alignment vertical="top"/>
    </xf>
    <xf numFmtId="0" fontId="35" fillId="28" borderId="11" xfId="0" applyFont="1" applyFill="1" applyBorder="1" applyAlignment="1">
      <alignment horizontal="center" vertical="top"/>
    </xf>
    <xf numFmtId="0" fontId="37" fillId="0" borderId="0" xfId="0" applyFont="1" applyAlignment="1">
      <alignment vertical="top"/>
    </xf>
    <xf numFmtId="0" fontId="39" fillId="0" borderId="11" xfId="0" applyFont="1" applyBorder="1" applyAlignment="1">
      <alignment horizontal="left" vertical="center" wrapText="1"/>
    </xf>
    <xf numFmtId="0" fontId="35" fillId="0" borderId="11" xfId="0" applyFont="1" applyBorder="1" applyAlignment="1">
      <alignment horizontal="center" vertical="top"/>
    </xf>
    <xf numFmtId="0" fontId="35" fillId="0" borderId="11" xfId="0" applyFont="1" applyBorder="1" applyAlignment="1">
      <alignment horizontal="left" vertical="center" wrapText="1" indent="1"/>
    </xf>
    <xf numFmtId="0" fontId="35" fillId="0" borderId="11" xfId="0" applyFont="1" applyBorder="1" applyAlignment="1">
      <alignment horizontal="center" vertical="center"/>
    </xf>
    <xf numFmtId="167" fontId="31" fillId="0" borderId="11" xfId="0" applyNumberFormat="1" applyFont="1" applyBorder="1"/>
    <xf numFmtId="167" fontId="35" fillId="25" borderId="11" xfId="0" applyNumberFormat="1" applyFont="1" applyFill="1" applyBorder="1" applyAlignment="1">
      <alignment horizontal="right" vertical="top"/>
    </xf>
    <xf numFmtId="167" fontId="35" fillId="27" borderId="11" xfId="0" applyNumberFormat="1" applyFont="1" applyFill="1" applyBorder="1" applyAlignment="1">
      <alignment horizontal="right" vertical="top"/>
    </xf>
    <xf numFmtId="0" fontId="35" fillId="0" borderId="11" xfId="0" applyFont="1" applyBorder="1" applyAlignment="1">
      <alignment horizontal="left" vertical="center" wrapText="1"/>
    </xf>
    <xf numFmtId="0" fontId="35" fillId="5" borderId="11" xfId="0" applyFont="1" applyFill="1" applyBorder="1" applyAlignment="1">
      <alignment horizontal="left" vertical="top"/>
    </xf>
    <xf numFmtId="0" fontId="37" fillId="5" borderId="11" xfId="0" applyFont="1" applyFill="1" applyBorder="1" applyAlignment="1">
      <alignment vertical="top"/>
    </xf>
    <xf numFmtId="0" fontId="37" fillId="5" borderId="11" xfId="0" applyFont="1" applyFill="1" applyBorder="1" applyAlignment="1">
      <alignment horizontal="center" vertical="top"/>
    </xf>
    <xf numFmtId="0" fontId="38" fillId="5" borderId="11" xfId="0" applyFont="1" applyFill="1" applyBorder="1"/>
    <xf numFmtId="0" fontId="37" fillId="5" borderId="11" xfId="0" applyFont="1" applyFill="1" applyBorder="1"/>
    <xf numFmtId="0" fontId="37" fillId="5" borderId="0" xfId="0" applyFont="1" applyFill="1" applyAlignment="1">
      <alignment vertical="top"/>
    </xf>
    <xf numFmtId="0" fontId="35" fillId="0" borderId="11" xfId="0" applyFont="1" applyBorder="1" applyAlignment="1">
      <alignment horizontal="left" vertical="center" wrapText="1" indent="2"/>
    </xf>
    <xf numFmtId="0" fontId="38" fillId="0" borderId="11" xfId="0" applyFont="1" applyBorder="1" applyAlignment="1">
      <alignment horizontal="left" vertical="top" wrapText="1"/>
    </xf>
    <xf numFmtId="0" fontId="35" fillId="0" borderId="11" xfId="0" applyFont="1" applyBorder="1" applyAlignment="1">
      <alignment horizontal="left" vertical="top" wrapText="1"/>
    </xf>
    <xf numFmtId="0" fontId="39" fillId="0" borderId="11" xfId="0" applyFont="1" applyBorder="1" applyAlignment="1">
      <alignment horizontal="left" vertical="top" wrapText="1"/>
    </xf>
    <xf numFmtId="0" fontId="37" fillId="5" borderId="11" xfId="0" applyFont="1" applyFill="1" applyBorder="1" applyAlignment="1">
      <alignment horizontal="left" vertical="top"/>
    </xf>
    <xf numFmtId="0" fontId="38" fillId="5" borderId="11" xfId="0" applyFont="1" applyFill="1" applyBorder="1" applyAlignment="1">
      <alignment horizontal="left" vertical="top"/>
    </xf>
    <xf numFmtId="167" fontId="35" fillId="22" borderId="11" xfId="0" applyNumberFormat="1" applyFont="1" applyFill="1" applyBorder="1" applyAlignment="1">
      <alignment vertical="top"/>
    </xf>
    <xf numFmtId="0" fontId="37" fillId="0" borderId="12" xfId="0" applyFont="1" applyBorder="1"/>
    <xf numFmtId="0" fontId="38" fillId="22" borderId="11" xfId="0" applyFont="1" applyFill="1" applyBorder="1" applyAlignment="1">
      <alignment horizontal="left" vertical="top"/>
    </xf>
    <xf numFmtId="0" fontId="1" fillId="12" borderId="11" xfId="0" applyFont="1" applyFill="1" applyBorder="1" applyAlignment="1">
      <alignment horizontal="center" vertical="top"/>
    </xf>
    <xf numFmtId="0" fontId="1" fillId="12" borderId="11" xfId="0" applyFont="1" applyFill="1" applyBorder="1"/>
    <xf numFmtId="0" fontId="1" fillId="0" borderId="11" xfId="0" applyFont="1" applyBorder="1"/>
    <xf numFmtId="0" fontId="1" fillId="0" borderId="11" xfId="0" applyFont="1" applyBorder="1" applyAlignment="1">
      <alignment vertical="top"/>
    </xf>
    <xf numFmtId="0" fontId="1" fillId="12" borderId="11" xfId="0" applyFont="1" applyFill="1" applyBorder="1" applyAlignment="1">
      <alignment vertical="top"/>
    </xf>
    <xf numFmtId="0" fontId="1" fillId="30" borderId="11" xfId="0" applyFont="1" applyFill="1" applyBorder="1" applyAlignment="1">
      <alignment horizontal="center" vertical="top"/>
    </xf>
    <xf numFmtId="0" fontId="1" fillId="30" borderId="11" xfId="0" applyFont="1" applyFill="1" applyBorder="1"/>
    <xf numFmtId="0" fontId="1" fillId="30" borderId="11" xfId="0" applyFont="1" applyFill="1" applyBorder="1" applyAlignment="1">
      <alignment vertical="top"/>
    </xf>
    <xf numFmtId="0" fontId="36" fillId="31" borderId="12" xfId="0" applyFont="1" applyFill="1" applyBorder="1" applyAlignment="1">
      <alignment horizontal="left" vertical="top"/>
    </xf>
    <xf numFmtId="0" fontId="36" fillId="31" borderId="12" xfId="0" applyFont="1" applyFill="1" applyBorder="1" applyAlignment="1">
      <alignment horizontal="center" vertical="top"/>
    </xf>
    <xf numFmtId="0" fontId="36" fillId="31" borderId="12" xfId="0" applyFont="1" applyFill="1" applyBorder="1"/>
    <xf numFmtId="0" fontId="36" fillId="0" borderId="12" xfId="0" applyFont="1" applyBorder="1"/>
    <xf numFmtId="0" fontId="36" fillId="0" borderId="12" xfId="0" applyFont="1" applyBorder="1" applyAlignment="1">
      <alignment vertical="top"/>
    </xf>
    <xf numFmtId="0" fontId="36" fillId="31" borderId="12" xfId="0" applyFont="1" applyFill="1" applyBorder="1" applyAlignment="1">
      <alignment vertical="top"/>
    </xf>
    <xf numFmtId="0" fontId="3" fillId="0" borderId="11" xfId="0" applyFont="1" applyBorder="1" applyAlignment="1">
      <alignment horizontal="center"/>
    </xf>
    <xf numFmtId="0" fontId="3" fillId="18" borderId="11" xfId="0" applyFont="1" applyFill="1" applyBorder="1" applyAlignment="1">
      <alignment horizontal="center"/>
    </xf>
    <xf numFmtId="0" fontId="3" fillId="0" borderId="0" xfId="0" applyFont="1" applyAlignment="1">
      <alignment horizontal="center"/>
    </xf>
    <xf numFmtId="0" fontId="41" fillId="0" borderId="11" xfId="0" applyFont="1" applyBorder="1" applyAlignment="1">
      <alignment horizontal="center"/>
    </xf>
    <xf numFmtId="0" fontId="41" fillId="0" borderId="11" xfId="0" applyFont="1" applyBorder="1" applyAlignment="1">
      <alignment horizontal="left" vertical="center" wrapText="1"/>
    </xf>
    <xf numFmtId="0" fontId="43" fillId="0" borderId="11" xfId="0" applyFont="1" applyBorder="1" applyAlignment="1">
      <alignment horizontal="left" vertical="center" wrapText="1"/>
    </xf>
    <xf numFmtId="0" fontId="41" fillId="0" borderId="11" xfId="0" applyFont="1" applyBorder="1" applyAlignment="1">
      <alignment horizontal="left" vertical="center"/>
    </xf>
    <xf numFmtId="167" fontId="45" fillId="16" borderId="11" xfId="0" applyNumberFormat="1" applyFont="1" applyFill="1" applyBorder="1" applyAlignment="1">
      <alignment horizontal="right" vertical="center"/>
    </xf>
    <xf numFmtId="0" fontId="41" fillId="0" borderId="11" xfId="0" applyFont="1" applyBorder="1" applyAlignment="1">
      <alignment horizontal="center" vertical="center"/>
    </xf>
    <xf numFmtId="0" fontId="46" fillId="32" borderId="11" xfId="0" applyFont="1" applyFill="1" applyBorder="1" applyAlignment="1">
      <alignment horizontal="center" vertical="center" wrapText="1"/>
    </xf>
    <xf numFmtId="0" fontId="3" fillId="32" borderId="11" xfId="0" applyFont="1" applyFill="1" applyBorder="1"/>
    <xf numFmtId="0" fontId="3" fillId="32" borderId="11" xfId="0" applyFont="1" applyFill="1" applyBorder="1" applyAlignment="1">
      <alignment horizontal="center"/>
    </xf>
    <xf numFmtId="0" fontId="3" fillId="32" borderId="11" xfId="0" applyFont="1" applyFill="1" applyBorder="1" applyAlignment="1">
      <alignment horizontal="left" vertical="center" wrapText="1"/>
    </xf>
    <xf numFmtId="0" fontId="3" fillId="32" borderId="11" xfId="0" applyFont="1" applyFill="1" applyBorder="1" applyAlignment="1">
      <alignment horizontal="center" vertical="center"/>
    </xf>
    <xf numFmtId="165" fontId="0" fillId="32" borderId="11" xfId="0" applyNumberFormat="1" applyFill="1" applyBorder="1" applyAlignment="1">
      <alignment horizontal="center" vertical="center"/>
    </xf>
    <xf numFmtId="165" fontId="0" fillId="33" borderId="11" xfId="0" applyNumberFormat="1" applyFill="1" applyBorder="1" applyAlignment="1">
      <alignment horizontal="right" vertical="center"/>
    </xf>
    <xf numFmtId="165" fontId="29" fillId="33" borderId="11" xfId="0" applyNumberFormat="1" applyFont="1" applyFill="1" applyBorder="1" applyAlignment="1">
      <alignment horizontal="right" vertical="center"/>
    </xf>
    <xf numFmtId="165" fontId="0" fillId="34" borderId="11" xfId="0" applyNumberFormat="1" applyFill="1" applyBorder="1" applyAlignment="1">
      <alignment horizontal="right" vertical="center"/>
    </xf>
    <xf numFmtId="165" fontId="29" fillId="34" borderId="11" xfId="0" applyNumberFormat="1" applyFont="1" applyFill="1" applyBorder="1" applyAlignment="1">
      <alignment horizontal="right" vertical="center"/>
    </xf>
    <xf numFmtId="0" fontId="28" fillId="32" borderId="11" xfId="0" applyFont="1" applyFill="1" applyBorder="1" applyAlignment="1">
      <alignment horizontal="center" vertical="center" wrapText="1"/>
    </xf>
    <xf numFmtId="167" fontId="29" fillId="33" borderId="11" xfId="0" applyNumberFormat="1" applyFont="1" applyFill="1" applyBorder="1" applyAlignment="1">
      <alignment horizontal="right" vertical="center"/>
    </xf>
    <xf numFmtId="167" fontId="29" fillId="34" borderId="11" xfId="0" applyNumberFormat="1" applyFont="1" applyFill="1" applyBorder="1" applyAlignment="1">
      <alignment horizontal="right" vertical="center"/>
    </xf>
    <xf numFmtId="0" fontId="44" fillId="0" borderId="11" xfId="0" applyFont="1" applyBorder="1" applyAlignment="1">
      <alignment horizontal="left" vertical="center" wrapText="1"/>
    </xf>
    <xf numFmtId="0" fontId="46" fillId="0" borderId="11" xfId="0" applyFont="1" applyBorder="1" applyAlignment="1">
      <alignment horizontal="left" vertical="center" wrapText="1"/>
    </xf>
    <xf numFmtId="9" fontId="28" fillId="0" borderId="11" xfId="15" applyFont="1" applyBorder="1" applyAlignment="1">
      <alignment horizontal="center" vertical="center"/>
    </xf>
    <xf numFmtId="0" fontId="46" fillId="0" borderId="11" xfId="0" applyFont="1" applyBorder="1" applyAlignment="1">
      <alignment horizontal="center" vertical="center"/>
    </xf>
    <xf numFmtId="0" fontId="46" fillId="22" borderId="11" xfId="0" applyFont="1" applyFill="1" applyBorder="1"/>
    <xf numFmtId="0" fontId="28" fillId="37" borderId="11" xfId="0" applyFont="1" applyFill="1" applyBorder="1" applyAlignment="1">
      <alignment horizontal="left"/>
    </xf>
    <xf numFmtId="0" fontId="0" fillId="38" borderId="11" xfId="0" applyFill="1" applyBorder="1"/>
    <xf numFmtId="0" fontId="26" fillId="38" borderId="11" xfId="0" applyFont="1" applyFill="1" applyBorder="1"/>
    <xf numFmtId="167" fontId="26" fillId="38" borderId="11" xfId="0" applyNumberFormat="1" applyFont="1" applyFill="1" applyBorder="1" applyAlignment="1">
      <alignment horizontal="right" vertical="center"/>
    </xf>
    <xf numFmtId="0" fontId="26" fillId="39" borderId="11" xfId="0" applyFont="1" applyFill="1" applyBorder="1"/>
    <xf numFmtId="0" fontId="26" fillId="25" borderId="11" xfId="0" applyFont="1" applyFill="1" applyBorder="1" applyAlignment="1">
      <alignment horizontal="center" vertical="center" wrapText="1"/>
    </xf>
    <xf numFmtId="0" fontId="0" fillId="29" borderId="11" xfId="0" applyFill="1" applyBorder="1" applyAlignment="1">
      <alignment horizontal="center"/>
    </xf>
    <xf numFmtId="0" fontId="26" fillId="27" borderId="11" xfId="0" applyFont="1" applyFill="1" applyBorder="1" applyAlignment="1">
      <alignment horizontal="center" vertical="center" wrapText="1"/>
    </xf>
    <xf numFmtId="0" fontId="0" fillId="8" borderId="11" xfId="0" applyFill="1" applyBorder="1" applyAlignment="1">
      <alignment horizontal="center"/>
    </xf>
    <xf numFmtId="0" fontId="28" fillId="30" borderId="11" xfId="0" applyFont="1" applyFill="1" applyBorder="1" applyAlignment="1">
      <alignment horizontal="left" vertical="center"/>
    </xf>
    <xf numFmtId="0" fontId="28" fillId="12" borderId="11" xfId="0" applyFont="1" applyFill="1" applyBorder="1" applyAlignment="1">
      <alignment horizontal="left" vertical="center"/>
    </xf>
    <xf numFmtId="168" fontId="37" fillId="0" borderId="11" xfId="0" applyNumberFormat="1" applyFont="1" applyBorder="1" applyAlignment="1">
      <alignment horizontal="center" vertical="top"/>
    </xf>
    <xf numFmtId="169" fontId="37" fillId="0" borderId="11" xfId="0" applyNumberFormat="1" applyFont="1" applyBorder="1" applyAlignment="1">
      <alignment horizontal="center" vertical="top"/>
    </xf>
    <xf numFmtId="168" fontId="35" fillId="0" borderId="11" xfId="0" applyNumberFormat="1" applyFont="1" applyBorder="1" applyAlignment="1">
      <alignment horizontal="center" vertical="top"/>
    </xf>
    <xf numFmtId="169" fontId="40" fillId="0" borderId="11" xfId="0" applyNumberFormat="1" applyFont="1" applyBorder="1" applyAlignment="1">
      <alignment horizontal="center" vertical="top"/>
    </xf>
    <xf numFmtId="168" fontId="38" fillId="0" borderId="11" xfId="0" applyNumberFormat="1" applyFont="1" applyBorder="1" applyAlignment="1">
      <alignment horizontal="center" vertical="top"/>
    </xf>
    <xf numFmtId="169" fontId="38" fillId="0" borderId="11" xfId="0" applyNumberFormat="1" applyFont="1" applyBorder="1" applyAlignment="1">
      <alignment horizontal="center" vertical="top"/>
    </xf>
    <xf numFmtId="0" fontId="35" fillId="0" borderId="11" xfId="0" quotePrefix="1" applyFont="1" applyBorder="1" applyAlignment="1">
      <alignment horizontal="center" vertical="top"/>
    </xf>
    <xf numFmtId="0" fontId="44" fillId="0" borderId="11" xfId="0" applyFont="1" applyBorder="1" applyAlignment="1">
      <alignment horizontal="center" vertical="top"/>
    </xf>
    <xf numFmtId="0" fontId="50" fillId="0" borderId="11" xfId="0" applyFont="1" applyBorder="1" applyAlignment="1">
      <alignment horizontal="center" vertical="top"/>
    </xf>
    <xf numFmtId="0" fontId="26" fillId="29" borderId="11" xfId="0" applyFont="1" applyFill="1" applyBorder="1" applyAlignment="1">
      <alignment horizontal="left" vertical="center"/>
    </xf>
    <xf numFmtId="0" fontId="35" fillId="12" borderId="11" xfId="0" applyFont="1" applyFill="1" applyBorder="1" applyAlignment="1">
      <alignment horizontal="left" vertical="top"/>
    </xf>
    <xf numFmtId="0" fontId="35" fillId="30" borderId="11" xfId="0" applyFont="1" applyFill="1" applyBorder="1" applyAlignment="1">
      <alignment horizontal="left" vertical="top"/>
    </xf>
    <xf numFmtId="0" fontId="50" fillId="0" borderId="12" xfId="0" applyFont="1" applyBorder="1" applyAlignment="1">
      <alignment horizontal="left" vertical="top"/>
    </xf>
    <xf numFmtId="0" fontId="50" fillId="0" borderId="12" xfId="0" applyFont="1" applyBorder="1" applyAlignment="1">
      <alignment vertical="top"/>
    </xf>
    <xf numFmtId="0" fontId="50" fillId="0" borderId="12" xfId="0" applyFont="1" applyBorder="1" applyAlignment="1">
      <alignment horizontal="center" vertical="top"/>
    </xf>
    <xf numFmtId="167" fontId="50" fillId="0" borderId="12" xfId="0" applyNumberFormat="1" applyFont="1" applyBorder="1" applyAlignment="1">
      <alignment vertical="top"/>
    </xf>
    <xf numFmtId="0" fontId="51" fillId="6" borderId="12" xfId="0" applyFont="1" applyFill="1" applyBorder="1" applyAlignment="1">
      <alignment horizontal="left" vertical="center"/>
    </xf>
    <xf numFmtId="0" fontId="0" fillId="19" borderId="0" xfId="0" applyFill="1" applyAlignment="1">
      <alignment vertical="top"/>
    </xf>
    <xf numFmtId="10" fontId="32" fillId="0" borderId="0" xfId="0" applyNumberFormat="1" applyFont="1" applyAlignment="1">
      <alignment vertical="top"/>
    </xf>
    <xf numFmtId="0" fontId="0" fillId="20" borderId="0" xfId="0" applyFill="1" applyAlignment="1">
      <alignment vertical="top"/>
    </xf>
    <xf numFmtId="0" fontId="0" fillId="21" borderId="0" xfId="0" applyFill="1" applyAlignment="1">
      <alignment vertical="top"/>
    </xf>
    <xf numFmtId="0" fontId="0" fillId="0" borderId="0" xfId="0" applyAlignment="1">
      <alignment vertical="top"/>
    </xf>
    <xf numFmtId="0" fontId="52" fillId="41" borderId="11" xfId="0" applyFont="1" applyFill="1" applyBorder="1" applyAlignment="1">
      <alignment horizontal="center" vertical="top" wrapText="1"/>
    </xf>
    <xf numFmtId="167" fontId="52" fillId="41" borderId="11" xfId="0" applyNumberFormat="1" applyFont="1" applyFill="1" applyBorder="1" applyAlignment="1">
      <alignment horizontal="center" vertical="top" wrapText="1"/>
    </xf>
    <xf numFmtId="167" fontId="52" fillId="42" borderId="11" xfId="0" applyNumberFormat="1" applyFont="1" applyFill="1" applyBorder="1" applyAlignment="1">
      <alignment horizontal="center" vertical="top" wrapText="1"/>
    </xf>
    <xf numFmtId="0" fontId="52" fillId="42" borderId="11" xfId="0" applyFont="1" applyFill="1" applyBorder="1" applyAlignment="1">
      <alignment horizontal="center" vertical="top" wrapText="1"/>
    </xf>
    <xf numFmtId="0" fontId="52" fillId="43" borderId="11" xfId="0" applyFont="1" applyFill="1" applyBorder="1" applyAlignment="1">
      <alignment horizontal="center" vertical="top" wrapText="1"/>
    </xf>
    <xf numFmtId="0" fontId="52" fillId="44" borderId="11" xfId="0" applyFont="1" applyFill="1" applyBorder="1" applyAlignment="1">
      <alignment horizontal="center" vertical="top" wrapText="1"/>
    </xf>
    <xf numFmtId="0" fontId="36" fillId="12" borderId="13" xfId="0" applyFont="1" applyFill="1" applyBorder="1" applyAlignment="1">
      <alignment horizontal="center" vertical="top" wrapText="1"/>
    </xf>
    <xf numFmtId="167" fontId="52" fillId="32" borderId="11" xfId="0" applyNumberFormat="1" applyFont="1" applyFill="1" applyBorder="1" applyAlignment="1">
      <alignment horizontal="center" vertical="top" wrapText="1"/>
    </xf>
    <xf numFmtId="0" fontId="40" fillId="0" borderId="11" xfId="0" applyFont="1" applyBorder="1" applyAlignment="1">
      <alignment horizontal="left" vertical="top" wrapText="1"/>
    </xf>
    <xf numFmtId="0" fontId="53" fillId="41" borderId="11" xfId="0" applyFont="1" applyFill="1" applyBorder="1" applyAlignment="1">
      <alignment vertical="top"/>
    </xf>
    <xf numFmtId="167" fontId="53" fillId="42" borderId="11" xfId="0" applyNumberFormat="1" applyFont="1" applyFill="1" applyBorder="1" applyAlignment="1">
      <alignment vertical="top"/>
    </xf>
    <xf numFmtId="167" fontId="37" fillId="42" borderId="11" xfId="0" applyNumberFormat="1" applyFont="1" applyFill="1" applyBorder="1" applyAlignment="1">
      <alignment horizontal="right" vertical="top"/>
    </xf>
    <xf numFmtId="4" fontId="37" fillId="43" borderId="11" xfId="0" applyNumberFormat="1" applyFont="1" applyFill="1" applyBorder="1" applyAlignment="1">
      <alignment horizontal="right" vertical="top"/>
    </xf>
    <xf numFmtId="0" fontId="53" fillId="42" borderId="11" xfId="0" applyFont="1" applyFill="1" applyBorder="1" applyAlignment="1">
      <alignment vertical="top"/>
    </xf>
    <xf numFmtId="4" fontId="37" fillId="44" borderId="11" xfId="0" applyNumberFormat="1" applyFont="1" applyFill="1" applyBorder="1" applyAlignment="1">
      <alignment horizontal="right" vertical="top"/>
    </xf>
    <xf numFmtId="0" fontId="37" fillId="0" borderId="13" xfId="0" applyFont="1" applyBorder="1" applyAlignment="1">
      <alignment vertical="top"/>
    </xf>
    <xf numFmtId="167" fontId="37" fillId="32" borderId="11" xfId="0" applyNumberFormat="1" applyFont="1" applyFill="1" applyBorder="1" applyAlignment="1">
      <alignment horizontal="right" vertical="top"/>
    </xf>
    <xf numFmtId="0" fontId="37" fillId="0" borderId="11" xfId="0" applyFont="1" applyBorder="1" applyAlignment="1">
      <alignment horizontal="left" vertical="top" wrapText="1"/>
    </xf>
    <xf numFmtId="167" fontId="54" fillId="41" borderId="11" xfId="0" applyNumberFormat="1" applyFont="1" applyFill="1" applyBorder="1" applyAlignment="1">
      <alignment vertical="top"/>
    </xf>
    <xf numFmtId="167" fontId="46" fillId="41" borderId="11" xfId="0" applyNumberFormat="1" applyFont="1" applyFill="1" applyBorder="1" applyAlignment="1">
      <alignment vertical="top"/>
    </xf>
    <xf numFmtId="167" fontId="54" fillId="42" borderId="11" xfId="0" applyNumberFormat="1" applyFont="1" applyFill="1" applyBorder="1" applyAlignment="1">
      <alignment vertical="top"/>
    </xf>
    <xf numFmtId="0" fontId="50" fillId="0" borderId="11" xfId="0" applyFont="1" applyBorder="1" applyAlignment="1">
      <alignment horizontal="left" vertical="top" wrapText="1"/>
    </xf>
    <xf numFmtId="0" fontId="55" fillId="0" borderId="11" xfId="0" applyFont="1" applyBorder="1" applyAlignment="1">
      <alignment horizontal="left" vertical="top" wrapText="1"/>
    </xf>
    <xf numFmtId="0" fontId="37" fillId="22" borderId="11" xfId="0" applyFont="1" applyFill="1" applyBorder="1" applyAlignment="1">
      <alignment horizontal="left" vertical="top"/>
    </xf>
    <xf numFmtId="0" fontId="56" fillId="0" borderId="11" xfId="0" applyFont="1" applyBorder="1" applyAlignment="1">
      <alignment horizontal="left" vertical="top" wrapText="1" indent="1"/>
    </xf>
    <xf numFmtId="0" fontId="37" fillId="0" borderId="14" xfId="0" applyFont="1" applyBorder="1" applyAlignment="1">
      <alignment horizontal="left" vertical="top"/>
    </xf>
    <xf numFmtId="0" fontId="37" fillId="0" borderId="14" xfId="0" applyFont="1" applyBorder="1" applyAlignment="1">
      <alignment vertical="top"/>
    </xf>
    <xf numFmtId="0" fontId="37" fillId="0" borderId="14" xfId="0" applyFont="1" applyBorder="1" applyAlignment="1">
      <alignment horizontal="center" vertical="top"/>
    </xf>
    <xf numFmtId="0" fontId="37" fillId="0" borderId="14" xfId="0" applyFont="1" applyBorder="1"/>
    <xf numFmtId="167" fontId="37" fillId="0" borderId="14" xfId="0" applyNumberFormat="1" applyFont="1" applyBorder="1" applyAlignment="1">
      <alignment vertical="top"/>
    </xf>
    <xf numFmtId="0" fontId="37" fillId="0" borderId="0" xfId="0" applyFont="1" applyAlignment="1">
      <alignment horizontal="left" vertical="top"/>
    </xf>
    <xf numFmtId="0" fontId="37" fillId="0" borderId="0" xfId="0" applyFont="1" applyAlignment="1">
      <alignment horizontal="center" vertical="top"/>
    </xf>
    <xf numFmtId="167" fontId="37" fillId="0" borderId="0" xfId="0" applyNumberFormat="1" applyFont="1" applyAlignment="1">
      <alignment vertical="top"/>
    </xf>
    <xf numFmtId="4" fontId="37" fillId="0" borderId="0" xfId="0" applyNumberFormat="1" applyFont="1" applyAlignment="1">
      <alignment vertical="top"/>
    </xf>
    <xf numFmtId="0" fontId="37" fillId="0" borderId="15" xfId="0" applyFont="1" applyBorder="1" applyAlignment="1">
      <alignment horizontal="left" vertical="top"/>
    </xf>
    <xf numFmtId="0" fontId="37" fillId="0" borderId="15" xfId="0" applyFont="1" applyBorder="1" applyAlignment="1">
      <alignment vertical="top"/>
    </xf>
    <xf numFmtId="0" fontId="37" fillId="0" borderId="15" xfId="0" applyFont="1" applyBorder="1" applyAlignment="1">
      <alignment horizontal="center" vertical="top"/>
    </xf>
    <xf numFmtId="0" fontId="37" fillId="0" borderId="15" xfId="0" applyFont="1" applyBorder="1"/>
    <xf numFmtId="167" fontId="37" fillId="0" borderId="15" xfId="0" applyNumberFormat="1" applyFont="1" applyBorder="1" applyAlignment="1">
      <alignment vertical="top"/>
    </xf>
    <xf numFmtId="4" fontId="37" fillId="0" borderId="15" xfId="0" applyNumberFormat="1" applyFont="1" applyBorder="1" applyAlignment="1">
      <alignment vertical="top"/>
    </xf>
    <xf numFmtId="9" fontId="0" fillId="0" borderId="0" xfId="0" applyNumberFormat="1" applyAlignment="1">
      <alignment vertical="top"/>
    </xf>
    <xf numFmtId="0" fontId="52" fillId="41" borderId="17" xfId="0" applyFont="1" applyFill="1" applyBorder="1" applyAlignment="1">
      <alignment horizontal="center" vertical="top" wrapText="1"/>
    </xf>
    <xf numFmtId="0" fontId="52" fillId="42" borderId="16" xfId="0" applyFont="1" applyFill="1" applyBorder="1" applyAlignment="1">
      <alignment horizontal="center" vertical="top" wrapText="1"/>
    </xf>
    <xf numFmtId="0" fontId="52" fillId="32" borderId="17" xfId="0" applyFont="1" applyFill="1" applyBorder="1" applyAlignment="1">
      <alignment horizontal="center" vertical="top" wrapText="1"/>
    </xf>
    <xf numFmtId="4" fontId="45" fillId="42" borderId="18" xfId="0" applyNumberFormat="1" applyFont="1" applyFill="1" applyBorder="1" applyAlignment="1">
      <alignment vertical="top"/>
    </xf>
    <xf numFmtId="167" fontId="45" fillId="42" borderId="18" xfId="0" applyNumberFormat="1" applyFont="1" applyFill="1" applyBorder="1" applyAlignment="1">
      <alignment vertical="top"/>
    </xf>
    <xf numFmtId="0" fontId="45" fillId="42" borderId="18" xfId="0" applyFont="1" applyFill="1" applyBorder="1" applyAlignment="1">
      <alignment vertical="top"/>
    </xf>
    <xf numFmtId="4" fontId="54" fillId="42" borderId="18" xfId="0" applyNumberFormat="1" applyFont="1" applyFill="1" applyBorder="1" applyAlignment="1">
      <alignment vertical="top"/>
    </xf>
    <xf numFmtId="167" fontId="54" fillId="42" borderId="18" xfId="0" applyNumberFormat="1" applyFont="1" applyFill="1" applyBorder="1" applyAlignment="1">
      <alignment vertical="top"/>
    </xf>
    <xf numFmtId="167" fontId="46" fillId="45" borderId="18" xfId="0" applyNumberFormat="1" applyFont="1" applyFill="1" applyBorder="1" applyAlignment="1">
      <alignment vertical="top"/>
    </xf>
    <xf numFmtId="0" fontId="46" fillId="45" borderId="18" xfId="0" applyFont="1" applyFill="1" applyBorder="1" applyAlignment="1">
      <alignment vertical="top"/>
    </xf>
    <xf numFmtId="0" fontId="46" fillId="45" borderId="18" xfId="0" applyFont="1" applyFill="1" applyBorder="1" applyAlignment="1">
      <alignment horizontal="center" vertical="top"/>
    </xf>
    <xf numFmtId="0" fontId="45" fillId="42" borderId="18" xfId="0" applyFont="1" applyFill="1" applyBorder="1" applyAlignment="1">
      <alignment horizontal="center" vertical="top"/>
    </xf>
    <xf numFmtId="4" fontId="46" fillId="42" borderId="18" xfId="0" applyNumberFormat="1" applyFont="1" applyFill="1" applyBorder="1" applyAlignment="1">
      <alignment vertical="top"/>
    </xf>
    <xf numFmtId="167" fontId="46" fillId="42" borderId="18" xfId="0" applyNumberFormat="1" applyFont="1" applyFill="1" applyBorder="1" applyAlignment="1">
      <alignment vertical="top"/>
    </xf>
    <xf numFmtId="0" fontId="46" fillId="42" borderId="18" xfId="0" applyFont="1" applyFill="1" applyBorder="1" applyAlignment="1">
      <alignment vertical="top"/>
    </xf>
    <xf numFmtId="0" fontId="46" fillId="42" borderId="18" xfId="0" applyFont="1" applyFill="1" applyBorder="1" applyAlignment="1">
      <alignment horizontal="center" vertical="top"/>
    </xf>
    <xf numFmtId="0" fontId="52" fillId="46" borderId="17" xfId="0" applyFont="1" applyFill="1" applyBorder="1" applyAlignment="1">
      <alignment horizontal="left" vertical="top" wrapText="1"/>
    </xf>
    <xf numFmtId="0" fontId="52" fillId="46" borderId="17" xfId="0" applyFont="1" applyFill="1" applyBorder="1" applyAlignment="1">
      <alignment horizontal="center" vertical="top" wrapText="1"/>
    </xf>
    <xf numFmtId="0" fontId="52" fillId="46" borderId="16" xfId="0" applyFont="1" applyFill="1" applyBorder="1" applyAlignment="1">
      <alignment horizontal="center" vertical="top" wrapText="1"/>
    </xf>
    <xf numFmtId="0" fontId="46" fillId="42" borderId="18" xfId="0" applyFont="1" applyFill="1" applyBorder="1" applyAlignment="1">
      <alignment horizontal="left" vertical="top" wrapText="1"/>
    </xf>
    <xf numFmtId="0" fontId="46" fillId="46" borderId="18" xfId="0" applyFont="1" applyFill="1" applyBorder="1" applyAlignment="1">
      <alignment vertical="top"/>
    </xf>
    <xf numFmtId="0" fontId="44" fillId="45" borderId="18" xfId="0" applyFont="1" applyFill="1" applyBorder="1" applyAlignment="1">
      <alignment horizontal="left" vertical="top" wrapText="1"/>
    </xf>
    <xf numFmtId="0" fontId="44" fillId="42" borderId="18" xfId="0" applyFont="1" applyFill="1" applyBorder="1" applyAlignment="1">
      <alignment horizontal="left" vertical="top" wrapText="1"/>
    </xf>
    <xf numFmtId="0" fontId="55" fillId="42" borderId="18" xfId="0" applyFont="1" applyFill="1" applyBorder="1" applyAlignment="1">
      <alignment horizontal="left" vertical="top" wrapText="1"/>
    </xf>
    <xf numFmtId="0" fontId="46" fillId="46" borderId="18" xfId="0" applyFont="1" applyFill="1" applyBorder="1" applyAlignment="1">
      <alignment horizontal="left" vertical="top"/>
    </xf>
    <xf numFmtId="0" fontId="44" fillId="45" borderId="18" xfId="0" applyFont="1" applyFill="1" applyBorder="1" applyAlignment="1">
      <alignment horizontal="left" vertical="top"/>
    </xf>
    <xf numFmtId="0" fontId="46" fillId="45" borderId="18" xfId="0" applyFont="1" applyFill="1" applyBorder="1" applyAlignment="1">
      <alignment horizontal="left" vertical="top"/>
    </xf>
    <xf numFmtId="0" fontId="44" fillId="46" borderId="18" xfId="0" applyFont="1" applyFill="1" applyBorder="1" applyAlignment="1">
      <alignment horizontal="left" vertical="top"/>
    </xf>
    <xf numFmtId="0" fontId="48" fillId="42" borderId="18" xfId="0" applyFont="1" applyFill="1" applyBorder="1" applyAlignment="1">
      <alignment horizontal="left" vertical="top" wrapText="1"/>
    </xf>
    <xf numFmtId="43" fontId="1" fillId="0" borderId="0" xfId="14" applyFont="1" applyAlignment="1">
      <alignment vertical="top"/>
    </xf>
    <xf numFmtId="43" fontId="52" fillId="43" borderId="16" xfId="14" applyFont="1" applyFill="1" applyBorder="1" applyAlignment="1">
      <alignment horizontal="center" vertical="top" wrapText="1"/>
    </xf>
    <xf numFmtId="43" fontId="46" fillId="43" borderId="18" xfId="14" applyFont="1" applyFill="1" applyBorder="1" applyAlignment="1">
      <alignment horizontal="right" vertical="top"/>
    </xf>
    <xf numFmtId="43" fontId="44" fillId="43" borderId="18" xfId="14" applyFont="1" applyFill="1" applyBorder="1" applyAlignment="1">
      <alignment horizontal="right" vertical="top"/>
    </xf>
    <xf numFmtId="43" fontId="44" fillId="45" borderId="18" xfId="14" applyFont="1" applyFill="1" applyBorder="1" applyAlignment="1">
      <alignment horizontal="right" vertical="top"/>
    </xf>
    <xf numFmtId="43" fontId="45" fillId="43" borderId="18" xfId="14" applyFont="1" applyFill="1" applyBorder="1" applyAlignment="1">
      <alignment horizontal="right" vertical="top"/>
    </xf>
    <xf numFmtId="43" fontId="50" fillId="43" borderId="18" xfId="14" applyFont="1" applyFill="1" applyBorder="1" applyAlignment="1">
      <alignment horizontal="right" vertical="top"/>
    </xf>
    <xf numFmtId="43" fontId="46" fillId="43" borderId="18" xfId="14" applyFont="1" applyFill="1" applyBorder="1" applyAlignment="1">
      <alignment vertical="top"/>
    </xf>
    <xf numFmtId="43" fontId="44" fillId="43" borderId="18" xfId="14" applyFont="1" applyFill="1" applyBorder="1" applyAlignment="1">
      <alignment horizontal="center" vertical="top" wrapText="1"/>
    </xf>
    <xf numFmtId="43" fontId="0" fillId="0" borderId="0" xfId="14" applyFont="1"/>
    <xf numFmtId="43" fontId="0" fillId="6" borderId="12" xfId="14" applyFont="1" applyFill="1" applyBorder="1"/>
    <xf numFmtId="43" fontId="26" fillId="25" borderId="11" xfId="14" applyFont="1" applyFill="1" applyBorder="1" applyAlignment="1">
      <alignment horizontal="center" vertical="center" wrapText="1"/>
    </xf>
    <xf numFmtId="43" fontId="35" fillId="25" borderId="11" xfId="14" applyFont="1" applyFill="1" applyBorder="1" applyAlignment="1">
      <alignment horizontal="right" vertical="top"/>
    </xf>
    <xf numFmtId="43" fontId="36" fillId="31" borderId="12" xfId="14" applyFont="1" applyFill="1" applyBorder="1" applyAlignment="1">
      <alignment horizontal="right" vertical="top"/>
    </xf>
    <xf numFmtId="43" fontId="52" fillId="44" borderId="16" xfId="14" applyFont="1" applyFill="1" applyBorder="1" applyAlignment="1">
      <alignment horizontal="center" vertical="top" wrapText="1"/>
    </xf>
    <xf numFmtId="43" fontId="46" fillId="44" borderId="18" xfId="14" applyFont="1" applyFill="1" applyBorder="1" applyAlignment="1">
      <alignment horizontal="right" vertical="top"/>
    </xf>
    <xf numFmtId="43" fontId="44" fillId="44" borderId="18" xfId="14" applyFont="1" applyFill="1" applyBorder="1" applyAlignment="1">
      <alignment horizontal="right" vertical="top"/>
    </xf>
    <xf numFmtId="43" fontId="45" fillId="44" borderId="18" xfId="14" applyFont="1" applyFill="1" applyBorder="1" applyAlignment="1">
      <alignment horizontal="right" vertical="top"/>
    </xf>
    <xf numFmtId="43" fontId="50" fillId="44" borderId="18" xfId="14" applyFont="1" applyFill="1" applyBorder="1" applyAlignment="1">
      <alignment horizontal="right" vertical="top"/>
    </xf>
    <xf numFmtId="43" fontId="46" fillId="44" borderId="18" xfId="14" applyFont="1" applyFill="1" applyBorder="1" applyAlignment="1">
      <alignment vertical="top"/>
    </xf>
    <xf numFmtId="43" fontId="44" fillId="44" borderId="18" xfId="14" applyFont="1" applyFill="1" applyBorder="1" applyAlignment="1">
      <alignment horizontal="center" vertical="top" wrapText="1"/>
    </xf>
    <xf numFmtId="43" fontId="26" fillId="27" borderId="11" xfId="14" applyFont="1" applyFill="1" applyBorder="1" applyAlignment="1">
      <alignment horizontal="center" vertical="center" wrapText="1"/>
    </xf>
    <xf numFmtId="43" fontId="35" fillId="27" borderId="11" xfId="14" applyFont="1" applyFill="1" applyBorder="1" applyAlignment="1">
      <alignment horizontal="right" vertical="top"/>
    </xf>
    <xf numFmtId="43" fontId="1" fillId="35" borderId="0" xfId="14" applyFont="1" applyFill="1" applyAlignment="1">
      <alignment vertical="top"/>
    </xf>
    <xf numFmtId="43" fontId="1" fillId="40" borderId="0" xfId="14" applyFont="1" applyFill="1" applyAlignment="1">
      <alignment vertical="top"/>
    </xf>
    <xf numFmtId="43" fontId="1" fillId="36" borderId="0" xfId="14" applyFont="1" applyFill="1" applyAlignment="1">
      <alignment vertical="top"/>
    </xf>
    <xf numFmtId="43" fontId="52" fillId="32" borderId="17" xfId="14" applyFont="1" applyFill="1" applyBorder="1" applyAlignment="1">
      <alignment horizontal="center" vertical="top" wrapText="1"/>
    </xf>
    <xf numFmtId="43" fontId="46" fillId="32" borderId="18" xfId="14" applyFont="1" applyFill="1" applyBorder="1" applyAlignment="1">
      <alignment horizontal="right" vertical="top"/>
    </xf>
    <xf numFmtId="43" fontId="46" fillId="45" borderId="18" xfId="14" applyFont="1" applyFill="1" applyBorder="1" applyAlignment="1">
      <alignment horizontal="right" vertical="top"/>
    </xf>
    <xf numFmtId="43" fontId="26" fillId="28" borderId="11" xfId="14" applyFont="1" applyFill="1" applyBorder="1" applyAlignment="1">
      <alignment horizontal="center" vertical="center" wrapText="1"/>
    </xf>
    <xf numFmtId="43" fontId="35" fillId="28" borderId="11" xfId="14" applyFont="1" applyFill="1" applyBorder="1" applyAlignment="1">
      <alignment horizontal="right" vertical="top"/>
    </xf>
    <xf numFmtId="43" fontId="52" fillId="41" borderId="16" xfId="14" applyFont="1" applyFill="1" applyBorder="1" applyAlignment="1">
      <alignment horizontal="center" vertical="top" wrapText="1"/>
    </xf>
    <xf numFmtId="43" fontId="46" fillId="41" borderId="18" xfId="14" applyFont="1" applyFill="1" applyBorder="1" applyAlignment="1">
      <alignment vertical="top"/>
    </xf>
    <xf numFmtId="43" fontId="46" fillId="45" borderId="18" xfId="14" applyFont="1" applyFill="1" applyBorder="1" applyAlignment="1">
      <alignment vertical="top"/>
    </xf>
    <xf numFmtId="43" fontId="54" fillId="41" borderId="18" xfId="14" applyFont="1" applyFill="1" applyBorder="1" applyAlignment="1">
      <alignment vertical="top"/>
    </xf>
    <xf numFmtId="43" fontId="45" fillId="41" borderId="18" xfId="14" applyFont="1" applyFill="1" applyBorder="1" applyAlignment="1">
      <alignment vertical="top"/>
    </xf>
    <xf numFmtId="43" fontId="0" fillId="29" borderId="11" xfId="14" applyFont="1" applyFill="1" applyBorder="1"/>
    <xf numFmtId="43" fontId="1" fillId="12" borderId="11" xfId="14" applyFont="1" applyFill="1" applyBorder="1" applyAlignment="1">
      <alignment vertical="top"/>
    </xf>
    <xf numFmtId="43" fontId="1" fillId="30" borderId="11" xfId="14" applyFont="1" applyFill="1" applyBorder="1" applyAlignment="1">
      <alignment vertical="top"/>
    </xf>
    <xf numFmtId="43" fontId="36" fillId="31" borderId="12" xfId="14" applyFont="1" applyFill="1" applyBorder="1" applyAlignment="1">
      <alignment vertical="top"/>
    </xf>
    <xf numFmtId="43" fontId="52" fillId="42" borderId="16" xfId="14" applyFont="1" applyFill="1" applyBorder="1" applyAlignment="1">
      <alignment horizontal="center" vertical="top" wrapText="1"/>
    </xf>
    <xf numFmtId="43" fontId="46" fillId="42" borderId="18" xfId="14" applyFont="1" applyFill="1" applyBorder="1" applyAlignment="1">
      <alignment horizontal="right" vertical="top"/>
    </xf>
    <xf numFmtId="43" fontId="45" fillId="42" borderId="18" xfId="14" applyFont="1" applyFill="1" applyBorder="1" applyAlignment="1">
      <alignment horizontal="right" vertical="top"/>
    </xf>
    <xf numFmtId="43" fontId="46" fillId="42" borderId="18" xfId="14" applyFont="1" applyFill="1" applyBorder="1" applyAlignment="1">
      <alignment vertical="top"/>
    </xf>
    <xf numFmtId="43" fontId="1" fillId="0" borderId="11" xfId="14" applyFont="1" applyBorder="1" applyAlignment="1">
      <alignment vertical="top"/>
    </xf>
    <xf numFmtId="43" fontId="36" fillId="0" borderId="12" xfId="14" applyFont="1" applyBorder="1" applyAlignment="1">
      <alignment vertical="top"/>
    </xf>
    <xf numFmtId="43" fontId="46" fillId="42" borderId="18" xfId="14" applyFont="1" applyFill="1" applyBorder="1" applyAlignment="1">
      <alignment horizontal="center" vertical="top"/>
    </xf>
    <xf numFmtId="43" fontId="0" fillId="29" borderId="11" xfId="14" applyFont="1" applyFill="1" applyBorder="1" applyAlignment="1">
      <alignment horizontal="center"/>
    </xf>
    <xf numFmtId="0" fontId="48" fillId="45" borderId="18" xfId="0" applyFont="1" applyFill="1" applyBorder="1" applyAlignment="1">
      <alignment horizontal="left" vertical="top" wrapText="1"/>
    </xf>
    <xf numFmtId="0" fontId="46" fillId="0" borderId="18" xfId="0" applyFont="1" applyBorder="1" applyAlignment="1">
      <alignment horizontal="left" vertical="top"/>
    </xf>
    <xf numFmtId="0" fontId="46" fillId="0" borderId="18" xfId="0" applyFont="1" applyBorder="1" applyAlignment="1">
      <alignment vertical="top"/>
    </xf>
    <xf numFmtId="0" fontId="46" fillId="0" borderId="18" xfId="0" applyFont="1" applyBorder="1" applyAlignment="1">
      <alignment horizontal="center" vertical="top"/>
    </xf>
    <xf numFmtId="0" fontId="44" fillId="0" borderId="18" xfId="0" applyFont="1" applyBorder="1" applyAlignment="1">
      <alignment horizontal="left" vertical="top" wrapText="1"/>
    </xf>
    <xf numFmtId="167" fontId="46" fillId="0" borderId="18" xfId="0" applyNumberFormat="1" applyFont="1" applyBorder="1" applyAlignment="1">
      <alignment vertical="top"/>
    </xf>
    <xf numFmtId="43" fontId="46" fillId="0" borderId="18" xfId="14" applyFont="1" applyFill="1" applyBorder="1" applyAlignment="1">
      <alignment vertical="top"/>
    </xf>
    <xf numFmtId="43" fontId="46" fillId="0" borderId="18" xfId="14" applyFont="1" applyFill="1" applyBorder="1" applyAlignment="1">
      <alignment horizontal="right" vertical="top"/>
    </xf>
    <xf numFmtId="43" fontId="44" fillId="0" borderId="18" xfId="14" applyFont="1" applyFill="1" applyBorder="1" applyAlignment="1">
      <alignment horizontal="right" vertical="top"/>
    </xf>
    <xf numFmtId="0" fontId="1" fillId="0" borderId="0" xfId="0" applyFont="1" applyAlignment="1">
      <alignment vertical="top" wrapText="1"/>
    </xf>
    <xf numFmtId="0" fontId="44" fillId="0" borderId="18" xfId="0" applyFont="1" applyBorder="1" applyAlignment="1">
      <alignment vertical="top" wrapText="1"/>
    </xf>
    <xf numFmtId="0" fontId="44" fillId="45" borderId="18" xfId="0" applyFont="1" applyFill="1" applyBorder="1" applyAlignment="1">
      <alignment vertical="top" wrapText="1"/>
    </xf>
    <xf numFmtId="0" fontId="0" fillId="0" borderId="0" xfId="0" applyAlignment="1">
      <alignment wrapText="1"/>
    </xf>
    <xf numFmtId="0" fontId="51" fillId="6" borderId="12" xfId="0" applyFont="1" applyFill="1" applyBorder="1" applyAlignment="1">
      <alignment horizontal="left" vertical="center" wrapText="1"/>
    </xf>
    <xf numFmtId="0" fontId="0" fillId="29" borderId="11" xfId="0" applyFill="1" applyBorder="1" applyAlignment="1">
      <alignment wrapText="1"/>
    </xf>
    <xf numFmtId="0" fontId="1" fillId="12" borderId="11" xfId="0" applyFont="1" applyFill="1" applyBorder="1" applyAlignment="1">
      <alignment wrapText="1"/>
    </xf>
    <xf numFmtId="0" fontId="1" fillId="30" borderId="11" xfId="0" applyFont="1" applyFill="1" applyBorder="1" applyAlignment="1">
      <alignment wrapText="1"/>
    </xf>
    <xf numFmtId="0" fontId="36" fillId="31" borderId="12" xfId="0" applyFont="1" applyFill="1" applyBorder="1" applyAlignment="1">
      <alignment wrapText="1"/>
    </xf>
    <xf numFmtId="0" fontId="44" fillId="0" borderId="18" xfId="0" applyFont="1" applyBorder="1" applyAlignment="1">
      <alignment horizontal="left" vertical="top"/>
    </xf>
    <xf numFmtId="0" fontId="50" fillId="47" borderId="12" xfId="0" applyFont="1" applyFill="1" applyBorder="1" applyAlignment="1">
      <alignment horizontal="left" vertical="top"/>
    </xf>
    <xf numFmtId="0" fontId="50" fillId="47" borderId="12" xfId="0" applyFont="1" applyFill="1" applyBorder="1" applyAlignment="1">
      <alignment vertical="top"/>
    </xf>
    <xf numFmtId="0" fontId="50" fillId="47" borderId="12" xfId="0" applyFont="1" applyFill="1" applyBorder="1" applyAlignment="1">
      <alignment horizontal="center" vertical="top"/>
    </xf>
    <xf numFmtId="0" fontId="37" fillId="47" borderId="12" xfId="0" applyFont="1" applyFill="1" applyBorder="1"/>
    <xf numFmtId="167" fontId="37" fillId="47" borderId="12" xfId="0" applyNumberFormat="1" applyFont="1" applyFill="1" applyBorder="1" applyAlignment="1">
      <alignment vertical="top"/>
    </xf>
    <xf numFmtId="167" fontId="50" fillId="47" borderId="12" xfId="0" applyNumberFormat="1" applyFont="1" applyFill="1" applyBorder="1" applyAlignment="1">
      <alignment vertical="top"/>
    </xf>
    <xf numFmtId="0" fontId="1" fillId="47" borderId="0" xfId="0" applyFont="1" applyFill="1"/>
    <xf numFmtId="0" fontId="25" fillId="0" borderId="0" xfId="0" applyFont="1" applyAlignment="1">
      <alignment horizontal="center" vertical="center"/>
    </xf>
    <xf numFmtId="0" fontId="9" fillId="0" borderId="0" xfId="0" applyFont="1" applyAlignment="1">
      <alignment horizontal="center" vertical="center"/>
    </xf>
    <xf numFmtId="0" fontId="26" fillId="13" borderId="11" xfId="0" applyFont="1" applyFill="1" applyBorder="1" applyAlignment="1">
      <alignment horizontal="center" vertical="center" wrapText="1"/>
    </xf>
    <xf numFmtId="165" fontId="26" fillId="13" borderId="11" xfId="0" applyNumberFormat="1" applyFont="1" applyFill="1" applyBorder="1" applyAlignment="1">
      <alignment horizontal="center" vertical="center" wrapText="1"/>
    </xf>
    <xf numFmtId="0" fontId="27" fillId="14" borderId="11" xfId="0" applyFont="1" applyFill="1" applyBorder="1" applyAlignment="1">
      <alignment horizontal="center" vertical="center"/>
    </xf>
    <xf numFmtId="165" fontId="27" fillId="15" borderId="11" xfId="0" applyNumberFormat="1" applyFont="1" applyFill="1" applyBorder="1" applyAlignment="1">
      <alignment horizontal="center" vertical="center"/>
    </xf>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7" fillId="2" borderId="0" xfId="0" applyFont="1" applyFill="1" applyAlignment="1">
      <alignment horizontal="left" vertical="center" wrapText="1"/>
    </xf>
    <xf numFmtId="0" fontId="7" fillId="2" borderId="0" xfId="0" applyFont="1" applyFill="1" applyAlignment="1">
      <alignment horizontal="center" vertical="center" wrapText="1"/>
    </xf>
    <xf numFmtId="0" fontId="8" fillId="3" borderId="1" xfId="0" applyFont="1" applyFill="1" applyBorder="1" applyAlignment="1">
      <alignment horizontal="center" vertical="center" wrapText="1"/>
    </xf>
    <xf numFmtId="0" fontId="9" fillId="0" borderId="1" xfId="0" applyFont="1" applyBorder="1" applyAlignment="1">
      <alignment horizontal="left" vertical="center" wrapText="1"/>
    </xf>
    <xf numFmtId="167" fontId="9" fillId="0" borderId="1" xfId="0" applyNumberFormat="1" applyFont="1" applyBorder="1" applyAlignment="1">
      <alignment horizontal="left" vertical="center" wrapText="1"/>
    </xf>
    <xf numFmtId="0" fontId="9" fillId="4" borderId="0" xfId="0" applyFont="1" applyFill="1" applyAlignment="1">
      <alignment horizontal="left" vertical="center" wrapText="1"/>
    </xf>
    <xf numFmtId="0" fontId="14" fillId="0" borderId="0" xfId="0" applyFont="1"/>
    <xf numFmtId="0" fontId="5" fillId="6" borderId="0" xfId="0" applyFont="1" applyFill="1" applyAlignment="1">
      <alignment horizontal="center" vertical="center" wrapText="1"/>
    </xf>
    <xf numFmtId="0" fontId="17" fillId="7" borderId="0" xfId="0" applyFont="1" applyFill="1" applyAlignment="1">
      <alignment horizontal="left" vertical="center" wrapText="1"/>
    </xf>
    <xf numFmtId="0" fontId="18" fillId="9" borderId="2" xfId="0" applyFont="1" applyFill="1" applyBorder="1" applyAlignment="1">
      <alignment horizontal="center" vertical="center" wrapText="1"/>
    </xf>
    <xf numFmtId="0" fontId="12" fillId="11" borderId="4" xfId="0" applyFont="1" applyFill="1" applyBorder="1" applyAlignment="1">
      <alignment horizontal="left" vertical="center" wrapText="1"/>
    </xf>
    <xf numFmtId="0" fontId="23" fillId="12" borderId="4" xfId="0" applyFont="1" applyFill="1" applyBorder="1" applyAlignment="1">
      <alignment horizontal="left" vertical="center" wrapText="1"/>
    </xf>
    <xf numFmtId="0" fontId="12" fillId="12" borderId="7" xfId="0" applyFont="1" applyFill="1" applyBorder="1" applyAlignment="1">
      <alignment horizontal="left" vertical="center" wrapText="1"/>
    </xf>
    <xf numFmtId="0" fontId="24" fillId="4" borderId="9" xfId="0" applyFont="1" applyFill="1" applyBorder="1" applyAlignment="1">
      <alignment horizontal="left" vertical="center" wrapText="1"/>
    </xf>
    <xf numFmtId="0" fontId="12" fillId="12" borderId="4" xfId="0" applyFont="1" applyFill="1" applyBorder="1" applyAlignment="1">
      <alignment horizontal="left" vertical="center" wrapText="1"/>
    </xf>
    <xf numFmtId="0" fontId="35" fillId="36" borderId="11" xfId="0" applyFont="1" applyFill="1" applyBorder="1" applyAlignment="1">
      <alignment horizontal="left" vertical="top"/>
    </xf>
    <xf numFmtId="0" fontId="37" fillId="36" borderId="11" xfId="0" applyFont="1" applyFill="1" applyBorder="1" applyAlignment="1">
      <alignment vertical="top"/>
    </xf>
    <xf numFmtId="0" fontId="37" fillId="36" borderId="11" xfId="0" applyFont="1" applyFill="1" applyBorder="1" applyAlignment="1">
      <alignment horizontal="center" vertical="top"/>
    </xf>
    <xf numFmtId="0" fontId="37" fillId="36" borderId="11" xfId="0" applyFont="1" applyFill="1" applyBorder="1"/>
    <xf numFmtId="4" fontId="37" fillId="36" borderId="11" xfId="0" applyNumberFormat="1" applyFont="1" applyFill="1" applyBorder="1"/>
    <xf numFmtId="167" fontId="37" fillId="36" borderId="11" xfId="0" applyNumberFormat="1" applyFont="1" applyFill="1" applyBorder="1" applyAlignment="1">
      <alignment vertical="top"/>
    </xf>
    <xf numFmtId="4" fontId="37" fillId="36" borderId="11" xfId="0" applyNumberFormat="1" applyFont="1" applyFill="1" applyBorder="1" applyAlignment="1">
      <alignment vertical="top"/>
    </xf>
    <xf numFmtId="167" fontId="37" fillId="36" borderId="11" xfId="0" applyNumberFormat="1" applyFont="1" applyFill="1" applyBorder="1" applyAlignment="1">
      <alignment horizontal="right" vertical="top"/>
    </xf>
    <xf numFmtId="166" fontId="53" fillId="36" borderId="11" xfId="0" applyNumberFormat="1" applyFont="1" applyFill="1" applyBorder="1" applyAlignment="1">
      <alignment vertical="top"/>
    </xf>
    <xf numFmtId="4" fontId="53" fillId="36" borderId="11" xfId="0" applyNumberFormat="1" applyFont="1" applyFill="1" applyBorder="1" applyAlignment="1">
      <alignment vertical="top"/>
    </xf>
    <xf numFmtId="0" fontId="37" fillId="36" borderId="13" xfId="0" applyFont="1" applyFill="1" applyBorder="1" applyAlignment="1">
      <alignment vertical="top"/>
    </xf>
    <xf numFmtId="0" fontId="28" fillId="36" borderId="11" xfId="0" applyFont="1" applyFill="1" applyBorder="1" applyAlignment="1">
      <alignment horizontal="center" vertical="center"/>
    </xf>
    <xf numFmtId="0" fontId="28" fillId="48" borderId="11" xfId="0" applyFont="1" applyFill="1" applyBorder="1" applyAlignment="1">
      <alignment horizontal="left" vertical="center"/>
    </xf>
    <xf numFmtId="0" fontId="46" fillId="48" borderId="11" xfId="0" applyFont="1" applyFill="1" applyBorder="1"/>
    <xf numFmtId="0" fontId="46" fillId="36" borderId="11" xfId="0" applyFont="1" applyFill="1" applyBorder="1" applyAlignment="1">
      <alignment horizontal="center" vertical="center"/>
    </xf>
    <xf numFmtId="0" fontId="48" fillId="36" borderId="11" xfId="0" applyFont="1" applyFill="1" applyBorder="1" applyAlignment="1">
      <alignment horizontal="left" vertical="center" wrapText="1"/>
    </xf>
    <xf numFmtId="9" fontId="28" fillId="36" borderId="11" xfId="15" applyFont="1" applyFill="1" applyBorder="1" applyAlignment="1">
      <alignment horizontal="center" vertical="center"/>
    </xf>
    <xf numFmtId="167" fontId="31" fillId="49" borderId="11" xfId="0" applyNumberFormat="1" applyFont="1" applyFill="1" applyBorder="1"/>
    <xf numFmtId="167" fontId="28" fillId="49" borderId="11" xfId="0" applyNumberFormat="1" applyFont="1" applyFill="1" applyBorder="1"/>
    <xf numFmtId="167" fontId="31" fillId="50" borderId="11" xfId="0" applyNumberFormat="1" applyFont="1" applyFill="1" applyBorder="1"/>
    <xf numFmtId="167" fontId="28" fillId="21" borderId="11" xfId="0" applyNumberFormat="1" applyFont="1" applyFill="1" applyBorder="1" applyAlignment="1">
      <alignment horizontal="right" vertical="center"/>
    </xf>
    <xf numFmtId="167" fontId="28" fillId="51" borderId="11" xfId="0" applyNumberFormat="1" applyFont="1" applyFill="1" applyBorder="1" applyAlignment="1">
      <alignment horizontal="right" vertical="center"/>
    </xf>
    <xf numFmtId="167" fontId="31" fillId="52" borderId="11" xfId="0" applyNumberFormat="1" applyFont="1" applyFill="1" applyBorder="1"/>
    <xf numFmtId="167" fontId="28" fillId="53" borderId="11" xfId="0" applyNumberFormat="1" applyFont="1" applyFill="1" applyBorder="1" applyAlignment="1">
      <alignment horizontal="right" vertical="center"/>
    </xf>
    <xf numFmtId="167" fontId="28" fillId="48" borderId="11" xfId="0" applyNumberFormat="1" applyFont="1" applyFill="1" applyBorder="1" applyAlignment="1">
      <alignment horizontal="right" vertical="center"/>
    </xf>
    <xf numFmtId="0" fontId="0" fillId="36" borderId="11" xfId="0" applyFill="1" applyBorder="1"/>
    <xf numFmtId="0" fontId="0" fillId="54" borderId="11" xfId="0" applyFill="1" applyBorder="1"/>
    <xf numFmtId="0" fontId="28" fillId="55" borderId="11" xfId="0" applyFont="1" applyFill="1" applyBorder="1" applyAlignment="1">
      <alignment horizontal="center" vertical="center"/>
    </xf>
    <xf numFmtId="167" fontId="28" fillId="55" borderId="11" xfId="0" applyNumberFormat="1" applyFont="1" applyFill="1" applyBorder="1" applyAlignment="1">
      <alignment horizontal="right" vertical="center"/>
    </xf>
    <xf numFmtId="0" fontId="28" fillId="48" borderId="11" xfId="0" applyFont="1" applyFill="1" applyBorder="1"/>
    <xf numFmtId="0" fontId="46" fillId="36" borderId="11" xfId="0" applyFont="1" applyFill="1" applyBorder="1" applyAlignment="1">
      <alignment horizontal="left" vertical="center" wrapText="1"/>
    </xf>
    <xf numFmtId="0" fontId="58" fillId="0" borderId="19" xfId="16" applyFont="1" applyBorder="1" applyAlignment="1">
      <alignment horizontal="center" vertical="top"/>
    </xf>
    <xf numFmtId="0" fontId="58" fillId="0" borderId="20" xfId="16" applyFont="1" applyBorder="1" applyAlignment="1">
      <alignment horizontal="justify" vertical="top" wrapText="1"/>
    </xf>
    <xf numFmtId="10" fontId="58" fillId="0" borderId="20" xfId="16" applyNumberFormat="1" applyFont="1" applyBorder="1" applyAlignment="1">
      <alignment horizontal="center" vertical="top"/>
    </xf>
    <xf numFmtId="170" fontId="58" fillId="0" borderId="21" xfId="16" applyNumberFormat="1" applyFont="1" applyBorder="1" applyAlignment="1">
      <alignment vertical="top"/>
    </xf>
    <xf numFmtId="0" fontId="58" fillId="0" borderId="22" xfId="16" applyFont="1" applyBorder="1" applyAlignment="1">
      <alignment vertical="top"/>
    </xf>
    <xf numFmtId="0" fontId="59" fillId="0" borderId="0" xfId="16" applyFont="1" applyAlignment="1">
      <alignment horizontal="left" vertical="top" wrapText="1"/>
    </xf>
    <xf numFmtId="170" fontId="58" fillId="0" borderId="0" xfId="16" applyNumberFormat="1" applyFont="1" applyAlignment="1">
      <alignment horizontal="center" vertical="top"/>
    </xf>
    <xf numFmtId="170" fontId="59" fillId="44" borderId="23" xfId="17" applyNumberFormat="1" applyFont="1" applyFill="1" applyBorder="1" applyAlignment="1">
      <alignment horizontal="center" vertical="top"/>
    </xf>
    <xf numFmtId="170" fontId="58" fillId="0" borderId="23" xfId="16" applyNumberFormat="1" applyFont="1" applyBorder="1" applyAlignment="1">
      <alignment vertical="top"/>
    </xf>
    <xf numFmtId="170" fontId="59" fillId="0" borderId="23" xfId="17" applyNumberFormat="1" applyFont="1" applyBorder="1" applyAlignment="1">
      <alignment horizontal="center" vertical="top"/>
    </xf>
    <xf numFmtId="0" fontId="60" fillId="0" borderId="0" xfId="16" applyFont="1" applyAlignment="1">
      <alignment horizontal="left" vertical="top" wrapText="1"/>
    </xf>
    <xf numFmtId="170" fontId="59" fillId="0" borderId="0" xfId="16" applyNumberFormat="1" applyFont="1" applyAlignment="1">
      <alignment horizontal="center" vertical="top"/>
    </xf>
    <xf numFmtId="10" fontId="59" fillId="0" borderId="0" xfId="16" applyNumberFormat="1" applyFont="1" applyAlignment="1">
      <alignment horizontal="center" vertical="top"/>
    </xf>
    <xf numFmtId="0" fontId="58" fillId="0" borderId="0" xfId="16" applyFont="1" applyAlignment="1">
      <alignment horizontal="left" vertical="top" wrapText="1"/>
    </xf>
    <xf numFmtId="170" fontId="58" fillId="0" borderId="23" xfId="17" applyNumberFormat="1" applyFont="1" applyBorder="1" applyAlignment="1">
      <alignment horizontal="center" vertical="top"/>
    </xf>
    <xf numFmtId="10" fontId="58" fillId="44" borderId="0" xfId="16" applyNumberFormat="1" applyFont="1" applyFill="1" applyAlignment="1">
      <alignment horizontal="center" vertical="top"/>
    </xf>
    <xf numFmtId="170" fontId="58" fillId="44" borderId="23" xfId="17" applyNumberFormat="1" applyFont="1" applyFill="1" applyBorder="1" applyAlignment="1">
      <alignment horizontal="center" vertical="top"/>
    </xf>
    <xf numFmtId="10" fontId="58" fillId="0" borderId="0" xfId="16" applyNumberFormat="1" applyFont="1" applyAlignment="1">
      <alignment horizontal="center" vertical="top"/>
    </xf>
    <xf numFmtId="170" fontId="59" fillId="44" borderId="24" xfId="17" applyNumberFormat="1" applyFont="1" applyFill="1" applyBorder="1" applyAlignment="1">
      <alignment horizontal="center" vertical="top"/>
    </xf>
    <xf numFmtId="0" fontId="58" fillId="0" borderId="0" xfId="16" applyFont="1" applyAlignment="1">
      <alignment horizontal="center" vertical="top"/>
    </xf>
    <xf numFmtId="0" fontId="58" fillId="0" borderId="23" xfId="16" applyFont="1" applyBorder="1" applyAlignment="1">
      <alignment vertical="top"/>
    </xf>
    <xf numFmtId="172" fontId="58" fillId="44" borderId="0" xfId="16" applyNumberFormat="1" applyFont="1" applyFill="1" applyAlignment="1">
      <alignment horizontal="center" vertical="top"/>
    </xf>
    <xf numFmtId="0" fontId="58" fillId="0" borderId="0" xfId="16" applyFont="1" applyAlignment="1">
      <alignment vertical="top"/>
    </xf>
    <xf numFmtId="0" fontId="58" fillId="0" borderId="25" xfId="16" applyFont="1" applyBorder="1" applyAlignment="1">
      <alignment horizontal="center" vertical="top"/>
    </xf>
    <xf numFmtId="0" fontId="58" fillId="0" borderId="26" xfId="16" applyFont="1" applyBorder="1" applyAlignment="1">
      <alignment horizontal="justify" vertical="top"/>
    </xf>
    <xf numFmtId="0" fontId="58" fillId="0" borderId="26" xfId="16" applyFont="1" applyBorder="1" applyAlignment="1">
      <alignment horizontal="center" vertical="top" wrapText="1"/>
    </xf>
    <xf numFmtId="170" fontId="58" fillId="0" borderId="27" xfId="16" applyNumberFormat="1" applyFont="1" applyBorder="1" applyAlignment="1">
      <alignment vertical="top"/>
    </xf>
    <xf numFmtId="10" fontId="59" fillId="46" borderId="0" xfId="16" applyNumberFormat="1" applyFont="1" applyFill="1" applyAlignment="1">
      <alignment horizontal="center" vertical="top"/>
    </xf>
    <xf numFmtId="43" fontId="59" fillId="46" borderId="0" xfId="14" applyFont="1" applyFill="1" applyBorder="1" applyAlignment="1">
      <alignment horizontal="center" vertical="top"/>
    </xf>
    <xf numFmtId="164" fontId="59" fillId="46" borderId="0" xfId="2" applyFont="1" applyFill="1" applyAlignment="1">
      <alignment horizontal="center" vertical="top"/>
    </xf>
    <xf numFmtId="0" fontId="46" fillId="13" borderId="11" xfId="0" applyFont="1" applyFill="1" applyBorder="1" applyAlignment="1">
      <alignment horizontal="center" vertical="center" wrapText="1"/>
    </xf>
    <xf numFmtId="0" fontId="46" fillId="56" borderId="11"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52" fillId="57" borderId="13" xfId="0" applyFont="1" applyFill="1" applyBorder="1" applyAlignment="1">
      <alignment horizontal="center" vertical="center" wrapText="1"/>
    </xf>
    <xf numFmtId="173" fontId="9" fillId="58" borderId="28" xfId="0" applyNumberFormat="1" applyFont="1" applyFill="1" applyBorder="1" applyAlignment="1">
      <alignment horizontal="center" vertical="center" wrapText="1"/>
    </xf>
    <xf numFmtId="0" fontId="9" fillId="57" borderId="11" xfId="0" applyFont="1" applyFill="1" applyBorder="1" applyAlignment="1">
      <alignment horizontal="center" vertical="top" wrapText="1"/>
    </xf>
    <xf numFmtId="167" fontId="37" fillId="59" borderId="11" xfId="0" applyNumberFormat="1" applyFont="1" applyFill="1" applyBorder="1" applyAlignment="1">
      <alignment vertical="top"/>
    </xf>
    <xf numFmtId="167" fontId="31" fillId="59" borderId="11" xfId="0" applyNumberFormat="1" applyFont="1" applyFill="1" applyBorder="1" applyAlignment="1">
      <alignment vertical="top"/>
    </xf>
    <xf numFmtId="0" fontId="52" fillId="60" borderId="13" xfId="0" applyFont="1" applyFill="1" applyBorder="1" applyAlignment="1">
      <alignment horizontal="center" vertical="center" wrapText="1"/>
    </xf>
    <xf numFmtId="173" fontId="9" fillId="60" borderId="28" xfId="0" applyNumberFormat="1" applyFont="1" applyFill="1" applyBorder="1" applyAlignment="1">
      <alignment horizontal="center" vertical="center" wrapText="1"/>
    </xf>
    <xf numFmtId="0" fontId="52" fillId="60" borderId="11" xfId="0" applyFont="1" applyFill="1" applyBorder="1" applyAlignment="1">
      <alignment horizontal="center" vertical="top" wrapText="1"/>
    </xf>
    <xf numFmtId="0" fontId="9" fillId="60" borderId="11" xfId="0" applyFont="1" applyFill="1" applyBorder="1" applyAlignment="1">
      <alignment horizontal="center" vertical="top" wrapText="1"/>
    </xf>
    <xf numFmtId="167" fontId="37" fillId="61" borderId="11" xfId="0" applyNumberFormat="1" applyFont="1" applyFill="1" applyBorder="1" applyAlignment="1">
      <alignment vertical="top"/>
    </xf>
    <xf numFmtId="167" fontId="31" fillId="61" borderId="11" xfId="0" applyNumberFormat="1" applyFont="1" applyFill="1" applyBorder="1" applyAlignment="1">
      <alignment vertical="top"/>
    </xf>
    <xf numFmtId="0" fontId="35" fillId="62" borderId="11" xfId="0" applyFont="1" applyFill="1" applyBorder="1" applyAlignment="1">
      <alignment horizontal="left" vertical="top"/>
    </xf>
    <xf numFmtId="0" fontId="37" fillId="62" borderId="11" xfId="0" applyFont="1" applyFill="1" applyBorder="1" applyAlignment="1">
      <alignment vertical="top"/>
    </xf>
    <xf numFmtId="0" fontId="37" fillId="62" borderId="11" xfId="0" applyFont="1" applyFill="1" applyBorder="1" applyAlignment="1">
      <alignment horizontal="center" vertical="top"/>
    </xf>
    <xf numFmtId="0" fontId="38" fillId="62" borderId="11" xfId="0" applyFont="1" applyFill="1" applyBorder="1"/>
    <xf numFmtId="0" fontId="37" fillId="62" borderId="11" xfId="0" applyFont="1" applyFill="1" applyBorder="1"/>
    <xf numFmtId="4" fontId="37" fillId="62" borderId="11" xfId="0" applyNumberFormat="1" applyFont="1" applyFill="1" applyBorder="1"/>
    <xf numFmtId="167" fontId="37" fillId="62" borderId="11" xfId="0" applyNumberFormat="1" applyFont="1" applyFill="1" applyBorder="1" applyAlignment="1">
      <alignment vertical="top"/>
    </xf>
    <xf numFmtId="4" fontId="38" fillId="62" borderId="11" xfId="0" applyNumberFormat="1" applyFont="1" applyFill="1" applyBorder="1" applyAlignment="1">
      <alignment horizontal="right" vertical="top"/>
    </xf>
    <xf numFmtId="0" fontId="28" fillId="63" borderId="11" xfId="0" applyFont="1" applyFill="1" applyBorder="1" applyAlignment="1">
      <alignment horizontal="center" vertical="center"/>
    </xf>
    <xf numFmtId="167" fontId="35" fillId="62" borderId="11" xfId="0" applyNumberFormat="1" applyFont="1" applyFill="1" applyBorder="1" applyAlignment="1">
      <alignment horizontal="right" vertical="top"/>
    </xf>
    <xf numFmtId="0" fontId="52" fillId="64" borderId="13" xfId="0" applyFont="1" applyFill="1" applyBorder="1" applyAlignment="1">
      <alignment horizontal="center" vertical="center" wrapText="1"/>
    </xf>
    <xf numFmtId="173" fontId="9" fillId="64" borderId="28" xfId="0" applyNumberFormat="1" applyFont="1" applyFill="1" applyBorder="1" applyAlignment="1">
      <alignment horizontal="center" vertical="center" wrapText="1"/>
    </xf>
    <xf numFmtId="0" fontId="52" fillId="64" borderId="11" xfId="0" applyFont="1" applyFill="1" applyBorder="1" applyAlignment="1">
      <alignment horizontal="center" vertical="top" wrapText="1"/>
    </xf>
    <xf numFmtId="0" fontId="9" fillId="64" borderId="11" xfId="0" applyFont="1" applyFill="1" applyBorder="1" applyAlignment="1">
      <alignment horizontal="center" vertical="top" wrapText="1"/>
    </xf>
    <xf numFmtId="167" fontId="37" fillId="65" borderId="11" xfId="0" applyNumberFormat="1" applyFont="1" applyFill="1" applyBorder="1" applyAlignment="1">
      <alignment vertical="top"/>
    </xf>
    <xf numFmtId="167" fontId="31" fillId="65" borderId="11" xfId="0" applyNumberFormat="1" applyFont="1" applyFill="1" applyBorder="1" applyAlignment="1">
      <alignment vertical="top"/>
    </xf>
    <xf numFmtId="0" fontId="52" fillId="66" borderId="13" xfId="0" applyFont="1" applyFill="1" applyBorder="1" applyAlignment="1">
      <alignment horizontal="center" vertical="center" wrapText="1"/>
    </xf>
    <xf numFmtId="173" fontId="9" fillId="67" borderId="28" xfId="0" applyNumberFormat="1" applyFont="1" applyFill="1" applyBorder="1" applyAlignment="1">
      <alignment horizontal="center" vertical="center" wrapText="1"/>
    </xf>
    <xf numFmtId="0" fontId="9" fillId="66" borderId="11" xfId="0" applyFont="1" applyFill="1" applyBorder="1" applyAlignment="1">
      <alignment horizontal="center" vertical="top" wrapText="1"/>
    </xf>
    <xf numFmtId="167" fontId="37" fillId="68" borderId="11" xfId="0" applyNumberFormat="1" applyFont="1" applyFill="1" applyBorder="1" applyAlignment="1">
      <alignment vertical="top"/>
    </xf>
    <xf numFmtId="167" fontId="31" fillId="68" borderId="11" xfId="0" applyNumberFormat="1" applyFont="1" applyFill="1" applyBorder="1" applyAlignment="1">
      <alignment vertical="top"/>
    </xf>
    <xf numFmtId="0" fontId="61" fillId="0" borderId="0" xfId="0" applyFont="1" applyAlignment="1">
      <alignment horizontal="left" vertical="top"/>
    </xf>
    <xf numFmtId="0" fontId="56" fillId="0" borderId="11" xfId="0" applyFont="1" applyBorder="1" applyAlignment="1">
      <alignment horizontal="left" vertical="center" wrapText="1" indent="1"/>
    </xf>
    <xf numFmtId="0" fontId="56" fillId="0" borderId="11" xfId="0" applyFont="1" applyBorder="1" applyAlignment="1">
      <alignment horizontal="center" vertical="top"/>
    </xf>
    <xf numFmtId="0" fontId="56" fillId="0" borderId="11" xfId="0" applyFont="1" applyBorder="1" applyAlignment="1">
      <alignment horizontal="center" vertical="center"/>
    </xf>
    <xf numFmtId="167" fontId="62" fillId="0" borderId="11" xfId="0" applyNumberFormat="1" applyFont="1" applyBorder="1"/>
    <xf numFmtId="167" fontId="56" fillId="13" borderId="11" xfId="0" applyNumberFormat="1" applyFont="1" applyFill="1" applyBorder="1" applyAlignment="1">
      <alignment vertical="top"/>
    </xf>
    <xf numFmtId="167" fontId="62" fillId="61" borderId="11" xfId="0" applyNumberFormat="1" applyFont="1" applyFill="1" applyBorder="1" applyAlignment="1">
      <alignment vertical="top"/>
    </xf>
    <xf numFmtId="167" fontId="62" fillId="59" borderId="11" xfId="0" applyNumberFormat="1" applyFont="1" applyFill="1" applyBorder="1" applyAlignment="1">
      <alignment vertical="top"/>
    </xf>
    <xf numFmtId="167" fontId="62" fillId="0" borderId="11" xfId="0" applyNumberFormat="1" applyFont="1" applyBorder="1" applyAlignment="1">
      <alignment vertical="top"/>
    </xf>
    <xf numFmtId="167" fontId="56" fillId="0" borderId="11" xfId="0" applyNumberFormat="1" applyFont="1" applyBorder="1" applyAlignment="1">
      <alignment horizontal="right" vertical="top"/>
    </xf>
    <xf numFmtId="167" fontId="56" fillId="25" borderId="11" xfId="0" applyNumberFormat="1" applyFont="1" applyFill="1" applyBorder="1" applyAlignment="1">
      <alignment horizontal="right" vertical="top"/>
    </xf>
    <xf numFmtId="167" fontId="62" fillId="65" borderId="11" xfId="0" applyNumberFormat="1" applyFont="1" applyFill="1" applyBorder="1" applyAlignment="1">
      <alignment vertical="top"/>
    </xf>
    <xf numFmtId="167" fontId="62" fillId="68" borderId="11" xfId="0" applyNumberFormat="1" applyFont="1" applyFill="1" applyBorder="1" applyAlignment="1">
      <alignment vertical="top"/>
    </xf>
    <xf numFmtId="167" fontId="56" fillId="27" borderId="11" xfId="0" applyNumberFormat="1" applyFont="1" applyFill="1" applyBorder="1" applyAlignment="1">
      <alignment horizontal="right" vertical="top"/>
    </xf>
    <xf numFmtId="0" fontId="56" fillId="0" borderId="11" xfId="0" applyFont="1" applyBorder="1" applyAlignment="1">
      <alignment vertical="top"/>
    </xf>
    <xf numFmtId="0" fontId="62" fillId="28" borderId="11" xfId="0" applyFont="1" applyFill="1" applyBorder="1" applyAlignment="1">
      <alignment horizontal="center" vertical="center"/>
    </xf>
    <xf numFmtId="167" fontId="56" fillId="28" borderId="11" xfId="0" applyNumberFormat="1" applyFont="1" applyFill="1" applyBorder="1" applyAlignment="1">
      <alignment horizontal="right" vertical="top"/>
    </xf>
    <xf numFmtId="0" fontId="56" fillId="0" borderId="0" xfId="0" applyFont="1" applyAlignment="1">
      <alignment vertical="top"/>
    </xf>
    <xf numFmtId="0" fontId="56" fillId="0" borderId="0" xfId="0" applyFont="1"/>
    <xf numFmtId="0" fontId="63" fillId="0" borderId="0" xfId="0" applyFont="1"/>
    <xf numFmtId="0" fontId="64" fillId="22" borderId="11" xfId="0" applyFont="1" applyFill="1" applyBorder="1" applyAlignment="1">
      <alignment horizontal="left" vertical="top"/>
    </xf>
    <xf numFmtId="0" fontId="64" fillId="22" borderId="11" xfId="0" applyFont="1" applyFill="1" applyBorder="1" applyAlignment="1">
      <alignment vertical="top"/>
    </xf>
    <xf numFmtId="0" fontId="38" fillId="62" borderId="11" xfId="0" applyFont="1" applyFill="1" applyBorder="1" applyAlignment="1">
      <alignment vertical="top"/>
    </xf>
    <xf numFmtId="0" fontId="35" fillId="0" borderId="11" xfId="0" applyFont="1" applyBorder="1" applyAlignment="1">
      <alignment horizontal="left" vertical="top" wrapText="1" indent="1"/>
    </xf>
    <xf numFmtId="0" fontId="35" fillId="69" borderId="11" xfId="0" applyFont="1" applyFill="1" applyBorder="1" applyAlignment="1">
      <alignment horizontal="left" vertical="top"/>
    </xf>
    <xf numFmtId="0" fontId="35" fillId="69" borderId="11" xfId="0" applyFont="1" applyFill="1" applyBorder="1" applyAlignment="1">
      <alignment vertical="top"/>
    </xf>
    <xf numFmtId="0" fontId="37" fillId="69" borderId="11" xfId="0" applyFont="1" applyFill="1" applyBorder="1" applyAlignment="1">
      <alignment horizontal="center" vertical="top"/>
    </xf>
    <xf numFmtId="0" fontId="39" fillId="69" borderId="11" xfId="0" applyFont="1" applyFill="1" applyBorder="1"/>
    <xf numFmtId="0" fontId="37" fillId="69" borderId="11" xfId="0" applyFont="1" applyFill="1" applyBorder="1"/>
    <xf numFmtId="4" fontId="37" fillId="69" borderId="11" xfId="0" applyNumberFormat="1" applyFont="1" applyFill="1" applyBorder="1"/>
    <xf numFmtId="167" fontId="35" fillId="69" borderId="11" xfId="0" applyNumberFormat="1" applyFont="1" applyFill="1" applyBorder="1" applyAlignment="1">
      <alignment vertical="top"/>
    </xf>
    <xf numFmtId="167" fontId="37" fillId="69" borderId="11" xfId="0" applyNumberFormat="1" applyFont="1" applyFill="1" applyBorder="1" applyAlignment="1">
      <alignment vertical="top"/>
    </xf>
    <xf numFmtId="4" fontId="37" fillId="69" borderId="11" xfId="0" applyNumberFormat="1" applyFont="1" applyFill="1" applyBorder="1" applyAlignment="1">
      <alignment vertical="top"/>
    </xf>
    <xf numFmtId="0" fontId="37" fillId="69" borderId="11" xfId="0" applyFont="1" applyFill="1" applyBorder="1" applyAlignment="1">
      <alignment vertical="top"/>
    </xf>
    <xf numFmtId="167" fontId="35" fillId="69" borderId="11" xfId="0" applyNumberFormat="1" applyFont="1" applyFill="1" applyBorder="1" applyAlignment="1">
      <alignment horizontal="right" vertical="top"/>
    </xf>
    <xf numFmtId="0" fontId="37" fillId="69" borderId="11" xfId="0" applyFont="1" applyFill="1" applyBorder="1" applyAlignment="1">
      <alignment horizontal="left" vertical="top"/>
    </xf>
    <xf numFmtId="167" fontId="37" fillId="69" borderId="11" xfId="0" applyNumberFormat="1" applyFont="1" applyFill="1" applyBorder="1" applyAlignment="1">
      <alignment horizontal="right" vertical="top"/>
    </xf>
    <xf numFmtId="0" fontId="38" fillId="69" borderId="11" xfId="0" applyFont="1" applyFill="1" applyBorder="1"/>
    <xf numFmtId="0" fontId="46" fillId="69" borderId="11" xfId="0" applyFont="1" applyFill="1" applyBorder="1" applyAlignment="1">
      <alignment horizontal="left" vertical="top"/>
    </xf>
    <xf numFmtId="167" fontId="38" fillId="62" borderId="11" xfId="0" applyNumberFormat="1" applyFont="1" applyFill="1" applyBorder="1" applyAlignment="1">
      <alignment horizontal="right" vertical="top"/>
    </xf>
    <xf numFmtId="4" fontId="37" fillId="62" borderId="11" xfId="0" applyNumberFormat="1" applyFont="1" applyFill="1" applyBorder="1" applyAlignment="1">
      <alignment vertical="top"/>
    </xf>
    <xf numFmtId="0" fontId="38" fillId="69" borderId="11" xfId="0" applyFont="1" applyFill="1" applyBorder="1" applyAlignment="1">
      <alignment horizontal="left" vertical="top"/>
    </xf>
    <xf numFmtId="0" fontId="37" fillId="46" borderId="11" xfId="0" applyFont="1" applyFill="1" applyBorder="1" applyAlignment="1">
      <alignment horizontal="left" vertical="top"/>
    </xf>
    <xf numFmtId="0" fontId="37" fillId="46" borderId="11" xfId="0" applyFont="1" applyFill="1" applyBorder="1" applyAlignment="1">
      <alignment vertical="top"/>
    </xf>
    <xf numFmtId="0" fontId="35" fillId="46" borderId="11" xfId="0" applyFont="1" applyFill="1" applyBorder="1" applyAlignment="1">
      <alignment horizontal="left" vertical="top"/>
    </xf>
    <xf numFmtId="0" fontId="38" fillId="46" borderId="11" xfId="0" applyFont="1" applyFill="1" applyBorder="1" applyAlignment="1">
      <alignment horizontal="left" vertical="top"/>
    </xf>
    <xf numFmtId="4" fontId="37" fillId="70" borderId="11" xfId="0" applyNumberFormat="1" applyFont="1" applyFill="1" applyBorder="1" applyAlignment="1">
      <alignment vertical="top"/>
    </xf>
    <xf numFmtId="167" fontId="37" fillId="70" borderId="11" xfId="0" applyNumberFormat="1" applyFont="1" applyFill="1" applyBorder="1" applyAlignment="1">
      <alignment horizontal="right" vertical="top"/>
    </xf>
    <xf numFmtId="4" fontId="37" fillId="44" borderId="11" xfId="0" applyNumberFormat="1" applyFont="1" applyFill="1" applyBorder="1" applyAlignment="1">
      <alignment vertical="top"/>
    </xf>
    <xf numFmtId="167" fontId="37" fillId="44" borderId="11" xfId="0" applyNumberFormat="1" applyFont="1" applyFill="1" applyBorder="1" applyAlignment="1">
      <alignment horizontal="right" vertical="top"/>
    </xf>
    <xf numFmtId="167" fontId="37" fillId="32" borderId="11" xfId="0" applyNumberFormat="1" applyFont="1" applyFill="1" applyBorder="1" applyAlignment="1">
      <alignment vertical="top"/>
    </xf>
    <xf numFmtId="0" fontId="45" fillId="46" borderId="11" xfId="0" applyFont="1" applyFill="1" applyBorder="1" applyAlignment="1">
      <alignment horizontal="left" vertical="top"/>
    </xf>
    <xf numFmtId="166" fontId="53" fillId="41" borderId="11" xfId="0" applyNumberFormat="1" applyFont="1" applyFill="1" applyBorder="1" applyAlignment="1">
      <alignment vertical="top"/>
    </xf>
    <xf numFmtId="4" fontId="53" fillId="41" borderId="11" xfId="0" applyNumberFormat="1" applyFont="1" applyFill="1" applyBorder="1" applyAlignment="1">
      <alignment vertical="top"/>
    </xf>
    <xf numFmtId="4" fontId="35" fillId="41" borderId="11" xfId="0" applyNumberFormat="1" applyFont="1" applyFill="1" applyBorder="1" applyAlignment="1">
      <alignment vertical="top"/>
    </xf>
    <xf numFmtId="4" fontId="37" fillId="70" borderId="11" xfId="0" applyNumberFormat="1" applyFont="1" applyFill="1" applyBorder="1" applyAlignment="1">
      <alignment horizontal="right" vertical="top"/>
    </xf>
  </cellXfs>
  <cellStyles count="18">
    <cellStyle name="Comma" xfId="14" builtinId="3"/>
    <cellStyle name="Comma 158" xfId="1" xr:uid="{00000000-0005-0000-0000-000006000000}"/>
    <cellStyle name="Comma 2" xfId="2" xr:uid="{00000000-0005-0000-0000-000007000000}"/>
    <cellStyle name="Comma 3" xfId="3" xr:uid="{00000000-0005-0000-0000-000008000000}"/>
    <cellStyle name="Comma 4" xfId="4" xr:uid="{00000000-0005-0000-0000-000009000000}"/>
    <cellStyle name="Currency 53 3" xfId="17" xr:uid="{AC795551-F90E-420A-A62F-C945B205790B}"/>
    <cellStyle name="Normal" xfId="0" builtinId="0"/>
    <cellStyle name="Normal 122 3 5 3 2 2 2" xfId="5" xr:uid="{00000000-0005-0000-0000-00000A000000}"/>
    <cellStyle name="Normal 122 3 5 5 2 2" xfId="6" xr:uid="{00000000-0005-0000-0000-00000B000000}"/>
    <cellStyle name="Normal 122 3 5 7" xfId="7" xr:uid="{00000000-0005-0000-0000-00000C000000}"/>
    <cellStyle name="Normal 2" xfId="8" xr:uid="{00000000-0005-0000-0000-00000D000000}"/>
    <cellStyle name="Normal 2 10 4 3 5 2 2" xfId="9" xr:uid="{00000000-0005-0000-0000-00000E000000}"/>
    <cellStyle name="Normal 2_Master BQ - Centennia Suites 2 2" xfId="11" xr:uid="{00000000-0005-0000-0000-000010000000}"/>
    <cellStyle name="Normal 267" xfId="10" xr:uid="{00000000-0005-0000-0000-00000F000000}"/>
    <cellStyle name="Normal 3" xfId="12" xr:uid="{00000000-0005-0000-0000-000011000000}"/>
    <cellStyle name="Normal 54 3" xfId="16" xr:uid="{06D9B29E-9E90-49E1-B620-1C750B082095}"/>
    <cellStyle name="Percent" xfId="15" builtinId="5"/>
    <cellStyle name="Percent 2" xfId="13" xr:uid="{00000000-0005-0000-0000-000012000000}"/>
  </cellStyles>
  <dxfs count="18">
    <dxf>
      <font>
        <color rgb="FF000000"/>
      </font>
      <fill>
        <patternFill>
          <bgColor rgb="FFCCFFFF"/>
        </patternFill>
      </fill>
    </dxf>
    <dxf>
      <fill>
        <patternFill>
          <bgColor rgb="FFCCFF99"/>
        </patternFill>
      </fill>
    </dxf>
    <dxf>
      <fill>
        <patternFill>
          <bgColor rgb="FFFFFFCC"/>
        </patternFill>
      </fill>
    </dxf>
    <dxf>
      <font>
        <color rgb="FF000000"/>
      </font>
      <fill>
        <patternFill>
          <bgColor rgb="FFCCFFFF"/>
        </patternFill>
      </fill>
    </dxf>
    <dxf>
      <fill>
        <patternFill>
          <bgColor rgb="FFCCFF99"/>
        </patternFill>
      </fill>
    </dxf>
    <dxf>
      <fill>
        <patternFill>
          <bgColor rgb="FFFFFFCC"/>
        </patternFill>
      </fill>
    </dxf>
    <dxf>
      <font>
        <color rgb="FF000000"/>
      </font>
      <fill>
        <patternFill>
          <bgColor rgb="FFCCFFFF"/>
        </patternFill>
      </fill>
    </dxf>
    <dxf>
      <fill>
        <patternFill>
          <bgColor rgb="FFCCFF99"/>
        </patternFill>
      </fill>
    </dxf>
    <dxf>
      <fill>
        <patternFill>
          <bgColor rgb="FFFFFFCC"/>
        </patternFill>
      </fill>
    </dxf>
    <dxf>
      <font>
        <color rgb="FF000000"/>
      </font>
      <fill>
        <patternFill>
          <bgColor rgb="FFCCFFFF"/>
        </patternFill>
      </fill>
    </dxf>
    <dxf>
      <fill>
        <patternFill>
          <bgColor rgb="FFCCFF99"/>
        </patternFill>
      </fill>
    </dxf>
    <dxf>
      <fill>
        <patternFill>
          <bgColor rgb="FFFFFFCC"/>
        </patternFill>
      </fill>
    </dxf>
    <dxf>
      <font>
        <color rgb="FF000000"/>
      </font>
      <fill>
        <patternFill>
          <bgColor rgb="FFCCFFFF"/>
        </patternFill>
      </fill>
    </dxf>
    <dxf>
      <fill>
        <patternFill>
          <bgColor rgb="FFCCFF99"/>
        </patternFill>
      </fill>
    </dxf>
    <dxf>
      <fill>
        <patternFill>
          <bgColor rgb="FFFFFFCC"/>
        </patternFill>
      </fill>
    </dxf>
    <dxf>
      <font>
        <color rgb="FF000000"/>
      </font>
      <fill>
        <patternFill>
          <bgColor rgb="FFCCFFFF"/>
        </patternFill>
      </fill>
    </dxf>
    <dxf>
      <fill>
        <patternFill>
          <bgColor rgb="FFCCFF99"/>
        </patternFill>
      </fill>
    </dxf>
    <dxf>
      <fill>
        <patternFill>
          <bgColor rgb="FFFFFF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E2EFDA"/>
      <rgbColor rgb="FF800000"/>
      <rgbColor rgb="FF008000"/>
      <rgbColor rgb="FF00008B"/>
      <rgbColor rgb="FF548235"/>
      <rgbColor rgb="FF800080"/>
      <rgbColor rgb="FF1F4E79"/>
      <rgbColor rgb="FFB0B0B0"/>
      <rgbColor rgb="FF7F7F7F"/>
      <rgbColor rgb="FFD9E1F2"/>
      <rgbColor rgb="FF7030A0"/>
      <rgbColor rgb="FFFFFFCC"/>
      <rgbColor rgb="FFCCFFFF"/>
      <rgbColor rgb="FF660066"/>
      <rgbColor rgb="FFD6E4F0"/>
      <rgbColor rgb="FF2E5799"/>
      <rgbColor rgb="FFCCCCFF"/>
      <rgbColor rgb="FF000080"/>
      <rgbColor rgb="FFFF00FF"/>
      <rgbColor rgb="FFFFD966"/>
      <rgbColor rgb="FFF2F7FC"/>
      <rgbColor rgb="FF800080"/>
      <rgbColor rgb="FF800000"/>
      <rgbColor rgb="FF2F5496"/>
      <rgbColor rgb="FF0000FF"/>
      <rgbColor rgb="FF00CCFF"/>
      <rgbColor rgb="FFEAF4FB"/>
      <rgbColor rgb="FFCCFF99"/>
      <rgbColor rgb="FFFFE699"/>
      <rgbColor rgb="FFBDD7EE"/>
      <rgbColor rgb="FFFFCCFF"/>
      <rgbColor rgb="FFCC99FF"/>
      <rgbColor rgb="FFFFCCCC"/>
      <rgbColor rgb="FF2E75B6"/>
      <rgbColor rgb="FFCCEBB5"/>
      <rgbColor rgb="FF92D050"/>
      <rgbColor rgb="FFFFC000"/>
      <rgbColor rgb="FFFFF2CC"/>
      <rgbColor rgb="FFFF6600"/>
      <rgbColor rgb="FF555555"/>
      <rgbColor rgb="FFAAAAAA"/>
      <rgbColor rgb="FF1F3864"/>
      <rgbColor rgb="FFDEEAF1"/>
      <rgbColor rgb="FF0064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mruColors>
      <color rgb="FFFFCCFF"/>
      <color rgb="FFCCCCFF"/>
      <color rgb="FFCC99FF"/>
      <color rgb="FFFFFFCC"/>
      <color rgb="FFFF99CC"/>
      <color rgb="FF99FF99"/>
      <color rgb="FFCCFFCC"/>
      <color rgb="FFFF9999"/>
      <color rgb="FFFFECD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6DAD8F-A035-4A6B-B916-FB716C0A768A}">
  <we:reference id="WA200009404" version="1.0.0.8" store="Omex" storeType="OMEX"/>
  <we:alternateReferences>
    <we:reference id="WA200009404" version="1.0.0.8" store="WA200009404" storeType="OMEX"/>
  </we:alternateReferences>
  <we:properties>
    <we:property name="claude.fileId" value="&quot;749c350a-ebf1-4299-b621-7aa887272ac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5"/>
  <sheetViews>
    <sheetView workbookViewId="0">
      <selection sqref="A1:G1"/>
    </sheetView>
  </sheetViews>
  <sheetFormatPr defaultColWidth="8.7109375" defaultRowHeight="15" x14ac:dyDescent="0.25"/>
  <cols>
    <col min="1" max="1" width="10" customWidth="1"/>
    <col min="2" max="2" width="50" customWidth="1"/>
    <col min="3" max="3" width="17.28515625" customWidth="1"/>
    <col min="4" max="4" width="8" customWidth="1"/>
    <col min="5" max="5" width="14" customWidth="1"/>
    <col min="6" max="6" width="16" customWidth="1"/>
    <col min="7" max="7" width="14" customWidth="1"/>
  </cols>
  <sheetData>
    <row r="1" spans="1:7" ht="25.5" customHeight="1" x14ac:dyDescent="0.25">
      <c r="A1" s="414" t="s">
        <v>0</v>
      </c>
      <c r="B1" s="414"/>
      <c r="C1" s="414"/>
      <c r="D1" s="414"/>
      <c r="E1" s="414"/>
      <c r="F1" s="414"/>
      <c r="G1" s="414"/>
    </row>
    <row r="2" spans="1:7" ht="15" customHeight="1" x14ac:dyDescent="0.25">
      <c r="A2" s="415" t="s">
        <v>1</v>
      </c>
      <c r="B2" s="415"/>
      <c r="C2" s="415"/>
      <c r="D2" s="415"/>
      <c r="E2" s="415"/>
      <c r="F2" s="415"/>
      <c r="G2" s="415"/>
    </row>
    <row r="4" spans="1:7" ht="21.75" customHeight="1" x14ac:dyDescent="0.25">
      <c r="A4" s="416" t="s">
        <v>2</v>
      </c>
      <c r="B4" s="416"/>
      <c r="C4" s="416"/>
      <c r="D4" s="416"/>
      <c r="E4" s="416"/>
      <c r="F4" s="416"/>
      <c r="G4" s="416"/>
    </row>
    <row r="5" spans="1:7" ht="30" customHeight="1" x14ac:dyDescent="0.25">
      <c r="A5" s="54" t="s">
        <v>3</v>
      </c>
      <c r="B5" s="54" t="s">
        <v>4</v>
      </c>
      <c r="C5" s="54" t="s">
        <v>5</v>
      </c>
      <c r="D5" s="54" t="s">
        <v>6</v>
      </c>
      <c r="E5" s="54" t="s">
        <v>7</v>
      </c>
      <c r="F5" s="54" t="s">
        <v>8</v>
      </c>
      <c r="G5" s="54" t="s">
        <v>9</v>
      </c>
    </row>
    <row r="6" spans="1:7" ht="15" customHeight="1" x14ac:dyDescent="0.25">
      <c r="A6" s="55" t="s">
        <v>10</v>
      </c>
      <c r="B6" s="56" t="s">
        <v>11</v>
      </c>
      <c r="C6" s="57"/>
      <c r="D6" s="57"/>
      <c r="E6" s="57"/>
      <c r="F6" s="57"/>
      <c r="G6" s="57"/>
    </row>
    <row r="7" spans="1:7" ht="21.75" customHeight="1" x14ac:dyDescent="0.25">
      <c r="A7" s="58"/>
      <c r="B7" s="59" t="s">
        <v>12</v>
      </c>
      <c r="C7" s="60">
        <v>11856</v>
      </c>
      <c r="D7" s="61" t="s">
        <v>13</v>
      </c>
      <c r="E7" s="60">
        <v>30</v>
      </c>
      <c r="F7" s="60">
        <f>C7*E7</f>
        <v>355680</v>
      </c>
      <c r="G7" s="59" t="s">
        <v>14</v>
      </c>
    </row>
    <row r="8" spans="1:7" ht="21.75" customHeight="1" x14ac:dyDescent="0.25">
      <c r="A8" s="58"/>
      <c r="B8" s="59" t="s">
        <v>15</v>
      </c>
      <c r="C8" s="60">
        <v>11856</v>
      </c>
      <c r="D8" s="61" t="s">
        <v>13</v>
      </c>
      <c r="E8" s="60">
        <v>22.5</v>
      </c>
      <c r="F8" s="60">
        <f>C8*E8</f>
        <v>266760</v>
      </c>
      <c r="G8" s="59" t="s">
        <v>16</v>
      </c>
    </row>
    <row r="9" spans="1:7" ht="21.75" customHeight="1" x14ac:dyDescent="0.25">
      <c r="A9" s="58"/>
      <c r="B9" s="59" t="s">
        <v>17</v>
      </c>
      <c r="C9" s="60">
        <v>14227</v>
      </c>
      <c r="D9" s="61" t="s">
        <v>18</v>
      </c>
      <c r="E9" s="60">
        <v>28</v>
      </c>
      <c r="F9" s="60">
        <f>C9*E9</f>
        <v>398356</v>
      </c>
      <c r="G9" s="59" t="s">
        <v>19</v>
      </c>
    </row>
    <row r="10" spans="1:7" ht="21.75" customHeight="1" x14ac:dyDescent="0.25">
      <c r="A10" s="58"/>
      <c r="B10" s="59" t="s">
        <v>20</v>
      </c>
      <c r="C10" s="60">
        <v>4742</v>
      </c>
      <c r="D10" s="61" t="s">
        <v>18</v>
      </c>
      <c r="E10" s="60">
        <v>35</v>
      </c>
      <c r="F10" s="60">
        <f>C10*E10</f>
        <v>165970</v>
      </c>
      <c r="G10" s="59" t="s">
        <v>21</v>
      </c>
    </row>
    <row r="11" spans="1:7" ht="21.75" customHeight="1" x14ac:dyDescent="0.25">
      <c r="A11" s="58"/>
      <c r="B11" s="59" t="s">
        <v>22</v>
      </c>
      <c r="C11" s="60">
        <v>9485</v>
      </c>
      <c r="D11" s="61" t="s">
        <v>18</v>
      </c>
      <c r="E11" s="60">
        <v>45</v>
      </c>
      <c r="F11" s="60">
        <f>C11*E11</f>
        <v>426825</v>
      </c>
      <c r="G11" s="59" t="s">
        <v>23</v>
      </c>
    </row>
    <row r="12" spans="1:7" ht="15" customHeight="1" x14ac:dyDescent="0.25">
      <c r="A12" s="62"/>
      <c r="B12" s="63" t="s">
        <v>24</v>
      </c>
      <c r="C12" s="62"/>
      <c r="D12" s="62"/>
      <c r="E12" s="62"/>
      <c r="F12" s="64">
        <f>SUM(F6:F11)</f>
        <v>1613591</v>
      </c>
      <c r="G12" s="62"/>
    </row>
    <row r="13" spans="1:7" ht="15" customHeight="1" x14ac:dyDescent="0.25">
      <c r="A13" s="55" t="s">
        <v>25</v>
      </c>
      <c r="B13" s="56" t="s">
        <v>26</v>
      </c>
      <c r="C13" s="57"/>
      <c r="D13" s="57"/>
      <c r="E13" s="57"/>
      <c r="F13" s="57"/>
      <c r="G13" s="57"/>
    </row>
    <row r="14" spans="1:7" ht="21.75" customHeight="1" x14ac:dyDescent="0.25">
      <c r="A14" s="58"/>
      <c r="B14" s="59" t="s">
        <v>27</v>
      </c>
      <c r="C14" s="60">
        <v>593</v>
      </c>
      <c r="D14" s="61" t="s">
        <v>18</v>
      </c>
      <c r="E14" s="60">
        <v>280</v>
      </c>
      <c r="F14" s="60">
        <f t="shared" ref="F14:F19" si="0">C14*E14</f>
        <v>166040</v>
      </c>
      <c r="G14" s="59" t="s">
        <v>28</v>
      </c>
    </row>
    <row r="15" spans="1:7" ht="21.75" customHeight="1" x14ac:dyDescent="0.25">
      <c r="A15" s="58"/>
      <c r="B15" s="59" t="s">
        <v>29</v>
      </c>
      <c r="C15" s="60">
        <v>1778</v>
      </c>
      <c r="D15" s="61" t="s">
        <v>18</v>
      </c>
      <c r="E15" s="60">
        <v>90</v>
      </c>
      <c r="F15" s="60">
        <f t="shared" si="0"/>
        <v>160020</v>
      </c>
      <c r="G15" s="59" t="s">
        <v>30</v>
      </c>
    </row>
    <row r="16" spans="1:7" ht="21.75" customHeight="1" x14ac:dyDescent="0.25">
      <c r="A16" s="58"/>
      <c r="B16" s="59" t="s">
        <v>31</v>
      </c>
      <c r="C16" s="60">
        <v>7114</v>
      </c>
      <c r="D16" s="61" t="s">
        <v>18</v>
      </c>
      <c r="E16" s="60">
        <v>380</v>
      </c>
      <c r="F16" s="60">
        <f t="shared" si="0"/>
        <v>2703320</v>
      </c>
      <c r="G16" s="59" t="s">
        <v>32</v>
      </c>
    </row>
    <row r="17" spans="1:7" ht="21.75" customHeight="1" x14ac:dyDescent="0.25">
      <c r="A17" s="58"/>
      <c r="B17" s="59" t="s">
        <v>33</v>
      </c>
      <c r="C17" s="60">
        <v>4800</v>
      </c>
      <c r="D17" s="61" t="s">
        <v>13</v>
      </c>
      <c r="E17" s="60">
        <v>65</v>
      </c>
      <c r="F17" s="60">
        <f t="shared" si="0"/>
        <v>312000</v>
      </c>
      <c r="G17" s="59" t="s">
        <v>34</v>
      </c>
    </row>
    <row r="18" spans="1:7" ht="21.75" customHeight="1" x14ac:dyDescent="0.25">
      <c r="A18" s="58"/>
      <c r="B18" s="59" t="s">
        <v>35</v>
      </c>
      <c r="C18" s="60">
        <v>854</v>
      </c>
      <c r="D18" s="61" t="s">
        <v>36</v>
      </c>
      <c r="E18" s="60">
        <v>1750</v>
      </c>
      <c r="F18" s="60">
        <f t="shared" si="0"/>
        <v>1494500</v>
      </c>
      <c r="G18" s="59" t="s">
        <v>37</v>
      </c>
    </row>
    <row r="19" spans="1:7" ht="15" customHeight="1" x14ac:dyDescent="0.25">
      <c r="A19" s="58"/>
      <c r="B19" s="59" t="s">
        <v>38</v>
      </c>
      <c r="C19" s="60">
        <v>16</v>
      </c>
      <c r="D19" s="61" t="s">
        <v>39</v>
      </c>
      <c r="E19" s="60">
        <v>1800</v>
      </c>
      <c r="F19" s="60">
        <f t="shared" si="0"/>
        <v>28800</v>
      </c>
      <c r="G19" s="59" t="s">
        <v>40</v>
      </c>
    </row>
    <row r="20" spans="1:7" ht="15" customHeight="1" x14ac:dyDescent="0.25">
      <c r="A20" s="62"/>
      <c r="B20" s="63" t="s">
        <v>41</v>
      </c>
      <c r="C20" s="62"/>
      <c r="D20" s="62"/>
      <c r="E20" s="62"/>
      <c r="F20" s="64">
        <f>SUM(F13:F19)</f>
        <v>4864680</v>
      </c>
      <c r="G20" s="62"/>
    </row>
    <row r="21" spans="1:7" ht="15" customHeight="1" x14ac:dyDescent="0.25">
      <c r="A21" s="55" t="s">
        <v>42</v>
      </c>
      <c r="B21" s="56" t="s">
        <v>43</v>
      </c>
      <c r="C21" s="57"/>
      <c r="D21" s="57"/>
      <c r="E21" s="57"/>
      <c r="F21" s="57"/>
      <c r="G21" s="57"/>
    </row>
    <row r="22" spans="1:7" ht="21.75" customHeight="1" x14ac:dyDescent="0.25">
      <c r="A22" s="58"/>
      <c r="B22" s="59" t="s">
        <v>44</v>
      </c>
      <c r="C22" s="60">
        <v>1422</v>
      </c>
      <c r="D22" s="61" t="s">
        <v>18</v>
      </c>
      <c r="E22" s="60">
        <v>580</v>
      </c>
      <c r="F22" s="60">
        <f t="shared" ref="F22:F27" si="1">C22*E22</f>
        <v>824760</v>
      </c>
      <c r="G22" s="59" t="s">
        <v>45</v>
      </c>
    </row>
    <row r="23" spans="1:7" ht="21.75" customHeight="1" x14ac:dyDescent="0.25">
      <c r="A23" s="58"/>
      <c r="B23" s="59" t="s">
        <v>46</v>
      </c>
      <c r="C23" s="60">
        <v>9484</v>
      </c>
      <c r="D23" s="61" t="s">
        <v>13</v>
      </c>
      <c r="E23" s="60">
        <v>70</v>
      </c>
      <c r="F23" s="60">
        <f t="shared" si="1"/>
        <v>663880</v>
      </c>
      <c r="G23" s="59" t="s">
        <v>47</v>
      </c>
    </row>
    <row r="24" spans="1:7" ht="15" customHeight="1" x14ac:dyDescent="0.25">
      <c r="A24" s="58"/>
      <c r="B24" s="59" t="s">
        <v>48</v>
      </c>
      <c r="C24" s="60">
        <v>256</v>
      </c>
      <c r="D24" s="61" t="s">
        <v>36</v>
      </c>
      <c r="E24" s="60">
        <v>1900</v>
      </c>
      <c r="F24" s="60">
        <f t="shared" si="1"/>
        <v>486400</v>
      </c>
      <c r="G24" s="59" t="s">
        <v>49</v>
      </c>
    </row>
    <row r="25" spans="1:7" ht="21.75" customHeight="1" x14ac:dyDescent="0.25">
      <c r="A25" s="58"/>
      <c r="B25" s="59" t="s">
        <v>50</v>
      </c>
      <c r="C25" s="60">
        <v>1896</v>
      </c>
      <c r="D25" s="61" t="s">
        <v>18</v>
      </c>
      <c r="E25" s="60">
        <v>620</v>
      </c>
      <c r="F25" s="60">
        <f t="shared" si="1"/>
        <v>1175520</v>
      </c>
      <c r="G25" s="59" t="s">
        <v>51</v>
      </c>
    </row>
    <row r="26" spans="1:7" ht="15" customHeight="1" x14ac:dyDescent="0.25">
      <c r="A26" s="58"/>
      <c r="B26" s="59" t="s">
        <v>52</v>
      </c>
      <c r="C26" s="60">
        <v>12640</v>
      </c>
      <c r="D26" s="61" t="s">
        <v>13</v>
      </c>
      <c r="E26" s="60">
        <v>80</v>
      </c>
      <c r="F26" s="60">
        <f t="shared" si="1"/>
        <v>1011200</v>
      </c>
      <c r="G26" s="59" t="s">
        <v>53</v>
      </c>
    </row>
    <row r="27" spans="1:7" ht="15" customHeight="1" x14ac:dyDescent="0.25">
      <c r="A27" s="58"/>
      <c r="B27" s="59" t="s">
        <v>54</v>
      </c>
      <c r="C27" s="60">
        <v>380</v>
      </c>
      <c r="D27" s="61" t="s">
        <v>36</v>
      </c>
      <c r="E27" s="60">
        <v>1850</v>
      </c>
      <c r="F27" s="60">
        <f t="shared" si="1"/>
        <v>703000</v>
      </c>
      <c r="G27" s="59" t="s">
        <v>55</v>
      </c>
    </row>
    <row r="28" spans="1:7" ht="15" customHeight="1" x14ac:dyDescent="0.25">
      <c r="A28" s="62"/>
      <c r="B28" s="63" t="s">
        <v>56</v>
      </c>
      <c r="C28" s="62"/>
      <c r="D28" s="62"/>
      <c r="E28" s="62"/>
      <c r="F28" s="64">
        <f>SUM(F21:F27)</f>
        <v>4864760</v>
      </c>
      <c r="G28" s="62"/>
    </row>
    <row r="29" spans="1:7" ht="15" customHeight="1" x14ac:dyDescent="0.25">
      <c r="A29" s="55" t="s">
        <v>57</v>
      </c>
      <c r="B29" s="56" t="s">
        <v>58</v>
      </c>
      <c r="C29" s="57"/>
      <c r="D29" s="57"/>
      <c r="E29" s="57"/>
      <c r="F29" s="57"/>
      <c r="G29" s="57"/>
    </row>
    <row r="30" spans="1:7" ht="32.25" customHeight="1" x14ac:dyDescent="0.25">
      <c r="A30" s="58"/>
      <c r="B30" s="59" t="s">
        <v>59</v>
      </c>
      <c r="C30" s="60">
        <v>6224</v>
      </c>
      <c r="D30" s="61" t="s">
        <v>18</v>
      </c>
      <c r="E30" s="60">
        <v>410</v>
      </c>
      <c r="F30" s="60">
        <f>C30*E30</f>
        <v>2551840</v>
      </c>
      <c r="G30" s="59" t="s">
        <v>60</v>
      </c>
    </row>
    <row r="31" spans="1:7" ht="21.75" customHeight="1" x14ac:dyDescent="0.25">
      <c r="A31" s="58"/>
      <c r="B31" s="59" t="s">
        <v>61</v>
      </c>
      <c r="C31" s="60">
        <v>35568</v>
      </c>
      <c r="D31" s="61" t="s">
        <v>13</v>
      </c>
      <c r="E31" s="60">
        <v>55</v>
      </c>
      <c r="F31" s="60">
        <f>C31*E31</f>
        <v>1956240</v>
      </c>
      <c r="G31" s="59" t="s">
        <v>62</v>
      </c>
    </row>
    <row r="32" spans="1:7" ht="15" customHeight="1" x14ac:dyDescent="0.25">
      <c r="A32" s="58"/>
      <c r="B32" s="59" t="s">
        <v>63</v>
      </c>
      <c r="C32" s="60">
        <v>747</v>
      </c>
      <c r="D32" s="61" t="s">
        <v>36</v>
      </c>
      <c r="E32" s="60">
        <v>1800</v>
      </c>
      <c r="F32" s="60">
        <f>C32*E32</f>
        <v>1344600</v>
      </c>
      <c r="G32" s="59" t="s">
        <v>64</v>
      </c>
    </row>
    <row r="33" spans="1:7" ht="21.75" customHeight="1" x14ac:dyDescent="0.25">
      <c r="A33" s="58"/>
      <c r="B33" s="59" t="s">
        <v>65</v>
      </c>
      <c r="C33" s="60">
        <v>960</v>
      </c>
      <c r="D33" s="61" t="s">
        <v>66</v>
      </c>
      <c r="E33" s="60">
        <v>175</v>
      </c>
      <c r="F33" s="60">
        <f>C33*E33</f>
        <v>168000</v>
      </c>
      <c r="G33" s="59" t="s">
        <v>67</v>
      </c>
    </row>
    <row r="34" spans="1:7" ht="21.75" customHeight="1" x14ac:dyDescent="0.25">
      <c r="A34" s="58"/>
      <c r="B34" s="59" t="s">
        <v>68</v>
      </c>
      <c r="C34" s="60">
        <v>384</v>
      </c>
      <c r="D34" s="61" t="s">
        <v>39</v>
      </c>
      <c r="E34" s="60">
        <v>220</v>
      </c>
      <c r="F34" s="60">
        <f>C34*E34</f>
        <v>84480</v>
      </c>
      <c r="G34" s="59" t="s">
        <v>69</v>
      </c>
    </row>
    <row r="35" spans="1:7" ht="15" customHeight="1" x14ac:dyDescent="0.25">
      <c r="A35" s="62"/>
      <c r="B35" s="63" t="s">
        <v>70</v>
      </c>
      <c r="C35" s="62"/>
      <c r="D35" s="62"/>
      <c r="E35" s="62"/>
      <c r="F35" s="64">
        <f>SUM(F29:F34)</f>
        <v>6105160</v>
      </c>
      <c r="G35" s="62"/>
    </row>
    <row r="36" spans="1:7" ht="15" customHeight="1" x14ac:dyDescent="0.25">
      <c r="A36" s="55" t="s">
        <v>71</v>
      </c>
      <c r="B36" s="56" t="s">
        <v>72</v>
      </c>
      <c r="C36" s="57"/>
      <c r="D36" s="57"/>
      <c r="E36" s="57"/>
      <c r="F36" s="57"/>
      <c r="G36" s="57"/>
    </row>
    <row r="37" spans="1:7" ht="15" customHeight="1" x14ac:dyDescent="0.25">
      <c r="A37" s="58"/>
      <c r="B37" s="59" t="s">
        <v>73</v>
      </c>
      <c r="C37" s="60">
        <v>11856</v>
      </c>
      <c r="D37" s="61" t="s">
        <v>13</v>
      </c>
      <c r="E37" s="60">
        <v>95</v>
      </c>
      <c r="F37" s="60">
        <f t="shared" ref="F37:F42" si="2">C37*E37</f>
        <v>1126320</v>
      </c>
      <c r="G37" s="59" t="s">
        <v>74</v>
      </c>
    </row>
    <row r="38" spans="1:7" ht="21.75" customHeight="1" x14ac:dyDescent="0.25">
      <c r="A38" s="58"/>
      <c r="B38" s="59" t="s">
        <v>75</v>
      </c>
      <c r="C38" s="60">
        <v>2400</v>
      </c>
      <c r="D38" s="61" t="s">
        <v>13</v>
      </c>
      <c r="E38" s="60">
        <v>165</v>
      </c>
      <c r="F38" s="60">
        <f t="shared" si="2"/>
        <v>396000</v>
      </c>
      <c r="G38" s="59" t="s">
        <v>76</v>
      </c>
    </row>
    <row r="39" spans="1:7" ht="21.75" customHeight="1" x14ac:dyDescent="0.25">
      <c r="A39" s="58"/>
      <c r="B39" s="59" t="s">
        <v>77</v>
      </c>
      <c r="C39" s="60">
        <v>11856</v>
      </c>
      <c r="D39" s="61" t="s">
        <v>13</v>
      </c>
      <c r="E39" s="60">
        <v>75</v>
      </c>
      <c r="F39" s="60">
        <f t="shared" si="2"/>
        <v>889200</v>
      </c>
      <c r="G39" s="59" t="s">
        <v>78</v>
      </c>
    </row>
    <row r="40" spans="1:7" ht="21.75" customHeight="1" x14ac:dyDescent="0.25">
      <c r="A40" s="58"/>
      <c r="B40" s="59" t="s">
        <v>79</v>
      </c>
      <c r="C40" s="60">
        <v>2400</v>
      </c>
      <c r="D40" s="61" t="s">
        <v>66</v>
      </c>
      <c r="E40" s="60">
        <v>60</v>
      </c>
      <c r="F40" s="60">
        <f t="shared" si="2"/>
        <v>144000</v>
      </c>
      <c r="G40" s="59" t="s">
        <v>80</v>
      </c>
    </row>
    <row r="41" spans="1:7" ht="21.75" customHeight="1" x14ac:dyDescent="0.25">
      <c r="A41" s="58"/>
      <c r="B41" s="59" t="s">
        <v>81</v>
      </c>
      <c r="C41" s="60">
        <v>1920</v>
      </c>
      <c r="D41" s="61" t="s">
        <v>66</v>
      </c>
      <c r="E41" s="60">
        <v>110</v>
      </c>
      <c r="F41" s="60">
        <f t="shared" si="2"/>
        <v>211200</v>
      </c>
      <c r="G41" s="59" t="s">
        <v>82</v>
      </c>
    </row>
    <row r="42" spans="1:7" ht="21.75" customHeight="1" x14ac:dyDescent="0.25">
      <c r="A42" s="58"/>
      <c r="B42" s="59" t="s">
        <v>83</v>
      </c>
      <c r="C42" s="60">
        <v>768</v>
      </c>
      <c r="D42" s="61" t="s">
        <v>66</v>
      </c>
      <c r="E42" s="60">
        <v>95</v>
      </c>
      <c r="F42" s="60">
        <f t="shared" si="2"/>
        <v>72960</v>
      </c>
      <c r="G42" s="59" t="s">
        <v>84</v>
      </c>
    </row>
    <row r="43" spans="1:7" ht="15" customHeight="1" x14ac:dyDescent="0.25">
      <c r="A43" s="62"/>
      <c r="B43" s="63" t="s">
        <v>85</v>
      </c>
      <c r="C43" s="62"/>
      <c r="D43" s="62"/>
      <c r="E43" s="62"/>
      <c r="F43" s="64">
        <f>SUM(F36:F42)</f>
        <v>2839680</v>
      </c>
      <c r="G43" s="62"/>
    </row>
    <row r="44" spans="1:7" ht="15" customHeight="1" x14ac:dyDescent="0.25">
      <c r="A44" s="55" t="s">
        <v>86</v>
      </c>
      <c r="B44" s="56" t="s">
        <v>87</v>
      </c>
      <c r="C44" s="57"/>
      <c r="D44" s="57"/>
      <c r="E44" s="57"/>
      <c r="F44" s="57"/>
      <c r="G44" s="57"/>
    </row>
    <row r="45" spans="1:7" ht="21.75" customHeight="1" x14ac:dyDescent="0.25">
      <c r="A45" s="58"/>
      <c r="B45" s="59" t="s">
        <v>88</v>
      </c>
      <c r="C45" s="60">
        <v>614</v>
      </c>
      <c r="D45" s="61" t="s">
        <v>18</v>
      </c>
      <c r="E45" s="60">
        <v>720</v>
      </c>
      <c r="F45" s="60">
        <f t="shared" ref="F45:F53" si="3">C45*E45</f>
        <v>442080</v>
      </c>
      <c r="G45" s="59" t="s">
        <v>89</v>
      </c>
    </row>
    <row r="46" spans="1:7" ht="21.75" customHeight="1" x14ac:dyDescent="0.25">
      <c r="A46" s="58"/>
      <c r="B46" s="59" t="s">
        <v>90</v>
      </c>
      <c r="C46" s="60">
        <v>4915</v>
      </c>
      <c r="D46" s="61" t="s">
        <v>13</v>
      </c>
      <c r="E46" s="60">
        <v>95</v>
      </c>
      <c r="F46" s="60">
        <f t="shared" si="3"/>
        <v>466925</v>
      </c>
      <c r="G46" s="59" t="s">
        <v>91</v>
      </c>
    </row>
    <row r="47" spans="1:7" ht="15" customHeight="1" x14ac:dyDescent="0.25">
      <c r="A47" s="58"/>
      <c r="B47" s="59" t="s">
        <v>92</v>
      </c>
      <c r="C47" s="60">
        <v>86</v>
      </c>
      <c r="D47" s="61" t="s">
        <v>36</v>
      </c>
      <c r="E47" s="60">
        <v>2000</v>
      </c>
      <c r="F47" s="60">
        <f t="shared" si="3"/>
        <v>172000</v>
      </c>
      <c r="G47" s="59" t="s">
        <v>93</v>
      </c>
    </row>
    <row r="48" spans="1:7" ht="15" customHeight="1" x14ac:dyDescent="0.25">
      <c r="A48" s="58"/>
      <c r="B48" s="59" t="s">
        <v>94</v>
      </c>
      <c r="C48" s="60">
        <v>192</v>
      </c>
      <c r="D48" s="61" t="s">
        <v>18</v>
      </c>
      <c r="E48" s="60">
        <v>680</v>
      </c>
      <c r="F48" s="60">
        <f t="shared" si="3"/>
        <v>130560</v>
      </c>
      <c r="G48" s="59" t="s">
        <v>95</v>
      </c>
    </row>
    <row r="49" spans="1:7" ht="15" customHeight="1" x14ac:dyDescent="0.25">
      <c r="A49" s="58"/>
      <c r="B49" s="59" t="s">
        <v>96</v>
      </c>
      <c r="C49" s="60">
        <v>4915</v>
      </c>
      <c r="D49" s="61" t="s">
        <v>13</v>
      </c>
      <c r="E49" s="60">
        <v>95</v>
      </c>
      <c r="F49" s="60">
        <f t="shared" si="3"/>
        <v>466925</v>
      </c>
      <c r="G49" s="59" t="s">
        <v>97</v>
      </c>
    </row>
    <row r="50" spans="1:7" ht="15" customHeight="1" x14ac:dyDescent="0.25">
      <c r="A50" s="58"/>
      <c r="B50" s="59" t="s">
        <v>98</v>
      </c>
      <c r="C50" s="60">
        <v>1536</v>
      </c>
      <c r="D50" s="61" t="s">
        <v>13</v>
      </c>
      <c r="E50" s="60">
        <v>80</v>
      </c>
      <c r="F50" s="60">
        <f t="shared" si="3"/>
        <v>122880</v>
      </c>
      <c r="G50" s="59" t="s">
        <v>99</v>
      </c>
    </row>
    <row r="51" spans="1:7" ht="21.75" customHeight="1" x14ac:dyDescent="0.25">
      <c r="A51" s="58"/>
      <c r="B51" s="59" t="s">
        <v>100</v>
      </c>
      <c r="C51" s="60">
        <v>3072</v>
      </c>
      <c r="D51" s="61" t="s">
        <v>66</v>
      </c>
      <c r="E51" s="60">
        <v>145</v>
      </c>
      <c r="F51" s="60">
        <f t="shared" si="3"/>
        <v>445440</v>
      </c>
      <c r="G51" s="59" t="s">
        <v>101</v>
      </c>
    </row>
    <row r="52" spans="1:7" ht="15" customHeight="1" x14ac:dyDescent="0.25">
      <c r="A52" s="58"/>
      <c r="B52" s="59" t="s">
        <v>102</v>
      </c>
      <c r="C52" s="60">
        <v>768</v>
      </c>
      <c r="D52" s="61" t="s">
        <v>66</v>
      </c>
      <c r="E52" s="60">
        <v>145</v>
      </c>
      <c r="F52" s="60">
        <f t="shared" si="3"/>
        <v>111360</v>
      </c>
      <c r="G52" s="59" t="s">
        <v>103</v>
      </c>
    </row>
    <row r="53" spans="1:7" ht="15" customHeight="1" x14ac:dyDescent="0.25">
      <c r="A53" s="58"/>
      <c r="B53" s="59" t="s">
        <v>104</v>
      </c>
      <c r="C53" s="60">
        <v>16</v>
      </c>
      <c r="D53" s="61" t="s">
        <v>39</v>
      </c>
      <c r="E53" s="60">
        <v>4500</v>
      </c>
      <c r="F53" s="60">
        <f t="shared" si="3"/>
        <v>72000</v>
      </c>
      <c r="G53" s="59" t="s">
        <v>105</v>
      </c>
    </row>
    <row r="54" spans="1:7" ht="15" customHeight="1" x14ac:dyDescent="0.25">
      <c r="A54" s="62"/>
      <c r="B54" s="63" t="s">
        <v>106</v>
      </c>
      <c r="C54" s="62"/>
      <c r="D54" s="62"/>
      <c r="E54" s="62"/>
      <c r="F54" s="64">
        <f>SUM(F44:F53)</f>
        <v>2430170</v>
      </c>
      <c r="G54" s="62"/>
    </row>
    <row r="55" spans="1:7" ht="15" customHeight="1" x14ac:dyDescent="0.25">
      <c r="A55" s="55" t="s">
        <v>107</v>
      </c>
      <c r="B55" s="56" t="s">
        <v>108</v>
      </c>
      <c r="C55" s="57"/>
      <c r="D55" s="57"/>
      <c r="E55" s="57"/>
      <c r="F55" s="57"/>
      <c r="G55" s="57"/>
    </row>
    <row r="56" spans="1:7" ht="32.25" customHeight="1" x14ac:dyDescent="0.25">
      <c r="A56" s="58"/>
      <c r="B56" s="59" t="s">
        <v>109</v>
      </c>
      <c r="C56" s="60">
        <v>22272</v>
      </c>
      <c r="D56" s="61" t="s">
        <v>13</v>
      </c>
      <c r="E56" s="60">
        <v>280</v>
      </c>
      <c r="F56" s="60">
        <f>C56*E56</f>
        <v>6236160</v>
      </c>
      <c r="G56" s="59" t="s">
        <v>110</v>
      </c>
    </row>
    <row r="57" spans="1:7" ht="15" customHeight="1" x14ac:dyDescent="0.25">
      <c r="A57" s="58"/>
      <c r="B57" s="59" t="s">
        <v>111</v>
      </c>
      <c r="C57" s="60">
        <v>22272</v>
      </c>
      <c r="D57" s="61" t="s">
        <v>13</v>
      </c>
      <c r="E57" s="60">
        <v>38</v>
      </c>
      <c r="F57" s="60">
        <f>C57*E57</f>
        <v>846336</v>
      </c>
      <c r="G57" s="59" t="s">
        <v>112</v>
      </c>
    </row>
    <row r="58" spans="1:7" ht="21.75" customHeight="1" x14ac:dyDescent="0.25">
      <c r="A58" s="58"/>
      <c r="B58" s="59" t="s">
        <v>113</v>
      </c>
      <c r="C58" s="60">
        <v>22272</v>
      </c>
      <c r="D58" s="61" t="s">
        <v>13</v>
      </c>
      <c r="E58" s="60">
        <v>18</v>
      </c>
      <c r="F58" s="60">
        <f>C58*E58</f>
        <v>400896</v>
      </c>
      <c r="G58" s="59" t="s">
        <v>114</v>
      </c>
    </row>
    <row r="59" spans="1:7" ht="32.25" customHeight="1" x14ac:dyDescent="0.25">
      <c r="A59" s="58"/>
      <c r="B59" s="59" t="s">
        <v>115</v>
      </c>
      <c r="C59" s="60">
        <v>4800</v>
      </c>
      <c r="D59" s="61" t="s">
        <v>13</v>
      </c>
      <c r="E59" s="60">
        <v>180</v>
      </c>
      <c r="F59" s="60">
        <f>C59*E59</f>
        <v>864000</v>
      </c>
      <c r="G59" s="59" t="s">
        <v>116</v>
      </c>
    </row>
    <row r="60" spans="1:7" ht="15" customHeight="1" x14ac:dyDescent="0.25">
      <c r="A60" s="58"/>
      <c r="B60" s="59" t="s">
        <v>117</v>
      </c>
      <c r="C60" s="60">
        <v>1920</v>
      </c>
      <c r="D60" s="61" t="s">
        <v>13</v>
      </c>
      <c r="E60" s="60">
        <v>145</v>
      </c>
      <c r="F60" s="60">
        <f>C60*E60</f>
        <v>278400</v>
      </c>
      <c r="G60" s="59" t="s">
        <v>118</v>
      </c>
    </row>
    <row r="61" spans="1:7" ht="15" customHeight="1" x14ac:dyDescent="0.25">
      <c r="A61" s="62"/>
      <c r="B61" s="63" t="s">
        <v>119</v>
      </c>
      <c r="C61" s="62"/>
      <c r="D61" s="62"/>
      <c r="E61" s="62"/>
      <c r="F61" s="64">
        <f>SUM(F55:F60)</f>
        <v>8625792</v>
      </c>
      <c r="G61" s="62"/>
    </row>
    <row r="62" spans="1:7" ht="15" customHeight="1" x14ac:dyDescent="0.25">
      <c r="A62" s="55" t="s">
        <v>120</v>
      </c>
      <c r="B62" s="56" t="s">
        <v>121</v>
      </c>
      <c r="C62" s="57"/>
      <c r="D62" s="57"/>
      <c r="E62" s="57"/>
      <c r="F62" s="57"/>
      <c r="G62" s="57"/>
    </row>
    <row r="63" spans="1:7" ht="21.75" customHeight="1" x14ac:dyDescent="0.25">
      <c r="A63" s="58"/>
      <c r="B63" s="59" t="s">
        <v>122</v>
      </c>
      <c r="C63" s="60">
        <v>4800</v>
      </c>
      <c r="D63" s="61" t="s">
        <v>13</v>
      </c>
      <c r="E63" s="60">
        <v>525</v>
      </c>
      <c r="F63" s="60">
        <f>C63*E63</f>
        <v>2520000</v>
      </c>
      <c r="G63" s="59" t="s">
        <v>123</v>
      </c>
    </row>
    <row r="64" spans="1:7" ht="21.75" customHeight="1" x14ac:dyDescent="0.25">
      <c r="A64" s="58"/>
      <c r="B64" s="59" t="s">
        <v>124</v>
      </c>
      <c r="C64" s="60">
        <v>2400</v>
      </c>
      <c r="D64" s="61" t="s">
        <v>13</v>
      </c>
      <c r="E64" s="60">
        <v>380</v>
      </c>
      <c r="F64" s="60">
        <f>C64*E64</f>
        <v>912000</v>
      </c>
      <c r="G64" s="59" t="s">
        <v>125</v>
      </c>
    </row>
    <row r="65" spans="1:7" ht="21.75" customHeight="1" x14ac:dyDescent="0.25">
      <c r="A65" s="58"/>
      <c r="B65" s="59" t="s">
        <v>126</v>
      </c>
      <c r="C65" s="60">
        <v>320</v>
      </c>
      <c r="D65" s="61" t="s">
        <v>39</v>
      </c>
      <c r="E65" s="60">
        <v>1500</v>
      </c>
      <c r="F65" s="60">
        <f>C65*E65</f>
        <v>480000</v>
      </c>
      <c r="G65" s="59" t="s">
        <v>127</v>
      </c>
    </row>
    <row r="66" spans="1:7" ht="15" customHeight="1" x14ac:dyDescent="0.25">
      <c r="A66" s="58"/>
      <c r="B66" s="59" t="s">
        <v>128</v>
      </c>
      <c r="C66" s="60">
        <v>16</v>
      </c>
      <c r="D66" s="61" t="s">
        <v>39</v>
      </c>
      <c r="E66" s="60">
        <v>12000</v>
      </c>
      <c r="F66" s="60">
        <f>C66*E66</f>
        <v>192000</v>
      </c>
      <c r="G66" s="59" t="s">
        <v>129</v>
      </c>
    </row>
    <row r="67" spans="1:7" ht="15" customHeight="1" x14ac:dyDescent="0.25">
      <c r="A67" s="62"/>
      <c r="B67" s="63" t="s">
        <v>130</v>
      </c>
      <c r="C67" s="62"/>
      <c r="D67" s="62"/>
      <c r="E67" s="62"/>
      <c r="F67" s="64">
        <f>SUM(F62:F66)</f>
        <v>4104000</v>
      </c>
      <c r="G67" s="62"/>
    </row>
    <row r="68" spans="1:7" ht="15" customHeight="1" x14ac:dyDescent="0.25">
      <c r="A68" s="55" t="s">
        <v>131</v>
      </c>
      <c r="B68" s="56" t="s">
        <v>132</v>
      </c>
      <c r="C68" s="57"/>
      <c r="D68" s="57"/>
      <c r="E68" s="57"/>
      <c r="F68" s="57"/>
      <c r="G68" s="57"/>
    </row>
    <row r="69" spans="1:7" ht="21.75" customHeight="1" x14ac:dyDescent="0.25">
      <c r="A69" s="58"/>
      <c r="B69" s="59" t="s">
        <v>133</v>
      </c>
      <c r="C69" s="60">
        <v>32000</v>
      </c>
      <c r="D69" s="61" t="s">
        <v>13</v>
      </c>
      <c r="E69" s="60">
        <v>110</v>
      </c>
      <c r="F69" s="60">
        <f>C69*E69</f>
        <v>3520000</v>
      </c>
      <c r="G69" s="59" t="s">
        <v>134</v>
      </c>
    </row>
    <row r="70" spans="1:7" ht="21.75" customHeight="1" x14ac:dyDescent="0.25">
      <c r="A70" s="58"/>
      <c r="B70" s="59" t="s">
        <v>135</v>
      </c>
      <c r="C70" s="60">
        <v>480</v>
      </c>
      <c r="D70" s="61" t="s">
        <v>39</v>
      </c>
      <c r="E70" s="60">
        <v>1500</v>
      </c>
      <c r="F70" s="60">
        <f>C70*E70</f>
        <v>720000</v>
      </c>
      <c r="G70" s="59" t="s">
        <v>136</v>
      </c>
    </row>
    <row r="71" spans="1:7" ht="15" customHeight="1" x14ac:dyDescent="0.25">
      <c r="A71" s="62"/>
      <c r="B71" s="63" t="s">
        <v>137</v>
      </c>
      <c r="C71" s="62"/>
      <c r="D71" s="62"/>
      <c r="E71" s="62"/>
      <c r="F71" s="64">
        <f>SUM(F68:F70)</f>
        <v>4240000</v>
      </c>
      <c r="G71" s="62"/>
    </row>
    <row r="72" spans="1:7" ht="15" customHeight="1" x14ac:dyDescent="0.25">
      <c r="A72" s="55" t="s">
        <v>138</v>
      </c>
      <c r="B72" s="56" t="s">
        <v>139</v>
      </c>
      <c r="C72" s="57"/>
      <c r="D72" s="57"/>
      <c r="E72" s="57"/>
      <c r="F72" s="57"/>
      <c r="G72" s="57"/>
    </row>
    <row r="73" spans="1:7" ht="15" customHeight="1" x14ac:dyDescent="0.25">
      <c r="A73" s="58"/>
      <c r="B73" s="59" t="s">
        <v>140</v>
      </c>
      <c r="C73" s="60">
        <v>960</v>
      </c>
      <c r="D73" s="61" t="s">
        <v>39</v>
      </c>
      <c r="E73" s="60">
        <v>950</v>
      </c>
      <c r="F73" s="60">
        <f>C73*E73</f>
        <v>912000</v>
      </c>
      <c r="G73" s="59" t="s">
        <v>141</v>
      </c>
    </row>
    <row r="74" spans="1:7" ht="15" customHeight="1" x14ac:dyDescent="0.25">
      <c r="A74" s="58"/>
      <c r="B74" s="59" t="s">
        <v>142</v>
      </c>
      <c r="C74" s="60">
        <v>240</v>
      </c>
      <c r="D74" s="61" t="s">
        <v>39</v>
      </c>
      <c r="E74" s="60">
        <v>1100</v>
      </c>
      <c r="F74" s="60">
        <f>C74*E74</f>
        <v>264000</v>
      </c>
      <c r="G74" s="59" t="s">
        <v>143</v>
      </c>
    </row>
    <row r="75" spans="1:7" ht="15" customHeight="1" x14ac:dyDescent="0.25">
      <c r="A75" s="62"/>
      <c r="B75" s="63" t="s">
        <v>144</v>
      </c>
      <c r="C75" s="62"/>
      <c r="D75" s="62"/>
      <c r="E75" s="62"/>
      <c r="F75" s="64">
        <f>SUM(F72:F74)</f>
        <v>1176000</v>
      </c>
      <c r="G75" s="62"/>
    </row>
    <row r="76" spans="1:7" ht="15" customHeight="1" x14ac:dyDescent="0.25">
      <c r="A76" s="55" t="s">
        <v>145</v>
      </c>
      <c r="B76" s="56" t="s">
        <v>146</v>
      </c>
      <c r="C76" s="57"/>
      <c r="D76" s="57"/>
      <c r="E76" s="57"/>
      <c r="F76" s="57"/>
      <c r="G76" s="57"/>
    </row>
    <row r="77" spans="1:7" ht="21.75" customHeight="1" x14ac:dyDescent="0.25">
      <c r="A77" s="58"/>
      <c r="B77" s="59" t="s">
        <v>147</v>
      </c>
      <c r="C77" s="60">
        <v>30000</v>
      </c>
      <c r="D77" s="61" t="s">
        <v>13</v>
      </c>
      <c r="E77" s="60">
        <v>65</v>
      </c>
      <c r="F77" s="60">
        <f>C77*E77</f>
        <v>1950000</v>
      </c>
      <c r="G77" s="59" t="s">
        <v>148</v>
      </c>
    </row>
    <row r="78" spans="1:7" ht="15" customHeight="1" x14ac:dyDescent="0.25">
      <c r="A78" s="58"/>
      <c r="B78" s="59" t="s">
        <v>149</v>
      </c>
      <c r="C78" s="60">
        <v>6000</v>
      </c>
      <c r="D78" s="61" t="s">
        <v>13</v>
      </c>
      <c r="E78" s="60">
        <v>95</v>
      </c>
      <c r="F78" s="60">
        <f>C78*E78</f>
        <v>570000</v>
      </c>
      <c r="G78" s="59" t="s">
        <v>150</v>
      </c>
    </row>
    <row r="79" spans="1:7" ht="15" customHeight="1" x14ac:dyDescent="0.25">
      <c r="A79" s="58"/>
      <c r="B79" s="59" t="s">
        <v>151</v>
      </c>
      <c r="C79" s="60">
        <v>11400</v>
      </c>
      <c r="D79" s="61" t="s">
        <v>13</v>
      </c>
      <c r="E79" s="60">
        <v>110</v>
      </c>
      <c r="F79" s="60">
        <f>C79*E79</f>
        <v>1254000</v>
      </c>
      <c r="G79" s="59" t="s">
        <v>152</v>
      </c>
    </row>
    <row r="80" spans="1:7" ht="15" customHeight="1" x14ac:dyDescent="0.25">
      <c r="A80" s="58"/>
      <c r="B80" s="59" t="s">
        <v>153</v>
      </c>
      <c r="C80" s="60">
        <v>24000</v>
      </c>
      <c r="D80" s="61" t="s">
        <v>66</v>
      </c>
      <c r="E80" s="60">
        <v>18</v>
      </c>
      <c r="F80" s="60">
        <f>C80*E80</f>
        <v>432000</v>
      </c>
      <c r="G80" s="59" t="s">
        <v>154</v>
      </c>
    </row>
    <row r="81" spans="1:7" ht="15" customHeight="1" x14ac:dyDescent="0.25">
      <c r="A81" s="62"/>
      <c r="B81" s="63" t="s">
        <v>155</v>
      </c>
      <c r="C81" s="62"/>
      <c r="D81" s="62"/>
      <c r="E81" s="62"/>
      <c r="F81" s="64">
        <f>SUM(F76:F80)</f>
        <v>4206000</v>
      </c>
      <c r="G81" s="62"/>
    </row>
    <row r="82" spans="1:7" ht="15" customHeight="1" x14ac:dyDescent="0.25">
      <c r="A82" s="55" t="s">
        <v>156</v>
      </c>
      <c r="B82" s="56" t="s">
        <v>157</v>
      </c>
      <c r="C82" s="57"/>
      <c r="D82" s="57"/>
      <c r="E82" s="57"/>
      <c r="F82" s="57"/>
      <c r="G82" s="57"/>
    </row>
    <row r="83" spans="1:7" ht="21.75" customHeight="1" x14ac:dyDescent="0.25">
      <c r="A83" s="58"/>
      <c r="B83" s="59" t="s">
        <v>158</v>
      </c>
      <c r="C83" s="60">
        <v>96000</v>
      </c>
      <c r="D83" s="61" t="s">
        <v>13</v>
      </c>
      <c r="E83" s="60">
        <v>14</v>
      </c>
      <c r="F83" s="60">
        <f>C83*E83</f>
        <v>1344000</v>
      </c>
      <c r="G83" s="59" t="s">
        <v>159</v>
      </c>
    </row>
    <row r="84" spans="1:7" ht="15" customHeight="1" x14ac:dyDescent="0.25">
      <c r="A84" s="58"/>
      <c r="B84" s="59" t="s">
        <v>160</v>
      </c>
      <c r="C84" s="60">
        <v>14400</v>
      </c>
      <c r="D84" s="61" t="s">
        <v>13</v>
      </c>
      <c r="E84" s="60">
        <v>95</v>
      </c>
      <c r="F84" s="60">
        <f>C84*E84</f>
        <v>1368000</v>
      </c>
      <c r="G84" s="59" t="s">
        <v>161</v>
      </c>
    </row>
    <row r="85" spans="1:7" ht="15" customHeight="1" x14ac:dyDescent="0.25">
      <c r="A85" s="58"/>
      <c r="B85" s="59" t="s">
        <v>162</v>
      </c>
      <c r="C85" s="60">
        <v>12000</v>
      </c>
      <c r="D85" s="61" t="s">
        <v>13</v>
      </c>
      <c r="E85" s="60">
        <v>38</v>
      </c>
      <c r="F85" s="60">
        <f>C85*E85</f>
        <v>456000</v>
      </c>
      <c r="G85" s="59" t="s">
        <v>163</v>
      </c>
    </row>
    <row r="86" spans="1:7" ht="15" customHeight="1" x14ac:dyDescent="0.25">
      <c r="A86" s="62"/>
      <c r="B86" s="63" t="s">
        <v>164</v>
      </c>
      <c r="C86" s="62"/>
      <c r="D86" s="62"/>
      <c r="E86" s="62"/>
      <c r="F86" s="64">
        <f>SUM(F82:F85)</f>
        <v>3168000</v>
      </c>
      <c r="G86" s="62"/>
    </row>
    <row r="87" spans="1:7" ht="15" customHeight="1" x14ac:dyDescent="0.25">
      <c r="A87" s="55" t="s">
        <v>165</v>
      </c>
      <c r="B87" s="56" t="s">
        <v>166</v>
      </c>
      <c r="C87" s="57"/>
      <c r="D87" s="57"/>
      <c r="E87" s="57"/>
      <c r="F87" s="57"/>
      <c r="G87" s="57"/>
    </row>
    <row r="88" spans="1:7" ht="21.75" customHeight="1" x14ac:dyDescent="0.25">
      <c r="A88" s="58"/>
      <c r="B88" s="59" t="s">
        <v>167</v>
      </c>
      <c r="C88" s="60">
        <v>30000</v>
      </c>
      <c r="D88" s="61" t="s">
        <v>13</v>
      </c>
      <c r="E88" s="60">
        <v>42</v>
      </c>
      <c r="F88" s="60">
        <f>C88*E88</f>
        <v>1260000</v>
      </c>
      <c r="G88" s="59" t="s">
        <v>168</v>
      </c>
    </row>
    <row r="89" spans="1:7" ht="21.75" customHeight="1" x14ac:dyDescent="0.25">
      <c r="A89" s="58"/>
      <c r="B89" s="59" t="s">
        <v>169</v>
      </c>
      <c r="C89" s="60">
        <v>6000</v>
      </c>
      <c r="D89" s="61" t="s">
        <v>13</v>
      </c>
      <c r="E89" s="60">
        <v>58</v>
      </c>
      <c r="F89" s="60">
        <f>C89*E89</f>
        <v>348000</v>
      </c>
      <c r="G89" s="59" t="s">
        <v>170</v>
      </c>
    </row>
    <row r="90" spans="1:7" ht="15" customHeight="1" x14ac:dyDescent="0.25">
      <c r="A90" s="58"/>
      <c r="B90" s="59" t="s">
        <v>171</v>
      </c>
      <c r="C90" s="60">
        <v>240</v>
      </c>
      <c r="D90" s="61" t="s">
        <v>39</v>
      </c>
      <c r="E90" s="60">
        <v>380</v>
      </c>
      <c r="F90" s="60">
        <f>C90*E90</f>
        <v>91200</v>
      </c>
      <c r="G90" s="59" t="s">
        <v>172</v>
      </c>
    </row>
    <row r="91" spans="1:7" ht="15" customHeight="1" x14ac:dyDescent="0.25">
      <c r="A91" s="62"/>
      <c r="B91" s="63" t="s">
        <v>173</v>
      </c>
      <c r="C91" s="62"/>
      <c r="D91" s="62"/>
      <c r="E91" s="62"/>
      <c r="F91" s="64">
        <f>SUM(F87:F90)</f>
        <v>1699200</v>
      </c>
      <c r="G91" s="62"/>
    </row>
    <row r="92" spans="1:7" ht="15" customHeight="1" x14ac:dyDescent="0.25">
      <c r="A92" s="55" t="s">
        <v>174</v>
      </c>
      <c r="B92" s="56" t="s">
        <v>175</v>
      </c>
      <c r="C92" s="57"/>
      <c r="D92" s="57"/>
      <c r="E92" s="57"/>
      <c r="F92" s="57"/>
      <c r="G92" s="57"/>
    </row>
    <row r="93" spans="1:7" ht="21.75" customHeight="1" x14ac:dyDescent="0.25">
      <c r="A93" s="58"/>
      <c r="B93" s="59" t="s">
        <v>176</v>
      </c>
      <c r="C93" s="60">
        <v>1920</v>
      </c>
      <c r="D93" s="61" t="s">
        <v>39</v>
      </c>
      <c r="E93" s="60">
        <v>850</v>
      </c>
      <c r="F93" s="60">
        <f>C93*E93</f>
        <v>1632000</v>
      </c>
      <c r="G93" s="59" t="s">
        <v>177</v>
      </c>
    </row>
    <row r="94" spans="1:7" ht="15" customHeight="1" x14ac:dyDescent="0.25">
      <c r="A94" s="58"/>
      <c r="B94" s="59" t="s">
        <v>178</v>
      </c>
      <c r="C94" s="60">
        <v>1920</v>
      </c>
      <c r="D94" s="61" t="s">
        <v>39</v>
      </c>
      <c r="E94" s="60">
        <v>420</v>
      </c>
      <c r="F94" s="60">
        <f>C94*E94</f>
        <v>806400</v>
      </c>
      <c r="G94" s="59" t="s">
        <v>179</v>
      </c>
    </row>
    <row r="95" spans="1:7" ht="15" customHeight="1" x14ac:dyDescent="0.25">
      <c r="A95" s="58"/>
      <c r="B95" s="59" t="s">
        <v>180</v>
      </c>
      <c r="C95" s="60">
        <v>480</v>
      </c>
      <c r="D95" s="61" t="s">
        <v>39</v>
      </c>
      <c r="E95" s="60">
        <v>750</v>
      </c>
      <c r="F95" s="60">
        <f>C95*E95</f>
        <v>360000</v>
      </c>
      <c r="G95" s="59" t="s">
        <v>181</v>
      </c>
    </row>
    <row r="96" spans="1:7" ht="15" customHeight="1" x14ac:dyDescent="0.25">
      <c r="A96" s="62"/>
      <c r="B96" s="63" t="s">
        <v>182</v>
      </c>
      <c r="C96" s="62"/>
      <c r="D96" s="62"/>
      <c r="E96" s="62"/>
      <c r="F96" s="64">
        <f>SUM(F92:F95)</f>
        <v>2798400</v>
      </c>
      <c r="G96" s="62"/>
    </row>
    <row r="97" spans="1:7" ht="15" customHeight="1" x14ac:dyDescent="0.25">
      <c r="A97" s="55" t="s">
        <v>183</v>
      </c>
      <c r="B97" s="56" t="s">
        <v>184</v>
      </c>
      <c r="C97" s="57"/>
      <c r="D97" s="57"/>
      <c r="E97" s="57"/>
      <c r="F97" s="57"/>
      <c r="G97" s="57"/>
    </row>
    <row r="98" spans="1:7" ht="15" customHeight="1" x14ac:dyDescent="0.25">
      <c r="A98" s="58"/>
      <c r="B98" s="59" t="s">
        <v>185</v>
      </c>
      <c r="C98" s="60">
        <v>240</v>
      </c>
      <c r="D98" s="61" t="s">
        <v>39</v>
      </c>
      <c r="E98" s="60">
        <v>580</v>
      </c>
      <c r="F98" s="60">
        <f>C98*E98</f>
        <v>139200</v>
      </c>
      <c r="G98" s="59" t="s">
        <v>143</v>
      </c>
    </row>
    <row r="99" spans="1:7" ht="15" customHeight="1" x14ac:dyDescent="0.25">
      <c r="A99" s="58"/>
      <c r="B99" s="59" t="s">
        <v>186</v>
      </c>
      <c r="C99" s="60">
        <v>192</v>
      </c>
      <c r="D99" s="61" t="s">
        <v>39</v>
      </c>
      <c r="E99" s="60">
        <v>380</v>
      </c>
      <c r="F99" s="60">
        <f>C99*E99</f>
        <v>72960</v>
      </c>
      <c r="G99" s="59" t="s">
        <v>187</v>
      </c>
    </row>
    <row r="100" spans="1:7" ht="15" customHeight="1" x14ac:dyDescent="0.25">
      <c r="A100" s="58"/>
      <c r="B100" s="59" t="s">
        <v>188</v>
      </c>
      <c r="C100" s="60">
        <v>240</v>
      </c>
      <c r="D100" s="61" t="s">
        <v>39</v>
      </c>
      <c r="E100" s="60">
        <v>280</v>
      </c>
      <c r="F100" s="60">
        <f>C100*E100</f>
        <v>67200</v>
      </c>
      <c r="G100" s="59" t="s">
        <v>143</v>
      </c>
    </row>
    <row r="101" spans="1:7" ht="15" customHeight="1" x14ac:dyDescent="0.25">
      <c r="A101" s="58"/>
      <c r="B101" s="59" t="s">
        <v>189</v>
      </c>
      <c r="C101" s="60">
        <v>48</v>
      </c>
      <c r="D101" s="61" t="s">
        <v>39</v>
      </c>
      <c r="E101" s="60">
        <v>750</v>
      </c>
      <c r="F101" s="60">
        <f>C101*E101</f>
        <v>36000</v>
      </c>
      <c r="G101" s="59" t="s">
        <v>190</v>
      </c>
    </row>
    <row r="102" spans="1:7" ht="21.75" customHeight="1" x14ac:dyDescent="0.25">
      <c r="A102" s="58"/>
      <c r="B102" s="59" t="s">
        <v>191</v>
      </c>
      <c r="C102" s="60">
        <v>1</v>
      </c>
      <c r="D102" s="61" t="s">
        <v>192</v>
      </c>
      <c r="E102" s="60">
        <v>156000</v>
      </c>
      <c r="F102" s="60">
        <f>C102*E102</f>
        <v>156000</v>
      </c>
      <c r="G102" s="59" t="s">
        <v>193</v>
      </c>
    </row>
    <row r="103" spans="1:7" ht="15" customHeight="1" x14ac:dyDescent="0.25">
      <c r="A103" s="62"/>
      <c r="B103" s="63" t="s">
        <v>194</v>
      </c>
      <c r="C103" s="62"/>
      <c r="D103" s="62"/>
      <c r="E103" s="62"/>
      <c r="F103" s="64">
        <f>SUM(F97:F102)</f>
        <v>471360</v>
      </c>
      <c r="G103" s="62"/>
    </row>
    <row r="104" spans="1:7" ht="15" customHeight="1" x14ac:dyDescent="0.25">
      <c r="A104" s="55" t="s">
        <v>195</v>
      </c>
      <c r="B104" s="56" t="s">
        <v>196</v>
      </c>
      <c r="C104" s="57"/>
      <c r="D104" s="57"/>
      <c r="E104" s="57"/>
      <c r="F104" s="57"/>
      <c r="G104" s="57"/>
    </row>
    <row r="105" spans="1:7" ht="15" customHeight="1" x14ac:dyDescent="0.25">
      <c r="A105" s="58"/>
      <c r="B105" s="59" t="s">
        <v>197</v>
      </c>
      <c r="C105" s="60">
        <v>96</v>
      </c>
      <c r="D105" s="61" t="s">
        <v>198</v>
      </c>
      <c r="E105" s="60">
        <v>2500</v>
      </c>
      <c r="F105" s="60">
        <f>C105*E105</f>
        <v>240000</v>
      </c>
      <c r="G105" s="59" t="s">
        <v>199</v>
      </c>
    </row>
    <row r="106" spans="1:7" ht="21.75" customHeight="1" x14ac:dyDescent="0.25">
      <c r="A106" s="58"/>
      <c r="B106" s="59" t="s">
        <v>200</v>
      </c>
      <c r="C106" s="60">
        <v>48</v>
      </c>
      <c r="D106" s="61" t="s">
        <v>39</v>
      </c>
      <c r="E106" s="60">
        <v>2500</v>
      </c>
      <c r="F106" s="60">
        <f>C106*E106</f>
        <v>120000</v>
      </c>
      <c r="G106" s="59" t="s">
        <v>201</v>
      </c>
    </row>
    <row r="107" spans="1:7" ht="15" customHeight="1" x14ac:dyDescent="0.25">
      <c r="A107" s="58"/>
      <c r="B107" s="59" t="s">
        <v>202</v>
      </c>
      <c r="C107" s="60">
        <v>32</v>
      </c>
      <c r="D107" s="61" t="s">
        <v>39</v>
      </c>
      <c r="E107" s="60">
        <v>3000</v>
      </c>
      <c r="F107" s="60">
        <f>C107*E107</f>
        <v>96000</v>
      </c>
      <c r="G107" s="59" t="s">
        <v>203</v>
      </c>
    </row>
    <row r="108" spans="1:7" ht="15" customHeight="1" x14ac:dyDescent="0.25">
      <c r="A108" s="58"/>
      <c r="B108" s="59" t="s">
        <v>204</v>
      </c>
      <c r="C108" s="60">
        <v>64</v>
      </c>
      <c r="D108" s="61" t="s">
        <v>39</v>
      </c>
      <c r="E108" s="60">
        <v>1875</v>
      </c>
      <c r="F108" s="60">
        <f>C108*E108</f>
        <v>120000</v>
      </c>
      <c r="G108" s="59" t="s">
        <v>205</v>
      </c>
    </row>
    <row r="109" spans="1:7" ht="15" customHeight="1" x14ac:dyDescent="0.25">
      <c r="A109" s="58"/>
      <c r="B109" s="59" t="s">
        <v>206</v>
      </c>
      <c r="C109" s="60">
        <v>480</v>
      </c>
      <c r="D109" s="61" t="s">
        <v>13</v>
      </c>
      <c r="E109" s="60">
        <v>105</v>
      </c>
      <c r="F109" s="60">
        <f>C109*E109</f>
        <v>50400</v>
      </c>
      <c r="G109" s="59" t="s">
        <v>207</v>
      </c>
    </row>
    <row r="110" spans="1:7" ht="15" customHeight="1" x14ac:dyDescent="0.25">
      <c r="A110" s="62"/>
      <c r="B110" s="63" t="s">
        <v>208</v>
      </c>
      <c r="C110" s="62"/>
      <c r="D110" s="62"/>
      <c r="E110" s="62"/>
      <c r="F110" s="64">
        <f>SUM(F104:F109)</f>
        <v>626400</v>
      </c>
      <c r="G110" s="62"/>
    </row>
    <row r="111" spans="1:7" ht="15" customHeight="1" x14ac:dyDescent="0.25">
      <c r="A111" s="55" t="s">
        <v>209</v>
      </c>
      <c r="B111" s="56" t="s">
        <v>210</v>
      </c>
      <c r="C111" s="57"/>
      <c r="D111" s="57"/>
      <c r="E111" s="57"/>
      <c r="F111" s="57"/>
      <c r="G111" s="57"/>
    </row>
    <row r="112" spans="1:7" ht="15" customHeight="1" x14ac:dyDescent="0.25">
      <c r="A112" s="58"/>
      <c r="B112" s="59" t="s">
        <v>211</v>
      </c>
      <c r="C112" s="60">
        <v>240</v>
      </c>
      <c r="D112" s="61" t="s">
        <v>39</v>
      </c>
      <c r="E112" s="60">
        <v>440</v>
      </c>
      <c r="F112" s="60">
        <f>C112*E112</f>
        <v>105600</v>
      </c>
      <c r="G112" s="59" t="s">
        <v>143</v>
      </c>
    </row>
    <row r="113" spans="1:7" ht="15" customHeight="1" x14ac:dyDescent="0.25">
      <c r="A113" s="62"/>
      <c r="B113" s="63" t="s">
        <v>212</v>
      </c>
      <c r="C113" s="62"/>
      <c r="D113" s="62"/>
      <c r="E113" s="62"/>
      <c r="F113" s="64">
        <f>SUM(F111:F112)</f>
        <v>105600</v>
      </c>
      <c r="G113" s="62"/>
    </row>
    <row r="114" spans="1:7" ht="15" customHeight="1" x14ac:dyDescent="0.25">
      <c r="A114" s="55" t="s">
        <v>213</v>
      </c>
      <c r="B114" s="56" t="s">
        <v>214</v>
      </c>
      <c r="C114" s="57"/>
      <c r="D114" s="57"/>
      <c r="E114" s="57"/>
      <c r="F114" s="57"/>
      <c r="G114" s="57"/>
    </row>
    <row r="115" spans="1:7" ht="21.75" customHeight="1" x14ac:dyDescent="0.25">
      <c r="A115" s="58"/>
      <c r="B115" s="59" t="s">
        <v>215</v>
      </c>
      <c r="C115" s="60">
        <v>1</v>
      </c>
      <c r="D115" s="61" t="s">
        <v>192</v>
      </c>
      <c r="E115" s="60">
        <v>312000</v>
      </c>
      <c r="F115" s="60">
        <f>C115*E115</f>
        <v>312000</v>
      </c>
      <c r="G115" s="59" t="s">
        <v>216</v>
      </c>
    </row>
    <row r="116" spans="1:7" ht="21.75" customHeight="1" x14ac:dyDescent="0.25">
      <c r="A116" s="58"/>
      <c r="B116" s="59" t="s">
        <v>217</v>
      </c>
      <c r="C116" s="60">
        <v>1</v>
      </c>
      <c r="D116" s="61" t="s">
        <v>192</v>
      </c>
      <c r="E116" s="60">
        <v>156000</v>
      </c>
      <c r="F116" s="60">
        <f>C116*E116</f>
        <v>156000</v>
      </c>
      <c r="G116" s="59" t="s">
        <v>218</v>
      </c>
    </row>
    <row r="117" spans="1:7" ht="21.75" customHeight="1" x14ac:dyDescent="0.25">
      <c r="A117" s="58"/>
      <c r="B117" s="59" t="s">
        <v>219</v>
      </c>
      <c r="C117" s="60">
        <v>1</v>
      </c>
      <c r="D117" s="61" t="s">
        <v>192</v>
      </c>
      <c r="E117" s="60">
        <v>600000</v>
      </c>
      <c r="F117" s="60">
        <f>C117*E117</f>
        <v>600000</v>
      </c>
      <c r="G117" s="59" t="s">
        <v>220</v>
      </c>
    </row>
    <row r="118" spans="1:7" ht="15" customHeight="1" x14ac:dyDescent="0.25">
      <c r="A118" s="62"/>
      <c r="B118" s="63" t="s">
        <v>221</v>
      </c>
      <c r="C118" s="62"/>
      <c r="D118" s="62"/>
      <c r="E118" s="62"/>
      <c r="F118" s="64">
        <f>SUM(F114:F117)</f>
        <v>1068000</v>
      </c>
      <c r="G118" s="62"/>
    </row>
    <row r="120" spans="1:7" ht="21.75" customHeight="1" x14ac:dyDescent="0.25">
      <c r="A120" s="416" t="s">
        <v>222</v>
      </c>
      <c r="B120" s="416"/>
      <c r="C120" s="416"/>
      <c r="D120" s="416"/>
      <c r="E120" s="416"/>
      <c r="F120" s="416"/>
      <c r="G120" s="416"/>
    </row>
    <row r="121" spans="1:7" ht="30" customHeight="1" x14ac:dyDescent="0.25">
      <c r="A121" s="54" t="s">
        <v>3</v>
      </c>
      <c r="B121" s="54" t="s">
        <v>4</v>
      </c>
      <c r="C121" s="54" t="s">
        <v>5</v>
      </c>
      <c r="D121" s="54" t="s">
        <v>6</v>
      </c>
      <c r="E121" s="54" t="s">
        <v>7</v>
      </c>
      <c r="F121" s="54" t="s">
        <v>8</v>
      </c>
      <c r="G121" s="54" t="s">
        <v>9</v>
      </c>
    </row>
    <row r="122" spans="1:7" ht="15" customHeight="1" x14ac:dyDescent="0.25">
      <c r="A122" s="55" t="s">
        <v>223</v>
      </c>
      <c r="B122" s="56" t="s">
        <v>224</v>
      </c>
      <c r="C122" s="57"/>
      <c r="D122" s="57"/>
      <c r="E122" s="57"/>
      <c r="F122" s="57"/>
      <c r="G122" s="57"/>
    </row>
    <row r="123" spans="1:7" ht="15" customHeight="1" x14ac:dyDescent="0.25">
      <c r="A123" s="58"/>
      <c r="B123" s="59" t="s">
        <v>225</v>
      </c>
      <c r="C123" s="60">
        <v>2100</v>
      </c>
      <c r="D123" s="61" t="s">
        <v>18</v>
      </c>
      <c r="E123" s="60">
        <v>30</v>
      </c>
      <c r="F123" s="60">
        <f t="shared" ref="F123:F129" si="4">C123*E123</f>
        <v>63000</v>
      </c>
      <c r="G123" s="59" t="s">
        <v>226</v>
      </c>
    </row>
    <row r="124" spans="1:7" ht="15" customHeight="1" x14ac:dyDescent="0.25">
      <c r="A124" s="58"/>
      <c r="B124" s="59" t="s">
        <v>227</v>
      </c>
      <c r="C124" s="60">
        <v>1750</v>
      </c>
      <c r="D124" s="61" t="s">
        <v>13</v>
      </c>
      <c r="E124" s="60">
        <v>30</v>
      </c>
      <c r="F124" s="60">
        <f t="shared" si="4"/>
        <v>52500</v>
      </c>
      <c r="G124" s="59"/>
    </row>
    <row r="125" spans="1:7" ht="15" customHeight="1" x14ac:dyDescent="0.25">
      <c r="A125" s="58"/>
      <c r="B125" s="59" t="s">
        <v>228</v>
      </c>
      <c r="C125" s="60">
        <v>88</v>
      </c>
      <c r="D125" s="61" t="s">
        <v>18</v>
      </c>
      <c r="E125" s="60">
        <v>280</v>
      </c>
      <c r="F125" s="60">
        <f t="shared" si="4"/>
        <v>24640</v>
      </c>
      <c r="G125" s="59"/>
    </row>
    <row r="126" spans="1:7" ht="15" customHeight="1" x14ac:dyDescent="0.25">
      <c r="A126" s="58"/>
      <c r="B126" s="59" t="s">
        <v>229</v>
      </c>
      <c r="C126" s="60">
        <v>263</v>
      </c>
      <c r="D126" s="61" t="s">
        <v>18</v>
      </c>
      <c r="E126" s="60">
        <v>90</v>
      </c>
      <c r="F126" s="60">
        <f t="shared" si="4"/>
        <v>23670</v>
      </c>
      <c r="G126" s="59"/>
    </row>
    <row r="127" spans="1:7" ht="15" customHeight="1" x14ac:dyDescent="0.25">
      <c r="A127" s="58"/>
      <c r="B127" s="59" t="s">
        <v>230</v>
      </c>
      <c r="C127" s="60">
        <v>875</v>
      </c>
      <c r="D127" s="61" t="s">
        <v>18</v>
      </c>
      <c r="E127" s="60">
        <v>380</v>
      </c>
      <c r="F127" s="60">
        <f t="shared" si="4"/>
        <v>332500</v>
      </c>
      <c r="G127" s="59"/>
    </row>
    <row r="128" spans="1:7" ht="15" customHeight="1" x14ac:dyDescent="0.25">
      <c r="A128" s="58"/>
      <c r="B128" s="59" t="s">
        <v>231</v>
      </c>
      <c r="C128" s="60">
        <v>105</v>
      </c>
      <c r="D128" s="61" t="s">
        <v>36</v>
      </c>
      <c r="E128" s="60">
        <v>1750</v>
      </c>
      <c r="F128" s="60">
        <f t="shared" si="4"/>
        <v>183750</v>
      </c>
      <c r="G128" s="59"/>
    </row>
    <row r="129" spans="1:7" ht="15" customHeight="1" x14ac:dyDescent="0.25">
      <c r="A129" s="58"/>
      <c r="B129" s="59" t="s">
        <v>38</v>
      </c>
      <c r="C129" s="60">
        <v>5</v>
      </c>
      <c r="D129" s="61" t="s">
        <v>39</v>
      </c>
      <c r="E129" s="60">
        <v>1800</v>
      </c>
      <c r="F129" s="60">
        <f t="shared" si="4"/>
        <v>9000</v>
      </c>
      <c r="G129" s="59"/>
    </row>
    <row r="130" spans="1:7" ht="15" customHeight="1" x14ac:dyDescent="0.25">
      <c r="A130" s="62"/>
      <c r="B130" s="63" t="s">
        <v>232</v>
      </c>
      <c r="C130" s="62"/>
      <c r="D130" s="62"/>
      <c r="E130" s="62"/>
      <c r="F130" s="64">
        <f>SUM(F122:F129)</f>
        <v>689060</v>
      </c>
      <c r="G130" s="62"/>
    </row>
    <row r="131" spans="1:7" ht="15" customHeight="1" x14ac:dyDescent="0.25">
      <c r="A131" s="55" t="s">
        <v>233</v>
      </c>
      <c r="B131" s="56" t="s">
        <v>234</v>
      </c>
      <c r="C131" s="57"/>
      <c r="D131" s="57"/>
      <c r="E131" s="57"/>
      <c r="F131" s="57"/>
      <c r="G131" s="57"/>
    </row>
    <row r="132" spans="1:7" ht="15" customHeight="1" x14ac:dyDescent="0.25">
      <c r="A132" s="58"/>
      <c r="B132" s="59" t="s">
        <v>235</v>
      </c>
      <c r="C132" s="60">
        <v>3500</v>
      </c>
      <c r="D132" s="61" t="s">
        <v>13</v>
      </c>
      <c r="E132" s="60">
        <v>320</v>
      </c>
      <c r="F132" s="60">
        <f>C132*E132</f>
        <v>1120000</v>
      </c>
      <c r="G132" s="59" t="s">
        <v>236</v>
      </c>
    </row>
    <row r="133" spans="1:7" ht="15" customHeight="1" x14ac:dyDescent="0.25">
      <c r="A133" s="58"/>
      <c r="B133" s="59" t="s">
        <v>237</v>
      </c>
      <c r="C133" s="60">
        <v>1750</v>
      </c>
      <c r="D133" s="61" t="s">
        <v>13</v>
      </c>
      <c r="E133" s="60">
        <v>290</v>
      </c>
      <c r="F133" s="60">
        <f>C133*E133</f>
        <v>507500</v>
      </c>
      <c r="G133" s="59" t="s">
        <v>238</v>
      </c>
    </row>
    <row r="134" spans="1:7" ht="15" customHeight="1" x14ac:dyDescent="0.25">
      <c r="A134" s="58"/>
      <c r="B134" s="59" t="s">
        <v>239</v>
      </c>
      <c r="C134" s="60">
        <v>1900</v>
      </c>
      <c r="D134" s="61" t="s">
        <v>13</v>
      </c>
      <c r="E134" s="60">
        <v>165</v>
      </c>
      <c r="F134" s="60">
        <f>C134*E134</f>
        <v>313500</v>
      </c>
      <c r="G134" s="59" t="s">
        <v>74</v>
      </c>
    </row>
    <row r="135" spans="1:7" ht="15" customHeight="1" x14ac:dyDescent="0.25">
      <c r="A135" s="58"/>
      <c r="B135" s="59" t="s">
        <v>240</v>
      </c>
      <c r="C135" s="60">
        <v>1</v>
      </c>
      <c r="D135" s="61" t="s">
        <v>192</v>
      </c>
      <c r="E135" s="60">
        <v>45000</v>
      </c>
      <c r="F135" s="60">
        <f>C135*E135</f>
        <v>45000</v>
      </c>
      <c r="G135" s="59"/>
    </row>
    <row r="136" spans="1:7" ht="15" customHeight="1" x14ac:dyDescent="0.25">
      <c r="A136" s="62"/>
      <c r="B136" s="63" t="s">
        <v>241</v>
      </c>
      <c r="C136" s="62"/>
      <c r="D136" s="62"/>
      <c r="E136" s="62"/>
      <c r="F136" s="64">
        <f>SUM(F131:F135)</f>
        <v>1986000</v>
      </c>
      <c r="G136" s="62"/>
    </row>
    <row r="137" spans="1:7" ht="15" customHeight="1" x14ac:dyDescent="0.25">
      <c r="A137" s="55" t="s">
        <v>242</v>
      </c>
      <c r="B137" s="56" t="s">
        <v>243</v>
      </c>
      <c r="C137" s="57"/>
      <c r="D137" s="57"/>
      <c r="E137" s="57"/>
      <c r="F137" s="57"/>
      <c r="G137" s="57"/>
    </row>
    <row r="138" spans="1:7" ht="15" customHeight="1" x14ac:dyDescent="0.25">
      <c r="A138" s="58"/>
      <c r="B138" s="59" t="s">
        <v>244</v>
      </c>
      <c r="C138" s="60">
        <v>4</v>
      </c>
      <c r="D138" s="61" t="s">
        <v>245</v>
      </c>
      <c r="E138" s="60">
        <v>36000</v>
      </c>
      <c r="F138" s="60">
        <f>C138*E138</f>
        <v>144000</v>
      </c>
      <c r="G138" s="59" t="s">
        <v>246</v>
      </c>
    </row>
    <row r="139" spans="1:7" ht="15" customHeight="1" x14ac:dyDescent="0.25">
      <c r="A139" s="58"/>
      <c r="B139" s="59" t="s">
        <v>247</v>
      </c>
      <c r="C139" s="60">
        <v>1</v>
      </c>
      <c r="D139" s="61" t="s">
        <v>39</v>
      </c>
      <c r="E139" s="60">
        <v>60000</v>
      </c>
      <c r="F139" s="60">
        <f>C139*E139</f>
        <v>60000</v>
      </c>
      <c r="G139" s="59" t="s">
        <v>248</v>
      </c>
    </row>
    <row r="140" spans="1:7" ht="15" customHeight="1" x14ac:dyDescent="0.25">
      <c r="A140" s="62"/>
      <c r="B140" s="63" t="s">
        <v>249</v>
      </c>
      <c r="C140" s="62"/>
      <c r="D140" s="62"/>
      <c r="E140" s="62"/>
      <c r="F140" s="64">
        <f>SUM(F137:F139)</f>
        <v>204000</v>
      </c>
      <c r="G140" s="62"/>
    </row>
    <row r="141" spans="1:7" ht="15" customHeight="1" x14ac:dyDescent="0.25">
      <c r="A141" s="55" t="s">
        <v>250</v>
      </c>
      <c r="B141" s="56" t="s">
        <v>251</v>
      </c>
      <c r="C141" s="57"/>
      <c r="D141" s="57"/>
      <c r="E141" s="57"/>
      <c r="F141" s="57"/>
      <c r="G141" s="57"/>
    </row>
    <row r="142" spans="1:7" ht="21.75" customHeight="1" x14ac:dyDescent="0.25">
      <c r="A142" s="58"/>
      <c r="B142" s="59" t="s">
        <v>252</v>
      </c>
      <c r="C142" s="60">
        <v>1680</v>
      </c>
      <c r="D142" s="61" t="s">
        <v>13</v>
      </c>
      <c r="E142" s="60">
        <v>415</v>
      </c>
      <c r="F142" s="60">
        <f t="shared" ref="F142:F147" si="5">C142*E142</f>
        <v>697200</v>
      </c>
      <c r="G142" s="59" t="s">
        <v>253</v>
      </c>
    </row>
    <row r="143" spans="1:7" ht="21.75" customHeight="1" x14ac:dyDescent="0.25">
      <c r="A143" s="58"/>
      <c r="B143" s="59" t="s">
        <v>254</v>
      </c>
      <c r="C143" s="60">
        <v>480</v>
      </c>
      <c r="D143" s="61" t="s">
        <v>13</v>
      </c>
      <c r="E143" s="60">
        <v>525</v>
      </c>
      <c r="F143" s="60">
        <f t="shared" si="5"/>
        <v>252000</v>
      </c>
      <c r="G143" s="59" t="s">
        <v>255</v>
      </c>
    </row>
    <row r="144" spans="1:7" ht="15" customHeight="1" x14ac:dyDescent="0.25">
      <c r="A144" s="58"/>
      <c r="B144" s="59" t="s">
        <v>256</v>
      </c>
      <c r="C144" s="60">
        <v>240</v>
      </c>
      <c r="D144" s="61" t="s">
        <v>13</v>
      </c>
      <c r="E144" s="60">
        <v>380</v>
      </c>
      <c r="F144" s="60">
        <f t="shared" si="5"/>
        <v>91200</v>
      </c>
      <c r="G144" s="59"/>
    </row>
    <row r="145" spans="1:7" ht="15" customHeight="1" x14ac:dyDescent="0.25">
      <c r="A145" s="58"/>
      <c r="B145" s="59" t="s">
        <v>257</v>
      </c>
      <c r="C145" s="60">
        <v>24</v>
      </c>
      <c r="D145" s="61" t="s">
        <v>39</v>
      </c>
      <c r="E145" s="60">
        <v>4000</v>
      </c>
      <c r="F145" s="60">
        <f t="shared" si="5"/>
        <v>96000</v>
      </c>
      <c r="G145" s="59"/>
    </row>
    <row r="146" spans="1:7" ht="15" customHeight="1" x14ac:dyDescent="0.25">
      <c r="A146" s="58"/>
      <c r="B146" s="59" t="s">
        <v>258</v>
      </c>
      <c r="C146" s="60">
        <v>8</v>
      </c>
      <c r="D146" s="61" t="s">
        <v>39</v>
      </c>
      <c r="E146" s="60">
        <v>9000</v>
      </c>
      <c r="F146" s="60">
        <f t="shared" si="5"/>
        <v>72000</v>
      </c>
      <c r="G146" s="59"/>
    </row>
    <row r="147" spans="1:7" ht="15" customHeight="1" x14ac:dyDescent="0.25">
      <c r="A147" s="58"/>
      <c r="B147" s="59" t="s">
        <v>259</v>
      </c>
      <c r="C147" s="60">
        <v>1</v>
      </c>
      <c r="D147" s="61" t="s">
        <v>192</v>
      </c>
      <c r="E147" s="60">
        <v>132000</v>
      </c>
      <c r="F147" s="60">
        <f t="shared" si="5"/>
        <v>132000</v>
      </c>
      <c r="G147" s="59"/>
    </row>
    <row r="148" spans="1:7" ht="15" customHeight="1" x14ac:dyDescent="0.25">
      <c r="A148" s="62"/>
      <c r="B148" s="63" t="s">
        <v>260</v>
      </c>
      <c r="C148" s="62"/>
      <c r="D148" s="62"/>
      <c r="E148" s="62"/>
      <c r="F148" s="64">
        <f>SUM(F141:F147)</f>
        <v>1340400</v>
      </c>
      <c r="G148" s="62"/>
    </row>
    <row r="149" spans="1:7" ht="15" customHeight="1" x14ac:dyDescent="0.25">
      <c r="A149" s="55" t="s">
        <v>261</v>
      </c>
      <c r="B149" s="56" t="s">
        <v>262</v>
      </c>
      <c r="C149" s="57"/>
      <c r="D149" s="57"/>
      <c r="E149" s="57"/>
      <c r="F149" s="57"/>
      <c r="G149" s="57"/>
    </row>
    <row r="150" spans="1:7" ht="15" customHeight="1" x14ac:dyDescent="0.25">
      <c r="A150" s="58"/>
      <c r="B150" s="59" t="s">
        <v>263</v>
      </c>
      <c r="C150" s="60">
        <v>4500</v>
      </c>
      <c r="D150" s="61" t="s">
        <v>13</v>
      </c>
      <c r="E150" s="60">
        <v>105</v>
      </c>
      <c r="F150" s="60">
        <f>C150*E150</f>
        <v>472500</v>
      </c>
      <c r="G150" s="59"/>
    </row>
    <row r="151" spans="1:7" ht="15" customHeight="1" x14ac:dyDescent="0.25">
      <c r="A151" s="58"/>
      <c r="B151" s="59" t="s">
        <v>264</v>
      </c>
      <c r="C151" s="60">
        <v>30</v>
      </c>
      <c r="D151" s="61" t="s">
        <v>39</v>
      </c>
      <c r="E151" s="60">
        <v>1500</v>
      </c>
      <c r="F151" s="60">
        <f>C151*E151</f>
        <v>45000</v>
      </c>
      <c r="G151" s="59" t="s">
        <v>265</v>
      </c>
    </row>
    <row r="152" spans="1:7" ht="15" customHeight="1" x14ac:dyDescent="0.25">
      <c r="A152" s="58"/>
      <c r="B152" s="59" t="s">
        <v>266</v>
      </c>
      <c r="C152" s="60">
        <v>60</v>
      </c>
      <c r="D152" s="61" t="s">
        <v>39</v>
      </c>
      <c r="E152" s="60">
        <v>1500</v>
      </c>
      <c r="F152" s="60">
        <f>C152*E152</f>
        <v>90000</v>
      </c>
      <c r="G152" s="59"/>
    </row>
    <row r="153" spans="1:7" ht="15" customHeight="1" x14ac:dyDescent="0.25">
      <c r="A153" s="58"/>
      <c r="B153" s="59" t="s">
        <v>267</v>
      </c>
      <c r="C153" s="60">
        <v>80</v>
      </c>
      <c r="D153" s="61" t="s">
        <v>13</v>
      </c>
      <c r="E153" s="60">
        <v>450</v>
      </c>
      <c r="F153" s="60">
        <f>C153*E153</f>
        <v>36000</v>
      </c>
      <c r="G153" s="59"/>
    </row>
    <row r="154" spans="1:7" ht="15" customHeight="1" x14ac:dyDescent="0.25">
      <c r="A154" s="62"/>
      <c r="B154" s="63" t="s">
        <v>268</v>
      </c>
      <c r="C154" s="62"/>
      <c r="D154" s="62"/>
      <c r="E154" s="62"/>
      <c r="F154" s="64">
        <f>SUM(F149:F153)</f>
        <v>643500</v>
      </c>
      <c r="G154" s="62"/>
    </row>
    <row r="155" spans="1:7" ht="15" customHeight="1" x14ac:dyDescent="0.25">
      <c r="A155" s="55" t="s">
        <v>269</v>
      </c>
      <c r="B155" s="56" t="s">
        <v>270</v>
      </c>
      <c r="C155" s="57"/>
      <c r="D155" s="57"/>
      <c r="E155" s="57"/>
      <c r="F155" s="57"/>
      <c r="G155" s="57"/>
    </row>
    <row r="156" spans="1:7" ht="15" customHeight="1" x14ac:dyDescent="0.25">
      <c r="A156" s="58"/>
      <c r="B156" s="59" t="s">
        <v>271</v>
      </c>
      <c r="C156" s="60">
        <v>1750</v>
      </c>
      <c r="D156" s="61" t="s">
        <v>13</v>
      </c>
      <c r="E156" s="60">
        <v>25</v>
      </c>
      <c r="F156" s="60">
        <f t="shared" ref="F156:F166" si="6">C156*E156</f>
        <v>43750</v>
      </c>
      <c r="G156" s="59"/>
    </row>
    <row r="157" spans="1:7" ht="21.75" customHeight="1" x14ac:dyDescent="0.25">
      <c r="A157" s="58"/>
      <c r="B157" s="59" t="s">
        <v>272</v>
      </c>
      <c r="C157" s="60">
        <v>1400</v>
      </c>
      <c r="D157" s="61" t="s">
        <v>13</v>
      </c>
      <c r="E157" s="60">
        <v>70</v>
      </c>
      <c r="F157" s="60">
        <f t="shared" si="6"/>
        <v>98000</v>
      </c>
      <c r="G157" s="59" t="s">
        <v>273</v>
      </c>
    </row>
    <row r="158" spans="1:7" ht="15" customHeight="1" x14ac:dyDescent="0.25">
      <c r="A158" s="58"/>
      <c r="B158" s="59" t="s">
        <v>274</v>
      </c>
      <c r="C158" s="60">
        <v>1500</v>
      </c>
      <c r="D158" s="61" t="s">
        <v>13</v>
      </c>
      <c r="E158" s="60">
        <v>110</v>
      </c>
      <c r="F158" s="60">
        <f t="shared" si="6"/>
        <v>165000</v>
      </c>
      <c r="G158" s="59" t="s">
        <v>275</v>
      </c>
    </row>
    <row r="159" spans="1:7" ht="15" customHeight="1" x14ac:dyDescent="0.25">
      <c r="A159" s="58"/>
      <c r="B159" s="59" t="s">
        <v>276</v>
      </c>
      <c r="C159" s="60">
        <v>800</v>
      </c>
      <c r="D159" s="61" t="s">
        <v>66</v>
      </c>
      <c r="E159" s="60">
        <v>18</v>
      </c>
      <c r="F159" s="60">
        <f t="shared" si="6"/>
        <v>14400</v>
      </c>
      <c r="G159" s="59"/>
    </row>
    <row r="160" spans="1:7" ht="15" customHeight="1" x14ac:dyDescent="0.25">
      <c r="A160" s="58"/>
      <c r="B160" s="59" t="s">
        <v>277</v>
      </c>
      <c r="C160" s="60">
        <v>9000</v>
      </c>
      <c r="D160" s="61" t="s">
        <v>13</v>
      </c>
      <c r="E160" s="60">
        <v>16</v>
      </c>
      <c r="F160" s="60">
        <f t="shared" si="6"/>
        <v>144000</v>
      </c>
      <c r="G160" s="59" t="s">
        <v>278</v>
      </c>
    </row>
    <row r="161" spans="1:7" ht="15" customHeight="1" x14ac:dyDescent="0.25">
      <c r="A161" s="58"/>
      <c r="B161" s="59" t="s">
        <v>279</v>
      </c>
      <c r="C161" s="60">
        <v>600</v>
      </c>
      <c r="D161" s="61" t="s">
        <v>13</v>
      </c>
      <c r="E161" s="60">
        <v>110</v>
      </c>
      <c r="F161" s="60">
        <f t="shared" si="6"/>
        <v>66000</v>
      </c>
      <c r="G161" s="59"/>
    </row>
    <row r="162" spans="1:7" ht="15" customHeight="1" x14ac:dyDescent="0.25">
      <c r="A162" s="58"/>
      <c r="B162" s="59" t="s">
        <v>280</v>
      </c>
      <c r="C162" s="60">
        <v>800</v>
      </c>
      <c r="D162" s="61" t="s">
        <v>13</v>
      </c>
      <c r="E162" s="60">
        <v>60</v>
      </c>
      <c r="F162" s="60">
        <f t="shared" si="6"/>
        <v>48000</v>
      </c>
      <c r="G162" s="59" t="s">
        <v>281</v>
      </c>
    </row>
    <row r="163" spans="1:7" ht="15" customHeight="1" x14ac:dyDescent="0.25">
      <c r="A163" s="58"/>
      <c r="B163" s="59" t="s">
        <v>282</v>
      </c>
      <c r="C163" s="60">
        <v>700</v>
      </c>
      <c r="D163" s="61" t="s">
        <v>13</v>
      </c>
      <c r="E163" s="60">
        <v>130</v>
      </c>
      <c r="F163" s="60">
        <f t="shared" si="6"/>
        <v>91000</v>
      </c>
      <c r="G163" s="59" t="s">
        <v>283</v>
      </c>
    </row>
    <row r="164" spans="1:7" ht="15" customHeight="1" x14ac:dyDescent="0.25">
      <c r="A164" s="58"/>
      <c r="B164" s="59" t="s">
        <v>284</v>
      </c>
      <c r="C164" s="60">
        <v>1800</v>
      </c>
      <c r="D164" s="61" t="s">
        <v>13</v>
      </c>
      <c r="E164" s="60">
        <v>50</v>
      </c>
      <c r="F164" s="60">
        <f t="shared" si="6"/>
        <v>90000</v>
      </c>
      <c r="G164" s="59" t="s">
        <v>285</v>
      </c>
    </row>
    <row r="165" spans="1:7" ht="15" customHeight="1" x14ac:dyDescent="0.25">
      <c r="A165" s="58"/>
      <c r="B165" s="59" t="s">
        <v>286</v>
      </c>
      <c r="C165" s="60">
        <v>350</v>
      </c>
      <c r="D165" s="61" t="s">
        <v>13</v>
      </c>
      <c r="E165" s="60">
        <v>100</v>
      </c>
      <c r="F165" s="60">
        <f t="shared" si="6"/>
        <v>35000</v>
      </c>
      <c r="G165" s="59"/>
    </row>
    <row r="166" spans="1:7" ht="15" customHeight="1" x14ac:dyDescent="0.25">
      <c r="A166" s="58"/>
      <c r="B166" s="59" t="s">
        <v>287</v>
      </c>
      <c r="C166" s="60">
        <v>250</v>
      </c>
      <c r="D166" s="61" t="s">
        <v>13</v>
      </c>
      <c r="E166" s="60">
        <v>100</v>
      </c>
      <c r="F166" s="60">
        <f t="shared" si="6"/>
        <v>25000</v>
      </c>
      <c r="G166" s="59" t="s">
        <v>150</v>
      </c>
    </row>
    <row r="167" spans="1:7" ht="15" customHeight="1" x14ac:dyDescent="0.25">
      <c r="A167" s="62"/>
      <c r="B167" s="63" t="s">
        <v>288</v>
      </c>
      <c r="C167" s="62"/>
      <c r="D167" s="62"/>
      <c r="E167" s="62"/>
      <c r="F167" s="64">
        <f>SUM(F155:F166)</f>
        <v>820150</v>
      </c>
      <c r="G167" s="62"/>
    </row>
    <row r="168" spans="1:7" ht="15" customHeight="1" x14ac:dyDescent="0.25">
      <c r="A168" s="55" t="s">
        <v>289</v>
      </c>
      <c r="B168" s="56" t="s">
        <v>290</v>
      </c>
      <c r="C168" s="57"/>
      <c r="D168" s="57"/>
      <c r="E168" s="57"/>
      <c r="F168" s="57"/>
      <c r="G168" s="57"/>
    </row>
    <row r="169" spans="1:7" ht="15" customHeight="1" x14ac:dyDescent="0.25">
      <c r="A169" s="58"/>
      <c r="B169" s="59" t="s">
        <v>291</v>
      </c>
      <c r="C169" s="60">
        <v>1</v>
      </c>
      <c r="D169" s="61" t="s">
        <v>192</v>
      </c>
      <c r="E169" s="60">
        <v>360000</v>
      </c>
      <c r="F169" s="60">
        <f t="shared" ref="F169:F176" si="7">C169*E169</f>
        <v>360000</v>
      </c>
      <c r="G169" s="59" t="s">
        <v>292</v>
      </c>
    </row>
    <row r="170" spans="1:7" ht="15" customHeight="1" x14ac:dyDescent="0.25">
      <c r="A170" s="58"/>
      <c r="B170" s="59" t="s">
        <v>293</v>
      </c>
      <c r="C170" s="60">
        <v>1</v>
      </c>
      <c r="D170" s="61" t="s">
        <v>192</v>
      </c>
      <c r="E170" s="60">
        <v>90000</v>
      </c>
      <c r="F170" s="60">
        <f t="shared" si="7"/>
        <v>90000</v>
      </c>
      <c r="G170" s="59"/>
    </row>
    <row r="171" spans="1:7" ht="15" customHeight="1" x14ac:dyDescent="0.25">
      <c r="A171" s="58"/>
      <c r="B171" s="59" t="s">
        <v>294</v>
      </c>
      <c r="C171" s="60">
        <v>1</v>
      </c>
      <c r="D171" s="61" t="s">
        <v>192</v>
      </c>
      <c r="E171" s="60">
        <v>180000</v>
      </c>
      <c r="F171" s="60">
        <f t="shared" si="7"/>
        <v>180000</v>
      </c>
      <c r="G171" s="59"/>
    </row>
    <row r="172" spans="1:7" ht="15" customHeight="1" x14ac:dyDescent="0.25">
      <c r="A172" s="58"/>
      <c r="B172" s="59" t="s">
        <v>295</v>
      </c>
      <c r="C172" s="60">
        <v>1</v>
      </c>
      <c r="D172" s="61" t="s">
        <v>192</v>
      </c>
      <c r="E172" s="60">
        <v>280000</v>
      </c>
      <c r="F172" s="60">
        <f t="shared" si="7"/>
        <v>280000</v>
      </c>
      <c r="G172" s="59"/>
    </row>
    <row r="173" spans="1:7" ht="15" customHeight="1" x14ac:dyDescent="0.25">
      <c r="A173" s="58"/>
      <c r="B173" s="59" t="s">
        <v>296</v>
      </c>
      <c r="C173" s="60">
        <v>1</v>
      </c>
      <c r="D173" s="61" t="s">
        <v>192</v>
      </c>
      <c r="E173" s="60">
        <v>90000</v>
      </c>
      <c r="F173" s="60">
        <f t="shared" si="7"/>
        <v>90000</v>
      </c>
      <c r="G173" s="59"/>
    </row>
    <row r="174" spans="1:7" ht="15" customHeight="1" x14ac:dyDescent="0.25">
      <c r="A174" s="58"/>
      <c r="B174" s="59" t="s">
        <v>297</v>
      </c>
      <c r="C174" s="60">
        <v>1</v>
      </c>
      <c r="D174" s="61" t="s">
        <v>192</v>
      </c>
      <c r="E174" s="60">
        <v>305000</v>
      </c>
      <c r="F174" s="60">
        <f t="shared" si="7"/>
        <v>305000</v>
      </c>
      <c r="G174" s="59"/>
    </row>
    <row r="175" spans="1:7" ht="15" customHeight="1" x14ac:dyDescent="0.25">
      <c r="A175" s="58"/>
      <c r="B175" s="59" t="s">
        <v>298</v>
      </c>
      <c r="C175" s="60">
        <v>1</v>
      </c>
      <c r="D175" s="61" t="s">
        <v>192</v>
      </c>
      <c r="E175" s="60">
        <v>36000</v>
      </c>
      <c r="F175" s="60">
        <f t="shared" si="7"/>
        <v>36000</v>
      </c>
      <c r="G175" s="59"/>
    </row>
    <row r="176" spans="1:7" ht="15" customHeight="1" x14ac:dyDescent="0.25">
      <c r="A176" s="58"/>
      <c r="B176" s="59" t="s">
        <v>299</v>
      </c>
      <c r="C176" s="60">
        <v>1</v>
      </c>
      <c r="D176" s="61" t="s">
        <v>192</v>
      </c>
      <c r="E176" s="60">
        <v>126000</v>
      </c>
      <c r="F176" s="60">
        <f t="shared" si="7"/>
        <v>126000</v>
      </c>
      <c r="G176" s="59"/>
    </row>
    <row r="177" spans="1:7" ht="15" customHeight="1" x14ac:dyDescent="0.25">
      <c r="A177" s="62"/>
      <c r="B177" s="63" t="s">
        <v>300</v>
      </c>
      <c r="C177" s="62"/>
      <c r="D177" s="62"/>
      <c r="E177" s="62"/>
      <c r="F177" s="64">
        <f>SUM(F168:F176)</f>
        <v>1467000</v>
      </c>
      <c r="G177" s="62"/>
    </row>
    <row r="178" spans="1:7" ht="15" customHeight="1" x14ac:dyDescent="0.25">
      <c r="A178" s="55" t="s">
        <v>301</v>
      </c>
      <c r="B178" s="56" t="s">
        <v>302</v>
      </c>
      <c r="C178" s="57"/>
      <c r="D178" s="57"/>
      <c r="E178" s="57"/>
      <c r="F178" s="57"/>
      <c r="G178" s="57"/>
    </row>
    <row r="179" spans="1:7" ht="15" customHeight="1" x14ac:dyDescent="0.25">
      <c r="A179" s="58"/>
      <c r="B179" s="59" t="s">
        <v>303</v>
      </c>
      <c r="C179" s="60">
        <v>1</v>
      </c>
      <c r="D179" s="61" t="s">
        <v>192</v>
      </c>
      <c r="E179" s="60">
        <v>48000</v>
      </c>
      <c r="F179" s="60">
        <f>C179*E179</f>
        <v>48000</v>
      </c>
      <c r="G179" s="59"/>
    </row>
    <row r="180" spans="1:7" ht="15" customHeight="1" x14ac:dyDescent="0.25">
      <c r="A180" s="58"/>
      <c r="B180" s="59" t="s">
        <v>219</v>
      </c>
      <c r="C180" s="60">
        <v>1</v>
      </c>
      <c r="D180" s="61" t="s">
        <v>192</v>
      </c>
      <c r="E180" s="60">
        <v>78000</v>
      </c>
      <c r="F180" s="60">
        <f>C180*E180</f>
        <v>78000</v>
      </c>
      <c r="G180" s="59"/>
    </row>
    <row r="181" spans="1:7" ht="15" customHeight="1" x14ac:dyDescent="0.25">
      <c r="A181" s="62"/>
      <c r="B181" s="63" t="s">
        <v>304</v>
      </c>
      <c r="C181" s="62"/>
      <c r="D181" s="62"/>
      <c r="E181" s="62"/>
      <c r="F181" s="64">
        <f>SUM(F178:F180)</f>
        <v>126000</v>
      </c>
      <c r="G181" s="62"/>
    </row>
    <row r="183" spans="1:7" ht="21.75" customHeight="1" x14ac:dyDescent="0.25">
      <c r="A183" s="416" t="s">
        <v>305</v>
      </c>
      <c r="B183" s="416"/>
      <c r="C183" s="416"/>
      <c r="D183" s="416"/>
      <c r="E183" s="416"/>
      <c r="F183" s="416"/>
      <c r="G183" s="416"/>
    </row>
    <row r="184" spans="1:7" ht="30" customHeight="1" x14ac:dyDescent="0.25">
      <c r="A184" s="54" t="s">
        <v>3</v>
      </c>
      <c r="B184" s="54" t="s">
        <v>4</v>
      </c>
      <c r="C184" s="54" t="s">
        <v>5</v>
      </c>
      <c r="D184" s="54" t="s">
        <v>6</v>
      </c>
      <c r="E184" s="54" t="s">
        <v>7</v>
      </c>
      <c r="F184" s="54" t="s">
        <v>8</v>
      </c>
      <c r="G184" s="54" t="s">
        <v>9</v>
      </c>
    </row>
    <row r="185" spans="1:7" ht="15" customHeight="1" x14ac:dyDescent="0.25">
      <c r="A185" s="55" t="s">
        <v>306</v>
      </c>
      <c r="B185" s="56" t="s">
        <v>224</v>
      </c>
      <c r="C185" s="57"/>
      <c r="D185" s="57"/>
      <c r="E185" s="57"/>
      <c r="F185" s="57"/>
      <c r="G185" s="57"/>
    </row>
    <row r="186" spans="1:7" ht="15" customHeight="1" x14ac:dyDescent="0.25">
      <c r="A186" s="58"/>
      <c r="B186" s="59" t="s">
        <v>307</v>
      </c>
      <c r="C186" s="60">
        <v>1200</v>
      </c>
      <c r="D186" s="61" t="s">
        <v>18</v>
      </c>
      <c r="E186" s="60">
        <v>30</v>
      </c>
      <c r="F186" s="60">
        <f>C186*E186</f>
        <v>36000</v>
      </c>
      <c r="G186" s="59" t="s">
        <v>308</v>
      </c>
    </row>
    <row r="187" spans="1:7" ht="15" customHeight="1" x14ac:dyDescent="0.25">
      <c r="A187" s="58"/>
      <c r="B187" s="59" t="s">
        <v>309</v>
      </c>
      <c r="C187" s="60">
        <v>1000</v>
      </c>
      <c r="D187" s="61" t="s">
        <v>13</v>
      </c>
      <c r="E187" s="60">
        <v>24</v>
      </c>
      <c r="F187" s="60">
        <f>C187*E187</f>
        <v>24000</v>
      </c>
      <c r="G187" s="59"/>
    </row>
    <row r="188" spans="1:7" ht="15" customHeight="1" x14ac:dyDescent="0.25">
      <c r="A188" s="58"/>
      <c r="B188" s="59" t="s">
        <v>310</v>
      </c>
      <c r="C188" s="60">
        <v>1</v>
      </c>
      <c r="D188" s="61" t="s">
        <v>192</v>
      </c>
      <c r="E188" s="60">
        <v>51000</v>
      </c>
      <c r="F188" s="60">
        <f>C188*E188</f>
        <v>51000</v>
      </c>
      <c r="G188" s="59"/>
    </row>
    <row r="189" spans="1:7" ht="15" customHeight="1" x14ac:dyDescent="0.25">
      <c r="A189" s="58"/>
      <c r="B189" s="59" t="s">
        <v>311</v>
      </c>
      <c r="C189" s="60">
        <v>500</v>
      </c>
      <c r="D189" s="61" t="s">
        <v>18</v>
      </c>
      <c r="E189" s="60">
        <v>540</v>
      </c>
      <c r="F189" s="60">
        <f>C189*E189</f>
        <v>270000</v>
      </c>
      <c r="G189" s="59" t="s">
        <v>312</v>
      </c>
    </row>
    <row r="190" spans="1:7" ht="15" customHeight="1" x14ac:dyDescent="0.25">
      <c r="A190" s="58"/>
      <c r="B190" s="59" t="s">
        <v>38</v>
      </c>
      <c r="C190" s="60">
        <v>5</v>
      </c>
      <c r="D190" s="61" t="s">
        <v>39</v>
      </c>
      <c r="E190" s="60">
        <v>1800</v>
      </c>
      <c r="F190" s="60">
        <f>C190*E190</f>
        <v>9000</v>
      </c>
      <c r="G190" s="59"/>
    </row>
    <row r="191" spans="1:7" ht="15" customHeight="1" x14ac:dyDescent="0.25">
      <c r="A191" s="62"/>
      <c r="B191" s="63" t="s">
        <v>232</v>
      </c>
      <c r="C191" s="62"/>
      <c r="D191" s="62"/>
      <c r="E191" s="62"/>
      <c r="F191" s="64">
        <f>SUM(F185:F190)</f>
        <v>390000</v>
      </c>
      <c r="G191" s="62"/>
    </row>
    <row r="192" spans="1:7" ht="15" customHeight="1" x14ac:dyDescent="0.25">
      <c r="A192" s="55" t="s">
        <v>313</v>
      </c>
      <c r="B192" s="56" t="s">
        <v>314</v>
      </c>
      <c r="C192" s="57"/>
      <c r="D192" s="57"/>
      <c r="E192" s="57"/>
      <c r="F192" s="57"/>
      <c r="G192" s="57"/>
    </row>
    <row r="193" spans="1:7" ht="21.75" customHeight="1" x14ac:dyDescent="0.25">
      <c r="A193" s="58"/>
      <c r="B193" s="59" t="s">
        <v>315</v>
      </c>
      <c r="C193" s="60">
        <v>2000</v>
      </c>
      <c r="D193" s="61" t="s">
        <v>13</v>
      </c>
      <c r="E193" s="60">
        <v>540</v>
      </c>
      <c r="F193" s="60">
        <f>C193*E193</f>
        <v>1080000</v>
      </c>
      <c r="G193" s="59" t="s">
        <v>316</v>
      </c>
    </row>
    <row r="194" spans="1:7" ht="15" customHeight="1" x14ac:dyDescent="0.25">
      <c r="A194" s="58"/>
      <c r="B194" s="59" t="s">
        <v>317</v>
      </c>
      <c r="C194" s="60">
        <v>1000</v>
      </c>
      <c r="D194" s="61" t="s">
        <v>13</v>
      </c>
      <c r="E194" s="60">
        <v>348</v>
      </c>
      <c r="F194" s="60">
        <f>C194*E194</f>
        <v>348000</v>
      </c>
      <c r="G194" s="59" t="s">
        <v>318</v>
      </c>
    </row>
    <row r="195" spans="1:7" ht="15" customHeight="1" x14ac:dyDescent="0.25">
      <c r="A195" s="58"/>
      <c r="B195" s="59" t="s">
        <v>239</v>
      </c>
      <c r="C195" s="60">
        <v>1100</v>
      </c>
      <c r="D195" s="61" t="s">
        <v>13</v>
      </c>
      <c r="E195" s="60">
        <v>170</v>
      </c>
      <c r="F195" s="60">
        <f>C195*E195</f>
        <v>187000</v>
      </c>
      <c r="G195" s="59" t="s">
        <v>74</v>
      </c>
    </row>
    <row r="196" spans="1:7" ht="15" customHeight="1" x14ac:dyDescent="0.25">
      <c r="A196" s="58"/>
      <c r="B196" s="59" t="s">
        <v>319</v>
      </c>
      <c r="C196" s="60">
        <v>1</v>
      </c>
      <c r="D196" s="61" t="s">
        <v>192</v>
      </c>
      <c r="E196" s="60">
        <v>22500</v>
      </c>
      <c r="F196" s="60">
        <f>C196*E196</f>
        <v>22500</v>
      </c>
      <c r="G196" s="59"/>
    </row>
    <row r="197" spans="1:7" ht="15" customHeight="1" x14ac:dyDescent="0.25">
      <c r="A197" s="62"/>
      <c r="B197" s="63" t="s">
        <v>241</v>
      </c>
      <c r="C197" s="62"/>
      <c r="D197" s="62"/>
      <c r="E197" s="62"/>
      <c r="F197" s="64">
        <f>SUM(F192:F196)</f>
        <v>1637500</v>
      </c>
      <c r="G197" s="62"/>
    </row>
    <row r="198" spans="1:7" ht="15" customHeight="1" x14ac:dyDescent="0.25">
      <c r="A198" s="55" t="s">
        <v>320</v>
      </c>
      <c r="B198" s="56" t="s">
        <v>243</v>
      </c>
      <c r="C198" s="57"/>
      <c r="D198" s="57"/>
      <c r="E198" s="57"/>
      <c r="F198" s="57"/>
      <c r="G198" s="57"/>
    </row>
    <row r="199" spans="1:7" ht="15" customHeight="1" x14ac:dyDescent="0.25">
      <c r="A199" s="58"/>
      <c r="B199" s="59" t="s">
        <v>321</v>
      </c>
      <c r="C199" s="60">
        <v>3</v>
      </c>
      <c r="D199" s="61" t="s">
        <v>245</v>
      </c>
      <c r="E199" s="60">
        <v>30000</v>
      </c>
      <c r="F199" s="60">
        <f>C199*E199</f>
        <v>90000</v>
      </c>
      <c r="G199" s="59"/>
    </row>
    <row r="200" spans="1:7" ht="15" customHeight="1" x14ac:dyDescent="0.25">
      <c r="A200" s="58"/>
      <c r="B200" s="59" t="s">
        <v>322</v>
      </c>
      <c r="C200" s="60">
        <v>1</v>
      </c>
      <c r="D200" s="61" t="s">
        <v>39</v>
      </c>
      <c r="E200" s="60">
        <v>51000</v>
      </c>
      <c r="F200" s="60">
        <f>C200*E200</f>
        <v>51000</v>
      </c>
      <c r="G200" s="59"/>
    </row>
    <row r="201" spans="1:7" ht="15" customHeight="1" x14ac:dyDescent="0.25">
      <c r="A201" s="62"/>
      <c r="B201" s="63" t="s">
        <v>249</v>
      </c>
      <c r="C201" s="62"/>
      <c r="D201" s="62"/>
      <c r="E201" s="62"/>
      <c r="F201" s="64">
        <f>SUM(F198:F200)</f>
        <v>141000</v>
      </c>
      <c r="G201" s="62"/>
    </row>
    <row r="202" spans="1:7" ht="15" customHeight="1" x14ac:dyDescent="0.25">
      <c r="A202" s="55" t="s">
        <v>323</v>
      </c>
      <c r="B202" s="56" t="s">
        <v>251</v>
      </c>
      <c r="C202" s="57"/>
      <c r="D202" s="57"/>
      <c r="E202" s="57"/>
      <c r="F202" s="57"/>
      <c r="G202" s="57"/>
    </row>
    <row r="203" spans="1:7" ht="21.75" customHeight="1" x14ac:dyDescent="0.25">
      <c r="A203" s="58"/>
      <c r="B203" s="59" t="s">
        <v>252</v>
      </c>
      <c r="C203" s="60">
        <v>1200</v>
      </c>
      <c r="D203" s="61" t="s">
        <v>13</v>
      </c>
      <c r="E203" s="60">
        <v>290</v>
      </c>
      <c r="F203" s="60">
        <f t="shared" ref="F203:F208" si="8">C203*E203</f>
        <v>348000</v>
      </c>
      <c r="G203" s="59" t="s">
        <v>324</v>
      </c>
    </row>
    <row r="204" spans="1:7" ht="21.75" customHeight="1" x14ac:dyDescent="0.25">
      <c r="A204" s="58"/>
      <c r="B204" s="59" t="s">
        <v>325</v>
      </c>
      <c r="C204" s="60">
        <v>360</v>
      </c>
      <c r="D204" s="61" t="s">
        <v>13</v>
      </c>
      <c r="E204" s="60">
        <v>567</v>
      </c>
      <c r="F204" s="60">
        <f t="shared" si="8"/>
        <v>204120</v>
      </c>
      <c r="G204" s="59" t="s">
        <v>326</v>
      </c>
    </row>
    <row r="205" spans="1:7" ht="15" customHeight="1" x14ac:dyDescent="0.25">
      <c r="A205" s="58"/>
      <c r="B205" s="59" t="s">
        <v>256</v>
      </c>
      <c r="C205" s="60">
        <v>220</v>
      </c>
      <c r="D205" s="61" t="s">
        <v>13</v>
      </c>
      <c r="E205" s="60">
        <v>380</v>
      </c>
      <c r="F205" s="60">
        <f t="shared" si="8"/>
        <v>83600</v>
      </c>
      <c r="G205" s="59"/>
    </row>
    <row r="206" spans="1:7" ht="15" customHeight="1" x14ac:dyDescent="0.25">
      <c r="A206" s="58"/>
      <c r="B206" s="59" t="s">
        <v>327</v>
      </c>
      <c r="C206" s="60">
        <v>12</v>
      </c>
      <c r="D206" s="61" t="s">
        <v>39</v>
      </c>
      <c r="E206" s="60">
        <v>4500</v>
      </c>
      <c r="F206" s="60">
        <f t="shared" si="8"/>
        <v>54000</v>
      </c>
      <c r="G206" s="59"/>
    </row>
    <row r="207" spans="1:7" ht="15" customHeight="1" x14ac:dyDescent="0.25">
      <c r="A207" s="58"/>
      <c r="B207" s="59" t="s">
        <v>328</v>
      </c>
      <c r="C207" s="60">
        <v>4</v>
      </c>
      <c r="D207" s="61" t="s">
        <v>39</v>
      </c>
      <c r="E207" s="60">
        <v>9000</v>
      </c>
      <c r="F207" s="60">
        <f t="shared" si="8"/>
        <v>36000</v>
      </c>
      <c r="G207" s="59"/>
    </row>
    <row r="208" spans="1:7" ht="15" customHeight="1" x14ac:dyDescent="0.25">
      <c r="A208" s="58"/>
      <c r="B208" s="59" t="s">
        <v>259</v>
      </c>
      <c r="C208" s="60">
        <v>1</v>
      </c>
      <c r="D208" s="61" t="s">
        <v>192</v>
      </c>
      <c r="E208" s="60">
        <v>78000</v>
      </c>
      <c r="F208" s="60">
        <f t="shared" si="8"/>
        <v>78000</v>
      </c>
      <c r="G208" s="59"/>
    </row>
    <row r="209" spans="1:7" ht="15" customHeight="1" x14ac:dyDescent="0.25">
      <c r="A209" s="62"/>
      <c r="B209" s="63" t="s">
        <v>260</v>
      </c>
      <c r="C209" s="62"/>
      <c r="D209" s="62"/>
      <c r="E209" s="62"/>
      <c r="F209" s="64">
        <f>SUM(F202:F208)</f>
        <v>803720</v>
      </c>
      <c r="G209" s="62"/>
    </row>
    <row r="210" spans="1:7" ht="15" customHeight="1" x14ac:dyDescent="0.25">
      <c r="A210" s="55" t="s">
        <v>329</v>
      </c>
      <c r="B210" s="56" t="s">
        <v>262</v>
      </c>
      <c r="C210" s="57"/>
      <c r="D210" s="57"/>
      <c r="E210" s="57"/>
      <c r="F210" s="57"/>
      <c r="G210" s="57"/>
    </row>
    <row r="211" spans="1:7" ht="15" customHeight="1" x14ac:dyDescent="0.25">
      <c r="A211" s="58"/>
      <c r="B211" s="59" t="s">
        <v>330</v>
      </c>
      <c r="C211" s="60">
        <v>2400</v>
      </c>
      <c r="D211" s="61" t="s">
        <v>13</v>
      </c>
      <c r="E211" s="60">
        <v>113</v>
      </c>
      <c r="F211" s="60">
        <f>C211*E211</f>
        <v>271200</v>
      </c>
      <c r="G211" s="59"/>
    </row>
    <row r="212" spans="1:7" ht="15" customHeight="1" x14ac:dyDescent="0.25">
      <c r="A212" s="58"/>
      <c r="B212" s="59" t="s">
        <v>264</v>
      </c>
      <c r="C212" s="60">
        <v>18</v>
      </c>
      <c r="D212" s="61" t="s">
        <v>39</v>
      </c>
      <c r="E212" s="60">
        <v>3000</v>
      </c>
      <c r="F212" s="60">
        <f>C212*E212</f>
        <v>54000</v>
      </c>
      <c r="G212" s="59"/>
    </row>
    <row r="213" spans="1:7" ht="15" customHeight="1" x14ac:dyDescent="0.25">
      <c r="A213" s="58"/>
      <c r="B213" s="59" t="s">
        <v>331</v>
      </c>
      <c r="C213" s="60">
        <v>36</v>
      </c>
      <c r="D213" s="61" t="s">
        <v>39</v>
      </c>
      <c r="E213" s="60">
        <v>2000</v>
      </c>
      <c r="F213" s="60">
        <f>C213*E213</f>
        <v>72000</v>
      </c>
      <c r="G213" s="59"/>
    </row>
    <row r="214" spans="1:7" ht="15" customHeight="1" x14ac:dyDescent="0.25">
      <c r="A214" s="62"/>
      <c r="B214" s="63" t="s">
        <v>268</v>
      </c>
      <c r="C214" s="62"/>
      <c r="D214" s="62"/>
      <c r="E214" s="62"/>
      <c r="F214" s="64">
        <f>SUM(F210:F213)</f>
        <v>397200</v>
      </c>
      <c r="G214" s="62"/>
    </row>
    <row r="215" spans="1:7" ht="15" customHeight="1" x14ac:dyDescent="0.25">
      <c r="A215" s="55" t="s">
        <v>332</v>
      </c>
      <c r="B215" s="56" t="s">
        <v>270</v>
      </c>
      <c r="C215" s="57"/>
      <c r="D215" s="57"/>
      <c r="E215" s="57"/>
      <c r="F215" s="57"/>
      <c r="G215" s="57"/>
    </row>
    <row r="216" spans="1:7" ht="15" customHeight="1" x14ac:dyDescent="0.25">
      <c r="A216" s="58"/>
      <c r="B216" s="59" t="s">
        <v>333</v>
      </c>
      <c r="C216" s="60">
        <v>1000</v>
      </c>
      <c r="D216" s="61" t="s">
        <v>13</v>
      </c>
      <c r="E216" s="60">
        <v>48</v>
      </c>
      <c r="F216" s="60">
        <f t="shared" ref="F216:F222" si="9">C216*E216</f>
        <v>48000</v>
      </c>
      <c r="G216" s="59"/>
    </row>
    <row r="217" spans="1:7" ht="15" customHeight="1" x14ac:dyDescent="0.25">
      <c r="A217" s="58"/>
      <c r="B217" s="59" t="s">
        <v>334</v>
      </c>
      <c r="C217" s="60">
        <v>800</v>
      </c>
      <c r="D217" s="61" t="s">
        <v>13</v>
      </c>
      <c r="E217" s="60">
        <v>120</v>
      </c>
      <c r="F217" s="60">
        <f t="shared" si="9"/>
        <v>96000</v>
      </c>
      <c r="G217" s="59"/>
    </row>
    <row r="218" spans="1:7" ht="15" customHeight="1" x14ac:dyDescent="0.25">
      <c r="A218" s="58"/>
      <c r="B218" s="59" t="s">
        <v>335</v>
      </c>
      <c r="C218" s="60">
        <v>500</v>
      </c>
      <c r="D218" s="61" t="s">
        <v>66</v>
      </c>
      <c r="E218" s="60">
        <v>30</v>
      </c>
      <c r="F218" s="60">
        <f t="shared" si="9"/>
        <v>15000</v>
      </c>
      <c r="G218" s="59"/>
    </row>
    <row r="219" spans="1:7" ht="15" customHeight="1" x14ac:dyDescent="0.25">
      <c r="A219" s="58"/>
      <c r="B219" s="59" t="s">
        <v>277</v>
      </c>
      <c r="C219" s="60">
        <v>5000</v>
      </c>
      <c r="D219" s="61" t="s">
        <v>13</v>
      </c>
      <c r="E219" s="60">
        <v>24</v>
      </c>
      <c r="F219" s="60">
        <f t="shared" si="9"/>
        <v>120000</v>
      </c>
      <c r="G219" s="59"/>
    </row>
    <row r="220" spans="1:7" ht="15" customHeight="1" x14ac:dyDescent="0.25">
      <c r="A220" s="58"/>
      <c r="B220" s="59" t="s">
        <v>336</v>
      </c>
      <c r="C220" s="60">
        <v>1200</v>
      </c>
      <c r="D220" s="61" t="s">
        <v>13</v>
      </c>
      <c r="E220" s="60">
        <v>80</v>
      </c>
      <c r="F220" s="60">
        <f t="shared" si="9"/>
        <v>96000</v>
      </c>
      <c r="G220" s="59"/>
    </row>
    <row r="221" spans="1:7" ht="15" customHeight="1" x14ac:dyDescent="0.25">
      <c r="A221" s="58"/>
      <c r="B221" s="59" t="s">
        <v>337</v>
      </c>
      <c r="C221" s="60">
        <v>400</v>
      </c>
      <c r="D221" s="61" t="s">
        <v>13</v>
      </c>
      <c r="E221" s="60">
        <v>150</v>
      </c>
      <c r="F221" s="60">
        <f t="shared" si="9"/>
        <v>60000</v>
      </c>
      <c r="G221" s="59"/>
    </row>
    <row r="222" spans="1:7" ht="15" customHeight="1" x14ac:dyDescent="0.25">
      <c r="A222" s="58"/>
      <c r="B222" s="59" t="s">
        <v>338</v>
      </c>
      <c r="C222" s="60">
        <v>24</v>
      </c>
      <c r="D222" s="61" t="s">
        <v>39</v>
      </c>
      <c r="E222" s="60">
        <v>875</v>
      </c>
      <c r="F222" s="60">
        <f t="shared" si="9"/>
        <v>21000</v>
      </c>
      <c r="G222" s="59"/>
    </row>
    <row r="223" spans="1:7" ht="15" customHeight="1" x14ac:dyDescent="0.25">
      <c r="A223" s="62"/>
      <c r="B223" s="63" t="s">
        <v>288</v>
      </c>
      <c r="C223" s="62"/>
      <c r="D223" s="62"/>
      <c r="E223" s="62"/>
      <c r="F223" s="64">
        <f>SUM(F215:F222)</f>
        <v>456000</v>
      </c>
      <c r="G223" s="62"/>
    </row>
    <row r="224" spans="1:7" ht="15" customHeight="1" x14ac:dyDescent="0.25">
      <c r="A224" s="55" t="s">
        <v>339</v>
      </c>
      <c r="B224" s="56" t="s">
        <v>340</v>
      </c>
      <c r="C224" s="57"/>
      <c r="D224" s="57"/>
      <c r="E224" s="57"/>
      <c r="F224" s="57"/>
      <c r="G224" s="57"/>
    </row>
    <row r="225" spans="1:7" ht="21.75" customHeight="1" x14ac:dyDescent="0.25">
      <c r="A225" s="58"/>
      <c r="B225" s="59" t="s">
        <v>341</v>
      </c>
      <c r="C225" s="60">
        <v>1</v>
      </c>
      <c r="D225" s="61" t="s">
        <v>192</v>
      </c>
      <c r="E225" s="60">
        <v>130000</v>
      </c>
      <c r="F225" s="60">
        <f>C225*E225</f>
        <v>130000</v>
      </c>
      <c r="G225" s="59" t="s">
        <v>342</v>
      </c>
    </row>
    <row r="226" spans="1:7" ht="15" customHeight="1" x14ac:dyDescent="0.25">
      <c r="A226" s="62"/>
      <c r="B226" s="63" t="s">
        <v>300</v>
      </c>
      <c r="C226" s="62"/>
      <c r="D226" s="62"/>
      <c r="E226" s="62"/>
      <c r="F226" s="64">
        <f>SUM(F224:F225)</f>
        <v>130000</v>
      </c>
      <c r="G226" s="62"/>
    </row>
    <row r="227" spans="1:7" ht="15" customHeight="1" x14ac:dyDescent="0.25">
      <c r="A227" s="55" t="s">
        <v>343</v>
      </c>
      <c r="B227" s="56" t="s">
        <v>302</v>
      </c>
      <c r="C227" s="57"/>
      <c r="D227" s="57"/>
      <c r="E227" s="57"/>
      <c r="F227" s="57"/>
      <c r="G227" s="57"/>
    </row>
    <row r="228" spans="1:7" ht="15" customHeight="1" x14ac:dyDescent="0.25">
      <c r="A228" s="58"/>
      <c r="B228" s="59" t="s">
        <v>344</v>
      </c>
      <c r="C228" s="60">
        <v>1</v>
      </c>
      <c r="D228" s="61" t="s">
        <v>192</v>
      </c>
      <c r="E228" s="60">
        <v>24000</v>
      </c>
      <c r="F228" s="60">
        <f>C228*E228</f>
        <v>24000</v>
      </c>
      <c r="G228" s="59"/>
    </row>
    <row r="229" spans="1:7" ht="15" customHeight="1" x14ac:dyDescent="0.25">
      <c r="A229" s="58"/>
      <c r="B229" s="59" t="s">
        <v>345</v>
      </c>
      <c r="C229" s="60">
        <v>1</v>
      </c>
      <c r="D229" s="61" t="s">
        <v>192</v>
      </c>
      <c r="E229" s="60">
        <v>48000</v>
      </c>
      <c r="F229" s="60">
        <f>C229*E229</f>
        <v>48000</v>
      </c>
      <c r="G229" s="59"/>
    </row>
    <row r="230" spans="1:7" ht="15" customHeight="1" x14ac:dyDescent="0.25">
      <c r="A230" s="62"/>
      <c r="B230" s="63" t="s">
        <v>304</v>
      </c>
      <c r="C230" s="62"/>
      <c r="D230" s="62"/>
      <c r="E230" s="62"/>
      <c r="F230" s="64">
        <f>SUM(F227:F229)</f>
        <v>72000</v>
      </c>
      <c r="G230" s="62"/>
    </row>
    <row r="232" spans="1:7" ht="21.75" customHeight="1" x14ac:dyDescent="0.25">
      <c r="A232" s="416" t="s">
        <v>346</v>
      </c>
      <c r="B232" s="416"/>
      <c r="C232" s="416"/>
      <c r="D232" s="416"/>
      <c r="E232" s="416"/>
      <c r="F232" s="416"/>
      <c r="G232" s="416"/>
    </row>
    <row r="233" spans="1:7" ht="30" customHeight="1" x14ac:dyDescent="0.25">
      <c r="A233" s="54" t="s">
        <v>3</v>
      </c>
      <c r="B233" s="54" t="s">
        <v>4</v>
      </c>
      <c r="C233" s="54" t="s">
        <v>5</v>
      </c>
      <c r="D233" s="54" t="s">
        <v>6</v>
      </c>
      <c r="E233" s="54" t="s">
        <v>7</v>
      </c>
      <c r="F233" s="54" t="s">
        <v>8</v>
      </c>
      <c r="G233" s="54" t="s">
        <v>9</v>
      </c>
    </row>
    <row r="234" spans="1:7" ht="15" customHeight="1" x14ac:dyDescent="0.25">
      <c r="A234" s="55" t="s">
        <v>347</v>
      </c>
      <c r="B234" s="56" t="s">
        <v>224</v>
      </c>
      <c r="C234" s="57"/>
      <c r="D234" s="57"/>
      <c r="E234" s="57"/>
      <c r="F234" s="57"/>
      <c r="G234" s="57"/>
    </row>
    <row r="235" spans="1:7" ht="15" customHeight="1" x14ac:dyDescent="0.25">
      <c r="A235" s="58"/>
      <c r="B235" s="59" t="s">
        <v>348</v>
      </c>
      <c r="C235" s="60">
        <v>540</v>
      </c>
      <c r="D235" s="61" t="s">
        <v>18</v>
      </c>
      <c r="E235" s="60">
        <v>30</v>
      </c>
      <c r="F235" s="60">
        <f>C235*E235</f>
        <v>16200</v>
      </c>
      <c r="G235" s="59" t="s">
        <v>349</v>
      </c>
    </row>
    <row r="236" spans="1:7" ht="15" customHeight="1" x14ac:dyDescent="0.25">
      <c r="A236" s="58"/>
      <c r="B236" s="59" t="s">
        <v>350</v>
      </c>
      <c r="C236" s="60">
        <v>450</v>
      </c>
      <c r="D236" s="61" t="s">
        <v>13</v>
      </c>
      <c r="E236" s="60">
        <v>30</v>
      </c>
      <c r="F236" s="60">
        <f>C236*E236</f>
        <v>13500</v>
      </c>
      <c r="G236" s="59"/>
    </row>
    <row r="237" spans="1:7" ht="15" customHeight="1" x14ac:dyDescent="0.25">
      <c r="A237" s="58"/>
      <c r="B237" s="59" t="s">
        <v>351</v>
      </c>
      <c r="C237" s="60">
        <v>1</v>
      </c>
      <c r="D237" s="61" t="s">
        <v>192</v>
      </c>
      <c r="E237" s="60">
        <v>469500</v>
      </c>
      <c r="F237" s="60">
        <f>C237*E237</f>
        <v>469500</v>
      </c>
      <c r="G237" s="59" t="s">
        <v>352</v>
      </c>
    </row>
    <row r="238" spans="1:7" ht="15" customHeight="1" x14ac:dyDescent="0.25">
      <c r="A238" s="62"/>
      <c r="B238" s="63" t="s">
        <v>232</v>
      </c>
      <c r="C238" s="62"/>
      <c r="D238" s="62"/>
      <c r="E238" s="62"/>
      <c r="F238" s="64">
        <f>SUM(F234:F237)</f>
        <v>499200</v>
      </c>
      <c r="G238" s="62"/>
    </row>
    <row r="239" spans="1:7" ht="15" customHeight="1" x14ac:dyDescent="0.25">
      <c r="A239" s="55" t="s">
        <v>353</v>
      </c>
      <c r="B239" s="56" t="s">
        <v>354</v>
      </c>
      <c r="C239" s="57"/>
      <c r="D239" s="57"/>
      <c r="E239" s="57"/>
      <c r="F239" s="57"/>
      <c r="G239" s="57"/>
    </row>
    <row r="240" spans="1:7" ht="15" customHeight="1" x14ac:dyDescent="0.25">
      <c r="A240" s="58"/>
      <c r="B240" s="59" t="s">
        <v>355</v>
      </c>
      <c r="C240" s="60">
        <v>900</v>
      </c>
      <c r="D240" s="61" t="s">
        <v>13</v>
      </c>
      <c r="E240" s="60">
        <v>400</v>
      </c>
      <c r="F240" s="60">
        <f>C240*E240</f>
        <v>360000</v>
      </c>
      <c r="G240" s="59"/>
    </row>
    <row r="241" spans="1:7" ht="15" customHeight="1" x14ac:dyDescent="0.25">
      <c r="A241" s="58"/>
      <c r="B241" s="59" t="s">
        <v>317</v>
      </c>
      <c r="C241" s="60">
        <v>450</v>
      </c>
      <c r="D241" s="61" t="s">
        <v>13</v>
      </c>
      <c r="E241" s="60">
        <v>240</v>
      </c>
      <c r="F241" s="60">
        <f>C241*E241</f>
        <v>108000</v>
      </c>
      <c r="G241" s="59"/>
    </row>
    <row r="242" spans="1:7" ht="15" customHeight="1" x14ac:dyDescent="0.25">
      <c r="A242" s="58"/>
      <c r="B242" s="59" t="s">
        <v>239</v>
      </c>
      <c r="C242" s="60">
        <v>500</v>
      </c>
      <c r="D242" s="61" t="s">
        <v>13</v>
      </c>
      <c r="E242" s="60">
        <v>165</v>
      </c>
      <c r="F242" s="60">
        <f>C242*E242</f>
        <v>82500</v>
      </c>
      <c r="G242" s="59"/>
    </row>
    <row r="243" spans="1:7" ht="15" customHeight="1" x14ac:dyDescent="0.25">
      <c r="A243" s="58"/>
      <c r="B243" s="59" t="s">
        <v>319</v>
      </c>
      <c r="C243" s="60">
        <v>1</v>
      </c>
      <c r="D243" s="61" t="s">
        <v>192</v>
      </c>
      <c r="E243" s="60">
        <v>15000</v>
      </c>
      <c r="F243" s="60">
        <f>C243*E243</f>
        <v>15000</v>
      </c>
      <c r="G243" s="59"/>
    </row>
    <row r="244" spans="1:7" ht="15" customHeight="1" x14ac:dyDescent="0.25">
      <c r="A244" s="62"/>
      <c r="B244" s="63" t="s">
        <v>241</v>
      </c>
      <c r="C244" s="62"/>
      <c r="D244" s="62"/>
      <c r="E244" s="62"/>
      <c r="F244" s="64">
        <f>SUM(F239:F243)</f>
        <v>565500</v>
      </c>
      <c r="G244" s="62"/>
    </row>
    <row r="245" spans="1:7" ht="15" customHeight="1" x14ac:dyDescent="0.25">
      <c r="A245" s="55" t="s">
        <v>356</v>
      </c>
      <c r="B245" s="56" t="s">
        <v>357</v>
      </c>
      <c r="C245" s="57"/>
      <c r="D245" s="57"/>
      <c r="E245" s="57"/>
      <c r="F245" s="57"/>
      <c r="G245" s="57"/>
    </row>
    <row r="246" spans="1:7" ht="15" customHeight="1" x14ac:dyDescent="0.25">
      <c r="A246" s="58"/>
      <c r="B246" s="59" t="s">
        <v>321</v>
      </c>
      <c r="C246" s="60">
        <v>2</v>
      </c>
      <c r="D246" s="61" t="s">
        <v>245</v>
      </c>
      <c r="E246" s="60">
        <v>22500</v>
      </c>
      <c r="F246" s="60">
        <f t="shared" ref="F246:F251" si="10">C246*E246</f>
        <v>45000</v>
      </c>
      <c r="G246" s="59"/>
    </row>
    <row r="247" spans="1:7" ht="15" customHeight="1" x14ac:dyDescent="0.25">
      <c r="A247" s="58"/>
      <c r="B247" s="59" t="s">
        <v>322</v>
      </c>
      <c r="C247" s="60">
        <v>1</v>
      </c>
      <c r="D247" s="61" t="s">
        <v>39</v>
      </c>
      <c r="E247" s="60">
        <v>33000</v>
      </c>
      <c r="F247" s="60">
        <f t="shared" si="10"/>
        <v>33000</v>
      </c>
      <c r="G247" s="59"/>
    </row>
    <row r="248" spans="1:7" ht="15" customHeight="1" x14ac:dyDescent="0.25">
      <c r="A248" s="58"/>
      <c r="B248" s="59" t="s">
        <v>252</v>
      </c>
      <c r="C248" s="60">
        <v>600</v>
      </c>
      <c r="D248" s="61" t="s">
        <v>13</v>
      </c>
      <c r="E248" s="60">
        <v>340</v>
      </c>
      <c r="F248" s="60">
        <f t="shared" si="10"/>
        <v>204000</v>
      </c>
      <c r="G248" s="59"/>
    </row>
    <row r="249" spans="1:7" ht="15" customHeight="1" x14ac:dyDescent="0.25">
      <c r="A249" s="58"/>
      <c r="B249" s="59" t="s">
        <v>358</v>
      </c>
      <c r="C249" s="60">
        <v>1</v>
      </c>
      <c r="D249" s="61" t="s">
        <v>192</v>
      </c>
      <c r="E249" s="60">
        <v>42000</v>
      </c>
      <c r="F249" s="60">
        <f t="shared" si="10"/>
        <v>42000</v>
      </c>
      <c r="G249" s="59"/>
    </row>
    <row r="250" spans="1:7" ht="15" customHeight="1" x14ac:dyDescent="0.25">
      <c r="A250" s="58"/>
      <c r="B250" s="59" t="s">
        <v>359</v>
      </c>
      <c r="C250" s="60">
        <v>1</v>
      </c>
      <c r="D250" s="61" t="s">
        <v>192</v>
      </c>
      <c r="E250" s="60">
        <v>159000</v>
      </c>
      <c r="F250" s="60">
        <f t="shared" si="10"/>
        <v>159000</v>
      </c>
      <c r="G250" s="59"/>
    </row>
    <row r="251" spans="1:7" ht="15" customHeight="1" x14ac:dyDescent="0.25">
      <c r="A251" s="58"/>
      <c r="B251" s="59" t="s">
        <v>360</v>
      </c>
      <c r="C251" s="60">
        <v>1</v>
      </c>
      <c r="D251" s="61" t="s">
        <v>192</v>
      </c>
      <c r="E251" s="60">
        <v>108000</v>
      </c>
      <c r="F251" s="60">
        <f t="shared" si="10"/>
        <v>108000</v>
      </c>
      <c r="G251" s="59"/>
    </row>
    <row r="252" spans="1:7" ht="15" customHeight="1" x14ac:dyDescent="0.25">
      <c r="A252" s="62"/>
      <c r="B252" s="63" t="s">
        <v>361</v>
      </c>
      <c r="C252" s="62"/>
      <c r="D252" s="62"/>
      <c r="E252" s="62"/>
      <c r="F252" s="64">
        <f>SUM(F245:F251)</f>
        <v>591000</v>
      </c>
      <c r="G252" s="62"/>
    </row>
    <row r="253" spans="1:7" ht="15" customHeight="1" x14ac:dyDescent="0.25">
      <c r="A253" s="55" t="s">
        <v>362</v>
      </c>
      <c r="B253" s="56" t="s">
        <v>363</v>
      </c>
      <c r="C253" s="57"/>
      <c r="D253" s="57"/>
      <c r="E253" s="57"/>
      <c r="F253" s="57"/>
      <c r="G253" s="57"/>
    </row>
    <row r="254" spans="1:7" ht="15" customHeight="1" x14ac:dyDescent="0.25">
      <c r="A254" s="58"/>
      <c r="B254" s="59" t="s">
        <v>364</v>
      </c>
      <c r="C254" s="60">
        <v>300</v>
      </c>
      <c r="D254" s="61" t="s">
        <v>13</v>
      </c>
      <c r="E254" s="60">
        <v>100</v>
      </c>
      <c r="F254" s="60">
        <f t="shared" ref="F254:F260" si="11">C254*E254</f>
        <v>30000</v>
      </c>
      <c r="G254" s="59"/>
    </row>
    <row r="255" spans="1:7" ht="15" customHeight="1" x14ac:dyDescent="0.25">
      <c r="A255" s="58"/>
      <c r="B255" s="59" t="s">
        <v>365</v>
      </c>
      <c r="C255" s="60">
        <v>250</v>
      </c>
      <c r="D255" s="61" t="s">
        <v>13</v>
      </c>
      <c r="E255" s="60">
        <v>120</v>
      </c>
      <c r="F255" s="60">
        <f t="shared" si="11"/>
        <v>30000</v>
      </c>
      <c r="G255" s="59"/>
    </row>
    <row r="256" spans="1:7" ht="15" customHeight="1" x14ac:dyDescent="0.25">
      <c r="A256" s="58"/>
      <c r="B256" s="59" t="s">
        <v>335</v>
      </c>
      <c r="C256" s="60">
        <v>150</v>
      </c>
      <c r="D256" s="61" t="s">
        <v>66</v>
      </c>
      <c r="E256" s="60">
        <v>60</v>
      </c>
      <c r="F256" s="60">
        <f t="shared" si="11"/>
        <v>9000</v>
      </c>
      <c r="G256" s="59"/>
    </row>
    <row r="257" spans="1:7" ht="15" customHeight="1" x14ac:dyDescent="0.25">
      <c r="A257" s="58"/>
      <c r="B257" s="59" t="s">
        <v>366</v>
      </c>
      <c r="C257" s="60">
        <v>3000</v>
      </c>
      <c r="D257" s="61" t="s">
        <v>13</v>
      </c>
      <c r="E257" s="60">
        <v>24</v>
      </c>
      <c r="F257" s="60">
        <f t="shared" si="11"/>
        <v>72000</v>
      </c>
      <c r="G257" s="59"/>
    </row>
    <row r="258" spans="1:7" ht="15" customHeight="1" x14ac:dyDescent="0.25">
      <c r="A258" s="58"/>
      <c r="B258" s="59" t="s">
        <v>367</v>
      </c>
      <c r="C258" s="60">
        <v>280</v>
      </c>
      <c r="D258" s="61" t="s">
        <v>13</v>
      </c>
      <c r="E258" s="60">
        <v>118</v>
      </c>
      <c r="F258" s="60">
        <f t="shared" si="11"/>
        <v>33040</v>
      </c>
      <c r="G258" s="59"/>
    </row>
    <row r="259" spans="1:7" ht="15" customHeight="1" x14ac:dyDescent="0.25">
      <c r="A259" s="58"/>
      <c r="B259" s="59" t="s">
        <v>368</v>
      </c>
      <c r="C259" s="60">
        <v>700</v>
      </c>
      <c r="D259" s="61" t="s">
        <v>13</v>
      </c>
      <c r="E259" s="60">
        <v>90</v>
      </c>
      <c r="F259" s="60">
        <f t="shared" si="11"/>
        <v>63000</v>
      </c>
      <c r="G259" s="59"/>
    </row>
    <row r="260" spans="1:7" ht="15" customHeight="1" x14ac:dyDescent="0.25">
      <c r="A260" s="58"/>
      <c r="B260" s="59" t="s">
        <v>338</v>
      </c>
      <c r="C260" s="60">
        <v>12</v>
      </c>
      <c r="D260" s="61" t="s">
        <v>39</v>
      </c>
      <c r="E260" s="60">
        <v>875</v>
      </c>
      <c r="F260" s="60">
        <f t="shared" si="11"/>
        <v>10500</v>
      </c>
      <c r="G260" s="59"/>
    </row>
    <row r="261" spans="1:7" ht="15" customHeight="1" x14ac:dyDescent="0.25">
      <c r="A261" s="62"/>
      <c r="B261" s="63" t="s">
        <v>288</v>
      </c>
      <c r="C261" s="62"/>
      <c r="D261" s="62"/>
      <c r="E261" s="62"/>
      <c r="F261" s="64">
        <f>SUM(F253:F260)</f>
        <v>247540</v>
      </c>
      <c r="G261" s="62"/>
    </row>
    <row r="262" spans="1:7" ht="15" customHeight="1" x14ac:dyDescent="0.25">
      <c r="A262" s="55" t="s">
        <v>369</v>
      </c>
      <c r="B262" s="56" t="s">
        <v>370</v>
      </c>
      <c r="C262" s="57"/>
      <c r="D262" s="57"/>
      <c r="E262" s="57"/>
      <c r="F262" s="57"/>
      <c r="G262" s="57"/>
    </row>
    <row r="263" spans="1:7" ht="21.75" customHeight="1" x14ac:dyDescent="0.25">
      <c r="A263" s="58"/>
      <c r="B263" s="59" t="s">
        <v>371</v>
      </c>
      <c r="C263" s="60">
        <v>2</v>
      </c>
      <c r="D263" s="61" t="s">
        <v>39</v>
      </c>
      <c r="E263" s="60">
        <v>108000</v>
      </c>
      <c r="F263" s="60">
        <f>C263*E263</f>
        <v>216000</v>
      </c>
      <c r="G263" s="59" t="s">
        <v>372</v>
      </c>
    </row>
    <row r="264" spans="1:7" ht="15" customHeight="1" x14ac:dyDescent="0.25">
      <c r="A264" s="62"/>
      <c r="B264" s="63" t="s">
        <v>373</v>
      </c>
      <c r="C264" s="62"/>
      <c r="D264" s="62"/>
      <c r="E264" s="62"/>
      <c r="F264" s="64">
        <f>SUM(F262:F263)</f>
        <v>216000</v>
      </c>
      <c r="G264" s="62"/>
    </row>
    <row r="265" spans="1:7" ht="15" customHeight="1" x14ac:dyDescent="0.25">
      <c r="A265" s="55" t="s">
        <v>374</v>
      </c>
      <c r="B265" s="56" t="s">
        <v>302</v>
      </c>
      <c r="C265" s="57"/>
      <c r="D265" s="57"/>
      <c r="E265" s="57"/>
      <c r="F265" s="57"/>
      <c r="G265" s="57"/>
    </row>
    <row r="266" spans="1:7" ht="15" customHeight="1" x14ac:dyDescent="0.25">
      <c r="A266" s="58"/>
      <c r="B266" s="59" t="s">
        <v>344</v>
      </c>
      <c r="C266" s="60">
        <v>1</v>
      </c>
      <c r="D266" s="61" t="s">
        <v>192</v>
      </c>
      <c r="E266" s="60">
        <v>24000</v>
      </c>
      <c r="F266" s="60">
        <f>C266*E266</f>
        <v>24000</v>
      </c>
      <c r="G266" s="59"/>
    </row>
    <row r="267" spans="1:7" ht="15" customHeight="1" x14ac:dyDescent="0.25">
      <c r="A267" s="58"/>
      <c r="B267" s="59" t="s">
        <v>345</v>
      </c>
      <c r="C267" s="60">
        <v>1</v>
      </c>
      <c r="D267" s="61" t="s">
        <v>192</v>
      </c>
      <c r="E267" s="60">
        <v>48000</v>
      </c>
      <c r="F267" s="60">
        <f>C267*E267</f>
        <v>48000</v>
      </c>
      <c r="G267" s="59"/>
    </row>
    <row r="268" spans="1:7" ht="15" customHeight="1" x14ac:dyDescent="0.25">
      <c r="A268" s="62"/>
      <c r="B268" s="63" t="s">
        <v>304</v>
      </c>
      <c r="C268" s="62"/>
      <c r="D268" s="62"/>
      <c r="E268" s="62"/>
      <c r="F268" s="64">
        <f>SUM(F265:F267)</f>
        <v>72000</v>
      </c>
      <c r="G268" s="62"/>
    </row>
    <row r="270" spans="1:7" ht="21.75" customHeight="1" x14ac:dyDescent="0.25">
      <c r="A270" s="416" t="s">
        <v>375</v>
      </c>
      <c r="B270" s="416"/>
      <c r="C270" s="416"/>
      <c r="D270" s="416"/>
      <c r="E270" s="416"/>
      <c r="F270" s="416"/>
      <c r="G270" s="416"/>
    </row>
    <row r="271" spans="1:7" ht="30" customHeight="1" x14ac:dyDescent="0.25">
      <c r="A271" s="54" t="s">
        <v>3</v>
      </c>
      <c r="B271" s="54" t="s">
        <v>4</v>
      </c>
      <c r="C271" s="54" t="s">
        <v>5</v>
      </c>
      <c r="D271" s="54" t="s">
        <v>6</v>
      </c>
      <c r="E271" s="54" t="s">
        <v>7</v>
      </c>
      <c r="F271" s="54" t="s">
        <v>8</v>
      </c>
      <c r="G271" s="54" t="s">
        <v>9</v>
      </c>
    </row>
    <row r="272" spans="1:7" ht="15" customHeight="1" x14ac:dyDescent="0.25">
      <c r="A272" s="55" t="s">
        <v>376</v>
      </c>
      <c r="B272" s="56" t="s">
        <v>377</v>
      </c>
      <c r="C272" s="57"/>
      <c r="D272" s="57"/>
      <c r="E272" s="57"/>
      <c r="F272" s="57"/>
      <c r="G272" s="57"/>
    </row>
    <row r="273" spans="1:7" ht="15" customHeight="1" x14ac:dyDescent="0.25">
      <c r="A273" s="58"/>
      <c r="B273" s="59" t="s">
        <v>378</v>
      </c>
      <c r="C273" s="60">
        <v>65500</v>
      </c>
      <c r="D273" s="61" t="s">
        <v>13</v>
      </c>
      <c r="E273" s="60">
        <v>8</v>
      </c>
      <c r="F273" s="60">
        <f>C273*E273</f>
        <v>524000</v>
      </c>
      <c r="G273" s="59" t="s">
        <v>379</v>
      </c>
    </row>
    <row r="274" spans="1:7" ht="15" customHeight="1" x14ac:dyDescent="0.25">
      <c r="A274" s="58"/>
      <c r="B274" s="59" t="s">
        <v>380</v>
      </c>
      <c r="C274" s="60">
        <v>19650</v>
      </c>
      <c r="D274" s="61" t="s">
        <v>18</v>
      </c>
      <c r="E274" s="60">
        <v>35</v>
      </c>
      <c r="F274" s="60">
        <f>C274*E274</f>
        <v>687750</v>
      </c>
      <c r="G274" s="59" t="s">
        <v>381</v>
      </c>
    </row>
    <row r="275" spans="1:7" ht="15" customHeight="1" x14ac:dyDescent="0.25">
      <c r="A275" s="58"/>
      <c r="B275" s="59" t="s">
        <v>382</v>
      </c>
      <c r="C275" s="60">
        <v>12000</v>
      </c>
      <c r="D275" s="61" t="s">
        <v>13</v>
      </c>
      <c r="E275" s="60">
        <v>15</v>
      </c>
      <c r="F275" s="60">
        <f>C275*E275</f>
        <v>180000</v>
      </c>
      <c r="G275" s="59"/>
    </row>
    <row r="276" spans="1:7" ht="15" customHeight="1" x14ac:dyDescent="0.25">
      <c r="A276" s="58"/>
      <c r="B276" s="59" t="s">
        <v>383</v>
      </c>
      <c r="C276" s="60">
        <v>30000</v>
      </c>
      <c r="D276" s="61" t="s">
        <v>13</v>
      </c>
      <c r="E276" s="60">
        <v>15</v>
      </c>
      <c r="F276" s="60">
        <f>C276*E276</f>
        <v>450000</v>
      </c>
      <c r="G276" s="59"/>
    </row>
    <row r="277" spans="1:7" ht="15" customHeight="1" x14ac:dyDescent="0.25">
      <c r="A277" s="62"/>
      <c r="B277" s="63" t="s">
        <v>384</v>
      </c>
      <c r="C277" s="62"/>
      <c r="D277" s="62"/>
      <c r="E277" s="62"/>
      <c r="F277" s="64">
        <f>SUM(F272:F276)</f>
        <v>1841750</v>
      </c>
      <c r="G277" s="62"/>
    </row>
    <row r="278" spans="1:7" ht="15" customHeight="1" x14ac:dyDescent="0.25">
      <c r="A278" s="55" t="s">
        <v>385</v>
      </c>
      <c r="B278" s="56" t="s">
        <v>386</v>
      </c>
      <c r="C278" s="57"/>
      <c r="D278" s="57"/>
      <c r="E278" s="57"/>
      <c r="F278" s="57"/>
      <c r="G278" s="57"/>
    </row>
    <row r="279" spans="1:7" ht="15" customHeight="1" x14ac:dyDescent="0.25">
      <c r="A279" s="58"/>
      <c r="B279" s="59" t="s">
        <v>387</v>
      </c>
      <c r="C279" s="60">
        <v>12000</v>
      </c>
      <c r="D279" s="61" t="s">
        <v>13</v>
      </c>
      <c r="E279" s="60">
        <v>165</v>
      </c>
      <c r="F279" s="60">
        <f t="shared" ref="F279:F285" si="12">C279*E279</f>
        <v>1980000</v>
      </c>
      <c r="G279" s="59" t="s">
        <v>388</v>
      </c>
    </row>
    <row r="280" spans="1:7" ht="15" customHeight="1" x14ac:dyDescent="0.25">
      <c r="A280" s="58"/>
      <c r="B280" s="59" t="s">
        <v>389</v>
      </c>
      <c r="C280" s="60">
        <v>2400</v>
      </c>
      <c r="D280" s="61" t="s">
        <v>66</v>
      </c>
      <c r="E280" s="60">
        <v>65</v>
      </c>
      <c r="F280" s="60">
        <f t="shared" si="12"/>
        <v>156000</v>
      </c>
      <c r="G280" s="59"/>
    </row>
    <row r="281" spans="1:7" ht="15" customHeight="1" x14ac:dyDescent="0.25">
      <c r="A281" s="58"/>
      <c r="B281" s="59" t="s">
        <v>390</v>
      </c>
      <c r="C281" s="60">
        <v>1500</v>
      </c>
      <c r="D281" s="61" t="s">
        <v>13</v>
      </c>
      <c r="E281" s="60">
        <v>95</v>
      </c>
      <c r="F281" s="60">
        <f t="shared" si="12"/>
        <v>142500</v>
      </c>
      <c r="G281" s="59"/>
    </row>
    <row r="282" spans="1:7" ht="15" customHeight="1" x14ac:dyDescent="0.25">
      <c r="A282" s="58"/>
      <c r="B282" s="59" t="s">
        <v>391</v>
      </c>
      <c r="C282" s="60">
        <v>1800</v>
      </c>
      <c r="D282" s="61" t="s">
        <v>66</v>
      </c>
      <c r="E282" s="60">
        <v>320</v>
      </c>
      <c r="F282" s="60">
        <f t="shared" si="12"/>
        <v>576000</v>
      </c>
      <c r="G282" s="59" t="s">
        <v>392</v>
      </c>
    </row>
    <row r="283" spans="1:7" ht="15" customHeight="1" x14ac:dyDescent="0.25">
      <c r="A283" s="58"/>
      <c r="B283" s="59" t="s">
        <v>393</v>
      </c>
      <c r="C283" s="60">
        <v>1</v>
      </c>
      <c r="D283" s="61" t="s">
        <v>192</v>
      </c>
      <c r="E283" s="60">
        <v>60000</v>
      </c>
      <c r="F283" s="60">
        <f t="shared" si="12"/>
        <v>60000</v>
      </c>
      <c r="G283" s="59"/>
    </row>
    <row r="284" spans="1:7" ht="15" customHeight="1" x14ac:dyDescent="0.25">
      <c r="A284" s="58"/>
      <c r="B284" s="59" t="s">
        <v>394</v>
      </c>
      <c r="C284" s="60">
        <v>4000</v>
      </c>
      <c r="D284" s="61" t="s">
        <v>13</v>
      </c>
      <c r="E284" s="60">
        <v>95</v>
      </c>
      <c r="F284" s="60">
        <f t="shared" si="12"/>
        <v>380000</v>
      </c>
      <c r="G284" s="59"/>
    </row>
    <row r="285" spans="1:7" ht="15" customHeight="1" x14ac:dyDescent="0.25">
      <c r="A285" s="58"/>
      <c r="B285" s="59" t="s">
        <v>395</v>
      </c>
      <c r="C285" s="60">
        <v>1</v>
      </c>
      <c r="D285" s="61" t="s">
        <v>192</v>
      </c>
      <c r="E285" s="60">
        <v>168000</v>
      </c>
      <c r="F285" s="60">
        <f t="shared" si="12"/>
        <v>168000</v>
      </c>
      <c r="G285" s="59"/>
    </row>
    <row r="286" spans="1:7" ht="15" customHeight="1" x14ac:dyDescent="0.25">
      <c r="A286" s="62"/>
      <c r="B286" s="63" t="s">
        <v>396</v>
      </c>
      <c r="C286" s="62"/>
      <c r="D286" s="62"/>
      <c r="E286" s="62"/>
      <c r="F286" s="64">
        <f>SUM(F278:F285)</f>
        <v>3462500</v>
      </c>
      <c r="G286" s="62"/>
    </row>
    <row r="287" spans="1:7" ht="15" customHeight="1" x14ac:dyDescent="0.25">
      <c r="A287" s="55" t="s">
        <v>397</v>
      </c>
      <c r="B287" s="56" t="s">
        <v>398</v>
      </c>
      <c r="C287" s="57"/>
      <c r="D287" s="57"/>
      <c r="E287" s="57"/>
      <c r="F287" s="57"/>
      <c r="G287" s="57"/>
    </row>
    <row r="288" spans="1:7" ht="15" customHeight="1" x14ac:dyDescent="0.25">
      <c r="A288" s="58"/>
      <c r="B288" s="59" t="s">
        <v>399</v>
      </c>
      <c r="C288" s="60">
        <v>16000</v>
      </c>
      <c r="D288" s="61" t="s">
        <v>13</v>
      </c>
      <c r="E288" s="60">
        <v>12</v>
      </c>
      <c r="F288" s="60">
        <f>C288*E288</f>
        <v>192000</v>
      </c>
      <c r="G288" s="59" t="s">
        <v>400</v>
      </c>
    </row>
    <row r="289" spans="1:7" ht="15" customHeight="1" x14ac:dyDescent="0.25">
      <c r="A289" s="58"/>
      <c r="B289" s="59" t="s">
        <v>401</v>
      </c>
      <c r="C289" s="60">
        <v>2000</v>
      </c>
      <c r="D289" s="61" t="s">
        <v>13</v>
      </c>
      <c r="E289" s="60">
        <v>12</v>
      </c>
      <c r="F289" s="60">
        <f>C289*E289</f>
        <v>24000</v>
      </c>
      <c r="G289" s="59"/>
    </row>
    <row r="290" spans="1:7" ht="15" customHeight="1" x14ac:dyDescent="0.25">
      <c r="A290" s="58"/>
      <c r="B290" s="59" t="s">
        <v>402</v>
      </c>
      <c r="C290" s="60">
        <v>1</v>
      </c>
      <c r="D290" s="61" t="s">
        <v>192</v>
      </c>
      <c r="E290" s="60">
        <v>120000</v>
      </c>
      <c r="F290" s="60">
        <f>C290*E290</f>
        <v>120000</v>
      </c>
      <c r="G290" s="59"/>
    </row>
    <row r="291" spans="1:7" ht="15" customHeight="1" x14ac:dyDescent="0.25">
      <c r="A291" s="62"/>
      <c r="B291" s="63" t="s">
        <v>403</v>
      </c>
      <c r="C291" s="62"/>
      <c r="D291" s="62"/>
      <c r="E291" s="62"/>
      <c r="F291" s="64">
        <f>SUM(F287:F290)</f>
        <v>336000</v>
      </c>
      <c r="G291" s="62"/>
    </row>
    <row r="292" spans="1:7" ht="15" customHeight="1" x14ac:dyDescent="0.25">
      <c r="A292" s="55" t="s">
        <v>404</v>
      </c>
      <c r="B292" s="56" t="s">
        <v>405</v>
      </c>
      <c r="C292" s="57"/>
      <c r="D292" s="57"/>
      <c r="E292" s="57"/>
      <c r="F292" s="57"/>
      <c r="G292" s="57"/>
    </row>
    <row r="293" spans="1:7" ht="15" customHeight="1" x14ac:dyDescent="0.25">
      <c r="A293" s="58"/>
      <c r="B293" s="59" t="s">
        <v>406</v>
      </c>
      <c r="C293" s="60">
        <v>1600</v>
      </c>
      <c r="D293" s="61" t="s">
        <v>66</v>
      </c>
      <c r="E293" s="60">
        <v>150</v>
      </c>
      <c r="F293" s="60">
        <f>C293*E293</f>
        <v>240000</v>
      </c>
      <c r="G293" s="59"/>
    </row>
    <row r="294" spans="1:7" ht="15" customHeight="1" x14ac:dyDescent="0.25">
      <c r="A294" s="58"/>
      <c r="B294" s="59" t="s">
        <v>407</v>
      </c>
      <c r="C294" s="60">
        <v>800</v>
      </c>
      <c r="D294" s="61" t="s">
        <v>66</v>
      </c>
      <c r="E294" s="60">
        <v>240</v>
      </c>
      <c r="F294" s="60">
        <f>C294*E294</f>
        <v>192000</v>
      </c>
      <c r="G294" s="59"/>
    </row>
    <row r="295" spans="1:7" ht="15" customHeight="1" x14ac:dyDescent="0.25">
      <c r="A295" s="58"/>
      <c r="B295" s="59" t="s">
        <v>408</v>
      </c>
      <c r="C295" s="60">
        <v>24</v>
      </c>
      <c r="D295" s="61" t="s">
        <v>39</v>
      </c>
      <c r="E295" s="60">
        <v>2700</v>
      </c>
      <c r="F295" s="60">
        <f>C295*E295</f>
        <v>64800</v>
      </c>
      <c r="G295" s="59"/>
    </row>
    <row r="296" spans="1:7" ht="15" customHeight="1" x14ac:dyDescent="0.25">
      <c r="A296" s="58"/>
      <c r="B296" s="59" t="s">
        <v>409</v>
      </c>
      <c r="C296" s="60">
        <v>400</v>
      </c>
      <c r="D296" s="61" t="s">
        <v>66</v>
      </c>
      <c r="E296" s="60">
        <v>330</v>
      </c>
      <c r="F296" s="60">
        <f>C296*E296</f>
        <v>132000</v>
      </c>
      <c r="G296" s="59"/>
    </row>
    <row r="297" spans="1:7" ht="21.75" customHeight="1" x14ac:dyDescent="0.25">
      <c r="A297" s="58"/>
      <c r="B297" s="59" t="s">
        <v>410</v>
      </c>
      <c r="C297" s="60">
        <v>1</v>
      </c>
      <c r="D297" s="61" t="s">
        <v>192</v>
      </c>
      <c r="E297" s="60">
        <v>540000</v>
      </c>
      <c r="F297" s="60">
        <f>C297*E297</f>
        <v>540000</v>
      </c>
      <c r="G297" s="59" t="s">
        <v>411</v>
      </c>
    </row>
    <row r="298" spans="1:7" ht="15" customHeight="1" x14ac:dyDescent="0.25">
      <c r="A298" s="62"/>
      <c r="B298" s="63" t="s">
        <v>412</v>
      </c>
      <c r="C298" s="62"/>
      <c r="D298" s="62"/>
      <c r="E298" s="62"/>
      <c r="F298" s="64">
        <f>SUM(F292:F297)</f>
        <v>1168800</v>
      </c>
      <c r="G298" s="62"/>
    </row>
    <row r="299" spans="1:7" ht="15" customHeight="1" x14ac:dyDescent="0.25">
      <c r="A299" s="55" t="s">
        <v>413</v>
      </c>
      <c r="B299" s="56" t="s">
        <v>414</v>
      </c>
      <c r="C299" s="57"/>
      <c r="D299" s="57"/>
      <c r="E299" s="57"/>
      <c r="F299" s="57"/>
      <c r="G299" s="57"/>
    </row>
    <row r="300" spans="1:7" ht="15" customHeight="1" x14ac:dyDescent="0.25">
      <c r="A300" s="58"/>
      <c r="B300" s="59" t="s">
        <v>415</v>
      </c>
      <c r="C300" s="60">
        <v>2000</v>
      </c>
      <c r="D300" s="61" t="s">
        <v>13</v>
      </c>
      <c r="E300" s="60">
        <v>126</v>
      </c>
      <c r="F300" s="60">
        <f>C300*E300</f>
        <v>252000</v>
      </c>
      <c r="G300" s="59"/>
    </row>
    <row r="301" spans="1:7" ht="15" customHeight="1" x14ac:dyDescent="0.25">
      <c r="A301" s="58"/>
      <c r="B301" s="59" t="s">
        <v>416</v>
      </c>
      <c r="C301" s="60">
        <v>3000</v>
      </c>
      <c r="D301" s="61" t="s">
        <v>13</v>
      </c>
      <c r="E301" s="60">
        <v>84</v>
      </c>
      <c r="F301" s="60">
        <f>C301*E301</f>
        <v>252000</v>
      </c>
      <c r="G301" s="59"/>
    </row>
    <row r="302" spans="1:7" ht="15" customHeight="1" x14ac:dyDescent="0.25">
      <c r="A302" s="58"/>
      <c r="B302" s="59" t="s">
        <v>417</v>
      </c>
      <c r="C302" s="60">
        <v>1</v>
      </c>
      <c r="D302" s="61" t="s">
        <v>192</v>
      </c>
      <c r="E302" s="60">
        <v>432000</v>
      </c>
      <c r="F302" s="60">
        <f>C302*E302</f>
        <v>432000</v>
      </c>
      <c r="G302" s="59"/>
    </row>
    <row r="303" spans="1:7" ht="15" customHeight="1" x14ac:dyDescent="0.25">
      <c r="A303" s="62"/>
      <c r="B303" s="63" t="s">
        <v>418</v>
      </c>
      <c r="C303" s="62"/>
      <c r="D303" s="62"/>
      <c r="E303" s="62"/>
      <c r="F303" s="64">
        <f>SUM(F299:F302)</f>
        <v>936000</v>
      </c>
      <c r="G303" s="62"/>
    </row>
    <row r="304" spans="1:7" ht="15" customHeight="1" x14ac:dyDescent="0.25">
      <c r="A304" s="55" t="s">
        <v>419</v>
      </c>
      <c r="B304" s="56" t="s">
        <v>420</v>
      </c>
      <c r="C304" s="57"/>
      <c r="D304" s="57"/>
      <c r="E304" s="57"/>
      <c r="F304" s="57"/>
      <c r="G304" s="57"/>
    </row>
    <row r="305" spans="1:7" ht="21.75" customHeight="1" x14ac:dyDescent="0.25">
      <c r="A305" s="58"/>
      <c r="B305" s="59" t="s">
        <v>421</v>
      </c>
      <c r="C305" s="60">
        <v>1600</v>
      </c>
      <c r="D305" s="61" t="s">
        <v>66</v>
      </c>
      <c r="E305" s="60">
        <v>360</v>
      </c>
      <c r="F305" s="60">
        <f>C305*E305</f>
        <v>576000</v>
      </c>
      <c r="G305" s="59" t="s">
        <v>422</v>
      </c>
    </row>
    <row r="306" spans="1:7" ht="15" customHeight="1" x14ac:dyDescent="0.25">
      <c r="A306" s="58"/>
      <c r="B306" s="59" t="s">
        <v>423</v>
      </c>
      <c r="C306" s="60">
        <v>4</v>
      </c>
      <c r="D306" s="61" t="s">
        <v>39</v>
      </c>
      <c r="E306" s="60">
        <v>78000</v>
      </c>
      <c r="F306" s="60">
        <f>C306*E306</f>
        <v>312000</v>
      </c>
      <c r="G306" s="59" t="s">
        <v>424</v>
      </c>
    </row>
    <row r="307" spans="1:7" ht="15" customHeight="1" x14ac:dyDescent="0.25">
      <c r="A307" s="58"/>
      <c r="B307" s="59" t="s">
        <v>425</v>
      </c>
      <c r="C307" s="60">
        <v>8</v>
      </c>
      <c r="D307" s="61" t="s">
        <v>39</v>
      </c>
      <c r="E307" s="60">
        <v>8400</v>
      </c>
      <c r="F307" s="60">
        <f>C307*E307</f>
        <v>67200</v>
      </c>
      <c r="G307" s="59"/>
    </row>
    <row r="308" spans="1:7" ht="15" customHeight="1" x14ac:dyDescent="0.25">
      <c r="A308" s="58"/>
      <c r="B308" s="59" t="s">
        <v>426</v>
      </c>
      <c r="C308" s="60">
        <v>8</v>
      </c>
      <c r="D308" s="61" t="s">
        <v>39</v>
      </c>
      <c r="E308" s="60">
        <v>24000</v>
      </c>
      <c r="F308" s="60">
        <f>C308*E308</f>
        <v>192000</v>
      </c>
      <c r="G308" s="59"/>
    </row>
    <row r="309" spans="1:7" ht="21.75" customHeight="1" x14ac:dyDescent="0.25">
      <c r="A309" s="58"/>
      <c r="B309" s="59" t="s">
        <v>427</v>
      </c>
      <c r="C309" s="60">
        <v>1</v>
      </c>
      <c r="D309" s="61" t="s">
        <v>192</v>
      </c>
      <c r="E309" s="60">
        <v>720000</v>
      </c>
      <c r="F309" s="60">
        <f>C309*E309</f>
        <v>720000</v>
      </c>
      <c r="G309" s="59" t="s">
        <v>428</v>
      </c>
    </row>
    <row r="310" spans="1:7" ht="15" customHeight="1" x14ac:dyDescent="0.25">
      <c r="A310" s="62"/>
      <c r="B310" s="63" t="s">
        <v>429</v>
      </c>
      <c r="C310" s="62"/>
      <c r="D310" s="62"/>
      <c r="E310" s="62"/>
      <c r="F310" s="64">
        <f>SUM(F304:F309)</f>
        <v>1867200</v>
      </c>
      <c r="G310" s="62"/>
    </row>
    <row r="312" spans="1:7" ht="21.75" customHeight="1" x14ac:dyDescent="0.25">
      <c r="A312" s="416" t="s">
        <v>430</v>
      </c>
      <c r="B312" s="416"/>
      <c r="C312" s="416"/>
      <c r="D312" s="416"/>
      <c r="E312" s="416"/>
      <c r="F312" s="416"/>
      <c r="G312" s="416"/>
    </row>
    <row r="313" spans="1:7" ht="30" customHeight="1" x14ac:dyDescent="0.25">
      <c r="A313" s="54" t="s">
        <v>3</v>
      </c>
      <c r="B313" s="54" t="s">
        <v>4</v>
      </c>
      <c r="C313" s="54" t="s">
        <v>5</v>
      </c>
      <c r="D313" s="54" t="s">
        <v>6</v>
      </c>
      <c r="E313" s="54" t="s">
        <v>7</v>
      </c>
      <c r="F313" s="54" t="s">
        <v>8</v>
      </c>
      <c r="G313" s="54" t="s">
        <v>9</v>
      </c>
    </row>
    <row r="314" spans="1:7" ht="15" customHeight="1" x14ac:dyDescent="0.25">
      <c r="A314" s="55" t="s">
        <v>431</v>
      </c>
      <c r="B314" s="56" t="s">
        <v>432</v>
      </c>
      <c r="C314" s="57"/>
      <c r="D314" s="57"/>
      <c r="E314" s="57"/>
      <c r="F314" s="57"/>
      <c r="G314" s="57"/>
    </row>
    <row r="315" spans="1:7" ht="21.75" customHeight="1" x14ac:dyDescent="0.25">
      <c r="A315" s="58"/>
      <c r="B315" s="59" t="s">
        <v>433</v>
      </c>
      <c r="C315" s="60">
        <v>9600</v>
      </c>
      <c r="D315" s="61" t="s">
        <v>66</v>
      </c>
      <c r="E315" s="60">
        <v>75</v>
      </c>
      <c r="F315" s="60">
        <f t="shared" ref="F315:F347" si="13">C315*E315</f>
        <v>720000</v>
      </c>
      <c r="G315" s="59" t="s">
        <v>434</v>
      </c>
    </row>
    <row r="316" spans="1:7" ht="15" customHeight="1" x14ac:dyDescent="0.25">
      <c r="A316" s="58"/>
      <c r="B316" s="59" t="s">
        <v>435</v>
      </c>
      <c r="C316" s="60">
        <v>1920</v>
      </c>
      <c r="D316" s="61" t="s">
        <v>39</v>
      </c>
      <c r="E316" s="60">
        <v>250</v>
      </c>
      <c r="F316" s="60">
        <f t="shared" si="13"/>
        <v>480000</v>
      </c>
      <c r="G316" s="59" t="s">
        <v>436</v>
      </c>
    </row>
    <row r="317" spans="1:7" ht="21.75" customHeight="1" x14ac:dyDescent="0.25">
      <c r="A317" s="58"/>
      <c r="B317" s="59" t="s">
        <v>437</v>
      </c>
      <c r="C317" s="60">
        <v>14400</v>
      </c>
      <c r="D317" s="61" t="s">
        <v>66</v>
      </c>
      <c r="E317" s="60">
        <v>65</v>
      </c>
      <c r="F317" s="60">
        <f t="shared" si="13"/>
        <v>936000</v>
      </c>
      <c r="G317" s="59" t="s">
        <v>438</v>
      </c>
    </row>
    <row r="318" spans="1:7" ht="15" customHeight="1" x14ac:dyDescent="0.25">
      <c r="A318" s="58"/>
      <c r="B318" s="59" t="s">
        <v>439</v>
      </c>
      <c r="C318" s="60">
        <v>8</v>
      </c>
      <c r="D318" s="61" t="s">
        <v>198</v>
      </c>
      <c r="E318" s="60">
        <v>90000</v>
      </c>
      <c r="F318" s="60">
        <f t="shared" si="13"/>
        <v>720000</v>
      </c>
      <c r="G318" s="59" t="s">
        <v>440</v>
      </c>
    </row>
    <row r="319" spans="1:7" ht="15" customHeight="1" x14ac:dyDescent="0.25">
      <c r="A319" s="58"/>
      <c r="B319" s="59" t="s">
        <v>441</v>
      </c>
      <c r="C319" s="60">
        <v>8</v>
      </c>
      <c r="D319" s="61" t="s">
        <v>198</v>
      </c>
      <c r="E319" s="60">
        <v>56250</v>
      </c>
      <c r="F319" s="60">
        <f t="shared" si="13"/>
        <v>450000</v>
      </c>
      <c r="G319" s="59"/>
    </row>
    <row r="320" spans="1:7" ht="15" customHeight="1" x14ac:dyDescent="0.25">
      <c r="A320" s="58"/>
      <c r="B320" s="59" t="s">
        <v>442</v>
      </c>
      <c r="C320" s="60">
        <v>8</v>
      </c>
      <c r="D320" s="61" t="s">
        <v>198</v>
      </c>
      <c r="E320" s="60">
        <v>48750</v>
      </c>
      <c r="F320" s="60">
        <f t="shared" si="13"/>
        <v>390000</v>
      </c>
      <c r="G320" s="59"/>
    </row>
    <row r="321" spans="1:7" ht="15" customHeight="1" x14ac:dyDescent="0.25">
      <c r="A321" s="58"/>
      <c r="B321" s="59" t="s">
        <v>443</v>
      </c>
      <c r="C321" s="60">
        <v>480</v>
      </c>
      <c r="D321" s="61" t="s">
        <v>39</v>
      </c>
      <c r="E321" s="60">
        <v>750</v>
      </c>
      <c r="F321" s="60">
        <f t="shared" si="13"/>
        <v>360000</v>
      </c>
      <c r="G321" s="59" t="s">
        <v>181</v>
      </c>
    </row>
    <row r="322" spans="1:7" ht="15" customHeight="1" x14ac:dyDescent="0.25">
      <c r="A322" s="58"/>
      <c r="B322" s="59" t="s">
        <v>444</v>
      </c>
      <c r="C322" s="60">
        <v>8</v>
      </c>
      <c r="D322" s="61" t="s">
        <v>192</v>
      </c>
      <c r="E322" s="60">
        <v>22500</v>
      </c>
      <c r="F322" s="60">
        <f t="shared" si="13"/>
        <v>180000</v>
      </c>
      <c r="G322" s="59"/>
    </row>
    <row r="323" spans="1:7" ht="15" customHeight="1" x14ac:dyDescent="0.25">
      <c r="A323" s="58"/>
      <c r="B323" s="59" t="s">
        <v>445</v>
      </c>
      <c r="C323" s="60">
        <v>8</v>
      </c>
      <c r="D323" s="61" t="s">
        <v>198</v>
      </c>
      <c r="E323" s="60">
        <v>150000</v>
      </c>
      <c r="F323" s="60">
        <f t="shared" si="13"/>
        <v>1200000</v>
      </c>
      <c r="G323" s="59"/>
    </row>
    <row r="324" spans="1:7" ht="15" customHeight="1" x14ac:dyDescent="0.25">
      <c r="A324" s="58"/>
      <c r="B324" s="59" t="s">
        <v>446</v>
      </c>
      <c r="C324" s="60">
        <v>3840</v>
      </c>
      <c r="D324" s="61" t="s">
        <v>39</v>
      </c>
      <c r="E324" s="60">
        <v>150</v>
      </c>
      <c r="F324" s="60">
        <f t="shared" si="13"/>
        <v>576000</v>
      </c>
      <c r="G324" s="59" t="s">
        <v>447</v>
      </c>
    </row>
    <row r="325" spans="1:7" ht="21.75" customHeight="1" x14ac:dyDescent="0.25">
      <c r="A325" s="58"/>
      <c r="B325" s="59" t="s">
        <v>448</v>
      </c>
      <c r="C325" s="60">
        <v>9600</v>
      </c>
      <c r="D325" s="61" t="s">
        <v>39</v>
      </c>
      <c r="E325" s="60">
        <v>70</v>
      </c>
      <c r="F325" s="60">
        <f t="shared" si="13"/>
        <v>672000</v>
      </c>
      <c r="G325" s="59" t="s">
        <v>449</v>
      </c>
    </row>
    <row r="326" spans="1:7" ht="15" customHeight="1" x14ac:dyDescent="0.25">
      <c r="A326" s="58"/>
      <c r="B326" s="59" t="s">
        <v>450</v>
      </c>
      <c r="C326" s="60">
        <v>1920</v>
      </c>
      <c r="D326" s="61" t="s">
        <v>39</v>
      </c>
      <c r="E326" s="60">
        <v>75</v>
      </c>
      <c r="F326" s="60">
        <f t="shared" si="13"/>
        <v>144000</v>
      </c>
      <c r="G326" s="59" t="s">
        <v>451</v>
      </c>
    </row>
    <row r="327" spans="1:7" ht="21.75" customHeight="1" x14ac:dyDescent="0.25">
      <c r="A327" s="58"/>
      <c r="B327" s="59" t="s">
        <v>452</v>
      </c>
      <c r="C327" s="60">
        <v>64000</v>
      </c>
      <c r="D327" s="61" t="s">
        <v>66</v>
      </c>
      <c r="E327" s="60">
        <v>8.5</v>
      </c>
      <c r="F327" s="60">
        <f t="shared" si="13"/>
        <v>544000</v>
      </c>
      <c r="G327" s="59" t="s">
        <v>453</v>
      </c>
    </row>
    <row r="328" spans="1:7" ht="15" customHeight="1" x14ac:dyDescent="0.25">
      <c r="A328" s="58"/>
      <c r="B328" s="59" t="s">
        <v>454</v>
      </c>
      <c r="C328" s="60">
        <v>1</v>
      </c>
      <c r="D328" s="61" t="s">
        <v>192</v>
      </c>
      <c r="E328" s="60">
        <v>240000</v>
      </c>
      <c r="F328" s="60">
        <f t="shared" si="13"/>
        <v>240000</v>
      </c>
      <c r="G328" s="59" t="s">
        <v>352</v>
      </c>
    </row>
    <row r="329" spans="1:7" ht="21.75" customHeight="1" x14ac:dyDescent="0.25">
      <c r="A329" s="58"/>
      <c r="B329" s="59" t="s">
        <v>455</v>
      </c>
      <c r="C329" s="60">
        <v>480</v>
      </c>
      <c r="D329" s="61" t="s">
        <v>39</v>
      </c>
      <c r="E329" s="60">
        <v>225</v>
      </c>
      <c r="F329" s="60">
        <f t="shared" si="13"/>
        <v>108000</v>
      </c>
      <c r="G329" s="59" t="s">
        <v>456</v>
      </c>
    </row>
    <row r="330" spans="1:7" ht="15" customHeight="1" x14ac:dyDescent="0.25">
      <c r="A330" s="58"/>
      <c r="B330" s="59" t="s">
        <v>457</v>
      </c>
      <c r="C330" s="60">
        <v>480</v>
      </c>
      <c r="D330" s="61" t="s">
        <v>39</v>
      </c>
      <c r="E330" s="60">
        <v>140</v>
      </c>
      <c r="F330" s="60">
        <f t="shared" si="13"/>
        <v>67200</v>
      </c>
      <c r="G330" s="59"/>
    </row>
    <row r="331" spans="1:7" ht="21.75" customHeight="1" x14ac:dyDescent="0.25">
      <c r="A331" s="58"/>
      <c r="B331" s="59" t="s">
        <v>458</v>
      </c>
      <c r="C331" s="60">
        <v>8</v>
      </c>
      <c r="D331" s="61" t="s">
        <v>198</v>
      </c>
      <c r="E331" s="60">
        <v>22500</v>
      </c>
      <c r="F331" s="60">
        <f t="shared" si="13"/>
        <v>180000</v>
      </c>
      <c r="G331" s="59" t="s">
        <v>459</v>
      </c>
    </row>
    <row r="332" spans="1:7" ht="21.75" customHeight="1" x14ac:dyDescent="0.25">
      <c r="A332" s="58"/>
      <c r="B332" s="59" t="s">
        <v>460</v>
      </c>
      <c r="C332" s="60">
        <v>4000</v>
      </c>
      <c r="D332" s="61" t="s">
        <v>66</v>
      </c>
      <c r="E332" s="60">
        <v>132</v>
      </c>
      <c r="F332" s="60">
        <f t="shared" si="13"/>
        <v>528000</v>
      </c>
      <c r="G332" s="59" t="s">
        <v>461</v>
      </c>
    </row>
    <row r="333" spans="1:7" ht="15" customHeight="1" x14ac:dyDescent="0.25">
      <c r="A333" s="58"/>
      <c r="B333" s="59" t="s">
        <v>462</v>
      </c>
      <c r="C333" s="60">
        <v>1</v>
      </c>
      <c r="D333" s="61" t="s">
        <v>192</v>
      </c>
      <c r="E333" s="60">
        <v>432000</v>
      </c>
      <c r="F333" s="60">
        <f t="shared" si="13"/>
        <v>432000</v>
      </c>
      <c r="G333" s="59"/>
    </row>
    <row r="334" spans="1:7" ht="15" customHeight="1" x14ac:dyDescent="0.25">
      <c r="A334" s="58"/>
      <c r="B334" s="59" t="s">
        <v>463</v>
      </c>
      <c r="C334" s="60">
        <v>192</v>
      </c>
      <c r="D334" s="61" t="s">
        <v>39</v>
      </c>
      <c r="E334" s="60">
        <v>1250</v>
      </c>
      <c r="F334" s="60">
        <f t="shared" si="13"/>
        <v>240000</v>
      </c>
      <c r="G334" s="59" t="s">
        <v>187</v>
      </c>
    </row>
    <row r="335" spans="1:7" ht="15" customHeight="1" x14ac:dyDescent="0.25">
      <c r="A335" s="58"/>
      <c r="B335" s="59" t="s">
        <v>464</v>
      </c>
      <c r="C335" s="60">
        <v>1</v>
      </c>
      <c r="D335" s="61" t="s">
        <v>192</v>
      </c>
      <c r="E335" s="60">
        <v>108000</v>
      </c>
      <c r="F335" s="60">
        <f t="shared" si="13"/>
        <v>108000</v>
      </c>
      <c r="G335" s="59"/>
    </row>
    <row r="336" spans="1:7" ht="15" customHeight="1" x14ac:dyDescent="0.25">
      <c r="A336" s="58"/>
      <c r="B336" s="59" t="s">
        <v>465</v>
      </c>
      <c r="C336" s="60">
        <v>24</v>
      </c>
      <c r="D336" s="61" t="s">
        <v>39</v>
      </c>
      <c r="E336" s="60">
        <v>8000</v>
      </c>
      <c r="F336" s="60">
        <f t="shared" si="13"/>
        <v>192000</v>
      </c>
      <c r="G336" s="59" t="s">
        <v>466</v>
      </c>
    </row>
    <row r="337" spans="1:7" ht="15" customHeight="1" x14ac:dyDescent="0.25">
      <c r="A337" s="58"/>
      <c r="B337" s="59" t="s">
        <v>467</v>
      </c>
      <c r="C337" s="60">
        <v>8</v>
      </c>
      <c r="D337" s="61" t="s">
        <v>39</v>
      </c>
      <c r="E337" s="60">
        <v>15000</v>
      </c>
      <c r="F337" s="60">
        <f t="shared" si="13"/>
        <v>120000</v>
      </c>
      <c r="G337" s="59"/>
    </row>
    <row r="338" spans="1:7" ht="15" customHeight="1" x14ac:dyDescent="0.25">
      <c r="A338" s="58"/>
      <c r="B338" s="59" t="s">
        <v>468</v>
      </c>
      <c r="C338" s="60">
        <v>384</v>
      </c>
      <c r="D338" s="61" t="s">
        <v>39</v>
      </c>
      <c r="E338" s="60">
        <v>175</v>
      </c>
      <c r="F338" s="60">
        <f t="shared" si="13"/>
        <v>67200</v>
      </c>
      <c r="G338" s="59" t="s">
        <v>469</v>
      </c>
    </row>
    <row r="339" spans="1:7" ht="15" customHeight="1" x14ac:dyDescent="0.25">
      <c r="A339" s="58"/>
      <c r="B339" s="59" t="s">
        <v>470</v>
      </c>
      <c r="C339" s="60">
        <v>1</v>
      </c>
      <c r="D339" s="61" t="s">
        <v>192</v>
      </c>
      <c r="E339" s="60">
        <v>72000</v>
      </c>
      <c r="F339" s="60">
        <f t="shared" si="13"/>
        <v>72000</v>
      </c>
      <c r="G339" s="59"/>
    </row>
    <row r="340" spans="1:7" ht="15" customHeight="1" x14ac:dyDescent="0.25">
      <c r="A340" s="58"/>
      <c r="B340" s="59" t="s">
        <v>471</v>
      </c>
      <c r="C340" s="60">
        <v>96</v>
      </c>
      <c r="D340" s="61" t="s">
        <v>39</v>
      </c>
      <c r="E340" s="60">
        <v>1750</v>
      </c>
      <c r="F340" s="60">
        <f t="shared" si="13"/>
        <v>168000</v>
      </c>
      <c r="G340" s="59" t="s">
        <v>199</v>
      </c>
    </row>
    <row r="341" spans="1:7" ht="15" customHeight="1" x14ac:dyDescent="0.25">
      <c r="A341" s="58"/>
      <c r="B341" s="59" t="s">
        <v>472</v>
      </c>
      <c r="C341" s="60">
        <v>1</v>
      </c>
      <c r="D341" s="61" t="s">
        <v>192</v>
      </c>
      <c r="E341" s="60">
        <v>288000</v>
      </c>
      <c r="F341" s="60">
        <f t="shared" si="13"/>
        <v>288000</v>
      </c>
      <c r="G341" s="59"/>
    </row>
    <row r="342" spans="1:7" ht="15" customHeight="1" x14ac:dyDescent="0.25">
      <c r="A342" s="58"/>
      <c r="B342" s="59" t="s">
        <v>473</v>
      </c>
      <c r="C342" s="60">
        <v>96</v>
      </c>
      <c r="D342" s="61" t="s">
        <v>39</v>
      </c>
      <c r="E342" s="60">
        <v>1500</v>
      </c>
      <c r="F342" s="60">
        <f t="shared" si="13"/>
        <v>144000</v>
      </c>
      <c r="G342" s="59" t="s">
        <v>199</v>
      </c>
    </row>
    <row r="343" spans="1:7" ht="21.75" customHeight="1" x14ac:dyDescent="0.25">
      <c r="A343" s="58"/>
      <c r="B343" s="59" t="s">
        <v>474</v>
      </c>
      <c r="C343" s="60">
        <v>4800</v>
      </c>
      <c r="D343" s="61" t="s">
        <v>66</v>
      </c>
      <c r="E343" s="60">
        <v>90</v>
      </c>
      <c r="F343" s="60">
        <f t="shared" si="13"/>
        <v>432000</v>
      </c>
      <c r="G343" s="59" t="s">
        <v>475</v>
      </c>
    </row>
    <row r="344" spans="1:7" ht="15" customHeight="1" x14ac:dyDescent="0.25">
      <c r="A344" s="58"/>
      <c r="B344" s="59" t="s">
        <v>476</v>
      </c>
      <c r="C344" s="60">
        <v>240</v>
      </c>
      <c r="D344" s="61" t="s">
        <v>39</v>
      </c>
      <c r="E344" s="60">
        <v>300</v>
      </c>
      <c r="F344" s="60">
        <f t="shared" si="13"/>
        <v>72000</v>
      </c>
      <c r="G344" s="59" t="s">
        <v>143</v>
      </c>
    </row>
    <row r="345" spans="1:7" ht="15" customHeight="1" x14ac:dyDescent="0.25">
      <c r="A345" s="58"/>
      <c r="B345" s="59" t="s">
        <v>477</v>
      </c>
      <c r="C345" s="60">
        <v>8</v>
      </c>
      <c r="D345" s="61" t="s">
        <v>39</v>
      </c>
      <c r="E345" s="60">
        <v>22500</v>
      </c>
      <c r="F345" s="60">
        <f t="shared" si="13"/>
        <v>180000</v>
      </c>
      <c r="G345" s="59"/>
    </row>
    <row r="346" spans="1:7" ht="15" customHeight="1" x14ac:dyDescent="0.25">
      <c r="A346" s="58"/>
      <c r="B346" s="59" t="s">
        <v>478</v>
      </c>
      <c r="C346" s="60">
        <v>1</v>
      </c>
      <c r="D346" s="61" t="s">
        <v>192</v>
      </c>
      <c r="E346" s="60">
        <v>288000</v>
      </c>
      <c r="F346" s="60">
        <f t="shared" si="13"/>
        <v>288000</v>
      </c>
      <c r="G346" s="59" t="s">
        <v>479</v>
      </c>
    </row>
    <row r="347" spans="1:7" ht="15" customHeight="1" x14ac:dyDescent="0.25">
      <c r="A347" s="58"/>
      <c r="B347" s="59" t="s">
        <v>480</v>
      </c>
      <c r="C347" s="60">
        <v>1</v>
      </c>
      <c r="D347" s="61" t="s">
        <v>192</v>
      </c>
      <c r="E347" s="60">
        <v>162000</v>
      </c>
      <c r="F347" s="60">
        <f t="shared" si="13"/>
        <v>162000</v>
      </c>
      <c r="G347" s="59"/>
    </row>
    <row r="348" spans="1:7" ht="15" customHeight="1" x14ac:dyDescent="0.25">
      <c r="A348" s="62"/>
      <c r="B348" s="63" t="s">
        <v>481</v>
      </c>
      <c r="C348" s="62"/>
      <c r="D348" s="62"/>
      <c r="E348" s="62"/>
      <c r="F348" s="64">
        <f>SUM(F314:F347)</f>
        <v>11460400</v>
      </c>
      <c r="G348" s="62"/>
    </row>
    <row r="349" spans="1:7" ht="15" customHeight="1" x14ac:dyDescent="0.25">
      <c r="A349" s="55" t="s">
        <v>482</v>
      </c>
      <c r="B349" s="56" t="s">
        <v>483</v>
      </c>
      <c r="C349" s="57"/>
      <c r="D349" s="57"/>
      <c r="E349" s="57"/>
      <c r="F349" s="57"/>
      <c r="G349" s="57"/>
    </row>
    <row r="350" spans="1:7" ht="15" customHeight="1" x14ac:dyDescent="0.25">
      <c r="A350" s="58"/>
      <c r="B350" s="59" t="s">
        <v>484</v>
      </c>
      <c r="C350" s="60">
        <v>1</v>
      </c>
      <c r="D350" s="61" t="s">
        <v>192</v>
      </c>
      <c r="E350" s="60">
        <v>425000</v>
      </c>
      <c r="F350" s="60">
        <f t="shared" ref="F350:F368" si="14">C350*E350</f>
        <v>425000</v>
      </c>
      <c r="G350" s="59" t="s">
        <v>352</v>
      </c>
    </row>
    <row r="351" spans="1:7" ht="21.75" customHeight="1" x14ac:dyDescent="0.25">
      <c r="A351" s="58"/>
      <c r="B351" s="59" t="s">
        <v>485</v>
      </c>
      <c r="C351" s="60">
        <v>1</v>
      </c>
      <c r="D351" s="61" t="s">
        <v>192</v>
      </c>
      <c r="E351" s="60">
        <v>336000</v>
      </c>
      <c r="F351" s="60">
        <f t="shared" si="14"/>
        <v>336000</v>
      </c>
      <c r="G351" s="59" t="s">
        <v>486</v>
      </c>
    </row>
    <row r="352" spans="1:7" ht="15" customHeight="1" x14ac:dyDescent="0.25">
      <c r="A352" s="58"/>
      <c r="B352" s="59" t="s">
        <v>487</v>
      </c>
      <c r="C352" s="60">
        <v>1</v>
      </c>
      <c r="D352" s="61" t="s">
        <v>192</v>
      </c>
      <c r="E352" s="60">
        <v>81000</v>
      </c>
      <c r="F352" s="60">
        <f t="shared" si="14"/>
        <v>81000</v>
      </c>
      <c r="G352" s="59"/>
    </row>
    <row r="353" spans="1:7" ht="15" customHeight="1" x14ac:dyDescent="0.25">
      <c r="A353" s="58"/>
      <c r="B353" s="59" t="s">
        <v>488</v>
      </c>
      <c r="C353" s="60">
        <v>1</v>
      </c>
      <c r="D353" s="61" t="s">
        <v>192</v>
      </c>
      <c r="E353" s="60">
        <v>492000</v>
      </c>
      <c r="F353" s="60">
        <f t="shared" si="14"/>
        <v>492000</v>
      </c>
      <c r="G353" s="59"/>
    </row>
    <row r="354" spans="1:7" ht="15" customHeight="1" x14ac:dyDescent="0.25">
      <c r="A354" s="58"/>
      <c r="B354" s="59" t="s">
        <v>489</v>
      </c>
      <c r="C354" s="60">
        <v>1</v>
      </c>
      <c r="D354" s="61" t="s">
        <v>192</v>
      </c>
      <c r="E354" s="60">
        <v>156000</v>
      </c>
      <c r="F354" s="60">
        <f t="shared" si="14"/>
        <v>156000</v>
      </c>
      <c r="G354" s="59"/>
    </row>
    <row r="355" spans="1:7" ht="15" customHeight="1" x14ac:dyDescent="0.25">
      <c r="A355" s="58"/>
      <c r="B355" s="59" t="s">
        <v>490</v>
      </c>
      <c r="C355" s="60">
        <v>1</v>
      </c>
      <c r="D355" s="61" t="s">
        <v>192</v>
      </c>
      <c r="E355" s="60">
        <v>225000</v>
      </c>
      <c r="F355" s="60">
        <f t="shared" si="14"/>
        <v>225000</v>
      </c>
      <c r="G355" s="59"/>
    </row>
    <row r="356" spans="1:7" ht="15" customHeight="1" x14ac:dyDescent="0.25">
      <c r="A356" s="58"/>
      <c r="B356" s="59" t="s">
        <v>491</v>
      </c>
      <c r="C356" s="60">
        <v>1</v>
      </c>
      <c r="D356" s="61" t="s">
        <v>192</v>
      </c>
      <c r="E356" s="60">
        <v>45000</v>
      </c>
      <c r="F356" s="60">
        <f t="shared" si="14"/>
        <v>45000</v>
      </c>
      <c r="G356" s="59"/>
    </row>
    <row r="357" spans="1:7" ht="15" customHeight="1" x14ac:dyDescent="0.25">
      <c r="A357" s="58"/>
      <c r="B357" s="59" t="s">
        <v>492</v>
      </c>
      <c r="C357" s="60">
        <v>1</v>
      </c>
      <c r="D357" s="61" t="s">
        <v>192</v>
      </c>
      <c r="E357" s="60">
        <v>138000</v>
      </c>
      <c r="F357" s="60">
        <f t="shared" si="14"/>
        <v>138000</v>
      </c>
      <c r="G357" s="59"/>
    </row>
    <row r="358" spans="1:7" ht="15" customHeight="1" x14ac:dyDescent="0.25">
      <c r="A358" s="58"/>
      <c r="B358" s="59" t="s">
        <v>493</v>
      </c>
      <c r="C358" s="60">
        <v>1</v>
      </c>
      <c r="D358" s="61" t="s">
        <v>192</v>
      </c>
      <c r="E358" s="60">
        <v>72000</v>
      </c>
      <c r="F358" s="60">
        <f t="shared" si="14"/>
        <v>72000</v>
      </c>
      <c r="G358" s="59"/>
    </row>
    <row r="359" spans="1:7" ht="15" customHeight="1" x14ac:dyDescent="0.25">
      <c r="A359" s="58"/>
      <c r="B359" s="59" t="s">
        <v>494</v>
      </c>
      <c r="C359" s="60">
        <v>1</v>
      </c>
      <c r="D359" s="61" t="s">
        <v>192</v>
      </c>
      <c r="E359" s="60">
        <v>252000</v>
      </c>
      <c r="F359" s="60">
        <f t="shared" si="14"/>
        <v>252000</v>
      </c>
      <c r="G359" s="59"/>
    </row>
    <row r="360" spans="1:7" ht="15" customHeight="1" x14ac:dyDescent="0.25">
      <c r="A360" s="58"/>
      <c r="B360" s="59" t="s">
        <v>495</v>
      </c>
      <c r="C360" s="60">
        <v>1</v>
      </c>
      <c r="D360" s="61" t="s">
        <v>192</v>
      </c>
      <c r="E360" s="60">
        <v>105000</v>
      </c>
      <c r="F360" s="60">
        <f t="shared" si="14"/>
        <v>105000</v>
      </c>
      <c r="G360" s="59"/>
    </row>
    <row r="361" spans="1:7" ht="15" customHeight="1" x14ac:dyDescent="0.25">
      <c r="A361" s="58"/>
      <c r="B361" s="59" t="s">
        <v>496</v>
      </c>
      <c r="C361" s="60">
        <v>1</v>
      </c>
      <c r="D361" s="61" t="s">
        <v>192</v>
      </c>
      <c r="E361" s="60">
        <v>159000</v>
      </c>
      <c r="F361" s="60">
        <f t="shared" si="14"/>
        <v>159000</v>
      </c>
      <c r="G361" s="59"/>
    </row>
    <row r="362" spans="1:7" ht="15" customHeight="1" x14ac:dyDescent="0.25">
      <c r="A362" s="58"/>
      <c r="B362" s="59" t="s">
        <v>497</v>
      </c>
      <c r="C362" s="60">
        <v>1</v>
      </c>
      <c r="D362" s="61" t="s">
        <v>192</v>
      </c>
      <c r="E362" s="60">
        <v>99000</v>
      </c>
      <c r="F362" s="60">
        <f t="shared" si="14"/>
        <v>99000</v>
      </c>
      <c r="G362" s="59"/>
    </row>
    <row r="363" spans="1:7" ht="15" customHeight="1" x14ac:dyDescent="0.25">
      <c r="A363" s="58"/>
      <c r="B363" s="59" t="s">
        <v>498</v>
      </c>
      <c r="C363" s="60">
        <v>1</v>
      </c>
      <c r="D363" s="61" t="s">
        <v>192</v>
      </c>
      <c r="E363" s="60">
        <v>48000</v>
      </c>
      <c r="F363" s="60">
        <f t="shared" si="14"/>
        <v>48000</v>
      </c>
      <c r="G363" s="59"/>
    </row>
    <row r="364" spans="1:7" ht="15" customHeight="1" x14ac:dyDescent="0.25">
      <c r="A364" s="58"/>
      <c r="B364" s="59" t="s">
        <v>499</v>
      </c>
      <c r="C364" s="60">
        <v>1</v>
      </c>
      <c r="D364" s="61" t="s">
        <v>192</v>
      </c>
      <c r="E364" s="60">
        <v>162000</v>
      </c>
      <c r="F364" s="60">
        <f t="shared" si="14"/>
        <v>162000</v>
      </c>
      <c r="G364" s="59"/>
    </row>
    <row r="365" spans="1:7" ht="15" customHeight="1" x14ac:dyDescent="0.25">
      <c r="A365" s="58"/>
      <c r="B365" s="59" t="s">
        <v>500</v>
      </c>
      <c r="C365" s="60">
        <v>1</v>
      </c>
      <c r="D365" s="61" t="s">
        <v>192</v>
      </c>
      <c r="E365" s="60">
        <v>75000</v>
      </c>
      <c r="F365" s="60">
        <f t="shared" si="14"/>
        <v>75000</v>
      </c>
      <c r="G365" s="59"/>
    </row>
    <row r="366" spans="1:7" ht="15" customHeight="1" x14ac:dyDescent="0.25">
      <c r="A366" s="58"/>
      <c r="B366" s="59" t="s">
        <v>501</v>
      </c>
      <c r="C366" s="60">
        <v>1</v>
      </c>
      <c r="D366" s="61" t="s">
        <v>192</v>
      </c>
      <c r="E366" s="60">
        <v>138000</v>
      </c>
      <c r="F366" s="60">
        <f t="shared" si="14"/>
        <v>138000</v>
      </c>
      <c r="G366" s="59"/>
    </row>
    <row r="367" spans="1:7" ht="15" customHeight="1" x14ac:dyDescent="0.25">
      <c r="A367" s="58"/>
      <c r="B367" s="59" t="s">
        <v>502</v>
      </c>
      <c r="C367" s="60">
        <v>1</v>
      </c>
      <c r="D367" s="61" t="s">
        <v>192</v>
      </c>
      <c r="E367" s="60">
        <v>123000</v>
      </c>
      <c r="F367" s="60">
        <f t="shared" si="14"/>
        <v>123000</v>
      </c>
      <c r="G367" s="59"/>
    </row>
    <row r="368" spans="1:7" ht="15" customHeight="1" x14ac:dyDescent="0.25">
      <c r="A368" s="58"/>
      <c r="B368" s="59" t="s">
        <v>503</v>
      </c>
      <c r="C368" s="60">
        <v>1</v>
      </c>
      <c r="D368" s="61" t="s">
        <v>192</v>
      </c>
      <c r="E368" s="60">
        <v>54000</v>
      </c>
      <c r="F368" s="60">
        <f t="shared" si="14"/>
        <v>54000</v>
      </c>
      <c r="G368" s="59"/>
    </row>
    <row r="369" spans="1:7" ht="15" customHeight="1" x14ac:dyDescent="0.25">
      <c r="A369" s="62"/>
      <c r="B369" s="63" t="s">
        <v>504</v>
      </c>
      <c r="C369" s="62"/>
      <c r="D369" s="62"/>
      <c r="E369" s="62"/>
      <c r="F369" s="64">
        <f>SUM(F349:F368)</f>
        <v>3185000</v>
      </c>
      <c r="G369" s="62"/>
    </row>
    <row r="370" spans="1:7" ht="15" customHeight="1" x14ac:dyDescent="0.25">
      <c r="A370" s="55" t="s">
        <v>505</v>
      </c>
      <c r="B370" s="56" t="s">
        <v>506</v>
      </c>
      <c r="C370" s="57"/>
      <c r="D370" s="57"/>
      <c r="E370" s="57"/>
      <c r="F370" s="57"/>
      <c r="G370" s="57"/>
    </row>
    <row r="371" spans="1:7" ht="15" customHeight="1" x14ac:dyDescent="0.25">
      <c r="A371" s="58"/>
      <c r="B371" s="59" t="s">
        <v>484</v>
      </c>
      <c r="C371" s="60">
        <v>1</v>
      </c>
      <c r="D371" s="61" t="s">
        <v>192</v>
      </c>
      <c r="E371" s="60">
        <v>228000</v>
      </c>
      <c r="F371" s="60">
        <f t="shared" ref="F371:F384" si="15">C371*E371</f>
        <v>228000</v>
      </c>
      <c r="G371" s="59" t="s">
        <v>352</v>
      </c>
    </row>
    <row r="372" spans="1:7" ht="15" customHeight="1" x14ac:dyDescent="0.25">
      <c r="A372" s="58"/>
      <c r="B372" s="59" t="s">
        <v>507</v>
      </c>
      <c r="C372" s="60">
        <v>1</v>
      </c>
      <c r="D372" s="61" t="s">
        <v>192</v>
      </c>
      <c r="E372" s="60">
        <v>208500</v>
      </c>
      <c r="F372" s="60">
        <f t="shared" si="15"/>
        <v>208500</v>
      </c>
      <c r="G372" s="59"/>
    </row>
    <row r="373" spans="1:7" ht="15" customHeight="1" x14ac:dyDescent="0.25">
      <c r="A373" s="58"/>
      <c r="B373" s="59" t="s">
        <v>508</v>
      </c>
      <c r="C373" s="60">
        <v>1</v>
      </c>
      <c r="D373" s="61" t="s">
        <v>192</v>
      </c>
      <c r="E373" s="60">
        <v>234000</v>
      </c>
      <c r="F373" s="60">
        <f t="shared" si="15"/>
        <v>234000</v>
      </c>
      <c r="G373" s="59"/>
    </row>
    <row r="374" spans="1:7" ht="15" customHeight="1" x14ac:dyDescent="0.25">
      <c r="A374" s="58"/>
      <c r="B374" s="59" t="s">
        <v>489</v>
      </c>
      <c r="C374" s="60">
        <v>1</v>
      </c>
      <c r="D374" s="61" t="s">
        <v>192</v>
      </c>
      <c r="E374" s="60">
        <v>90000</v>
      </c>
      <c r="F374" s="60">
        <f t="shared" si="15"/>
        <v>90000</v>
      </c>
      <c r="G374" s="59"/>
    </row>
    <row r="375" spans="1:7" ht="15" customHeight="1" x14ac:dyDescent="0.25">
      <c r="A375" s="58"/>
      <c r="B375" s="59" t="s">
        <v>490</v>
      </c>
      <c r="C375" s="60">
        <v>1</v>
      </c>
      <c r="D375" s="61" t="s">
        <v>192</v>
      </c>
      <c r="E375" s="60">
        <v>117000</v>
      </c>
      <c r="F375" s="60">
        <f t="shared" si="15"/>
        <v>117000</v>
      </c>
      <c r="G375" s="59"/>
    </row>
    <row r="376" spans="1:7" ht="15" customHeight="1" x14ac:dyDescent="0.25">
      <c r="A376" s="58"/>
      <c r="B376" s="59" t="s">
        <v>509</v>
      </c>
      <c r="C376" s="60">
        <v>1</v>
      </c>
      <c r="D376" s="61" t="s">
        <v>192</v>
      </c>
      <c r="E376" s="60">
        <v>22500</v>
      </c>
      <c r="F376" s="60">
        <f t="shared" si="15"/>
        <v>22500</v>
      </c>
      <c r="G376" s="59"/>
    </row>
    <row r="377" spans="1:7" ht="15" customHeight="1" x14ac:dyDescent="0.25">
      <c r="A377" s="58"/>
      <c r="B377" s="59" t="s">
        <v>510</v>
      </c>
      <c r="C377" s="60">
        <v>1</v>
      </c>
      <c r="D377" s="61" t="s">
        <v>192</v>
      </c>
      <c r="E377" s="60">
        <v>114000</v>
      </c>
      <c r="F377" s="60">
        <f t="shared" si="15"/>
        <v>114000</v>
      </c>
      <c r="G377" s="59"/>
    </row>
    <row r="378" spans="1:7" ht="15" customHeight="1" x14ac:dyDescent="0.25">
      <c r="A378" s="58"/>
      <c r="B378" s="59" t="s">
        <v>511</v>
      </c>
      <c r="C378" s="60">
        <v>1</v>
      </c>
      <c r="D378" s="61" t="s">
        <v>192</v>
      </c>
      <c r="E378" s="60">
        <v>117000</v>
      </c>
      <c r="F378" s="60">
        <f t="shared" si="15"/>
        <v>117000</v>
      </c>
      <c r="G378" s="59"/>
    </row>
    <row r="379" spans="1:7" ht="15" customHeight="1" x14ac:dyDescent="0.25">
      <c r="A379" s="58"/>
      <c r="B379" s="59" t="s">
        <v>512</v>
      </c>
      <c r="C379" s="60">
        <v>1</v>
      </c>
      <c r="D379" s="61" t="s">
        <v>192</v>
      </c>
      <c r="E379" s="60">
        <v>81000</v>
      </c>
      <c r="F379" s="60">
        <f t="shared" si="15"/>
        <v>81000</v>
      </c>
      <c r="G379" s="59"/>
    </row>
    <row r="380" spans="1:7" ht="15" customHeight="1" x14ac:dyDescent="0.25">
      <c r="A380" s="58"/>
      <c r="B380" s="59" t="s">
        <v>513</v>
      </c>
      <c r="C380" s="60">
        <v>1</v>
      </c>
      <c r="D380" s="61" t="s">
        <v>192</v>
      </c>
      <c r="E380" s="60">
        <v>130500</v>
      </c>
      <c r="F380" s="60">
        <f t="shared" si="15"/>
        <v>130500</v>
      </c>
      <c r="G380" s="59"/>
    </row>
    <row r="381" spans="1:7" ht="15" customHeight="1" x14ac:dyDescent="0.25">
      <c r="A381" s="58"/>
      <c r="B381" s="59" t="s">
        <v>500</v>
      </c>
      <c r="C381" s="60">
        <v>1</v>
      </c>
      <c r="D381" s="61" t="s">
        <v>192</v>
      </c>
      <c r="E381" s="60">
        <v>43500</v>
      </c>
      <c r="F381" s="60">
        <f t="shared" si="15"/>
        <v>43500</v>
      </c>
      <c r="G381" s="59"/>
    </row>
    <row r="382" spans="1:7" ht="15" customHeight="1" x14ac:dyDescent="0.25">
      <c r="A382" s="58"/>
      <c r="B382" s="59" t="s">
        <v>501</v>
      </c>
      <c r="C382" s="60">
        <v>1</v>
      </c>
      <c r="D382" s="61" t="s">
        <v>192</v>
      </c>
      <c r="E382" s="60">
        <v>70500</v>
      </c>
      <c r="F382" s="60">
        <f t="shared" si="15"/>
        <v>70500</v>
      </c>
      <c r="G382" s="59"/>
    </row>
    <row r="383" spans="1:7" ht="15" customHeight="1" x14ac:dyDescent="0.25">
      <c r="A383" s="58"/>
      <c r="B383" s="59" t="s">
        <v>514</v>
      </c>
      <c r="C383" s="60">
        <v>1</v>
      </c>
      <c r="D383" s="61" t="s">
        <v>192</v>
      </c>
      <c r="E383" s="60">
        <v>63000</v>
      </c>
      <c r="F383" s="60">
        <f t="shared" si="15"/>
        <v>63000</v>
      </c>
      <c r="G383" s="59"/>
    </row>
    <row r="384" spans="1:7" ht="15" customHeight="1" x14ac:dyDescent="0.25">
      <c r="A384" s="58"/>
      <c r="B384" s="59" t="s">
        <v>503</v>
      </c>
      <c r="C384" s="60">
        <v>1</v>
      </c>
      <c r="D384" s="61" t="s">
        <v>192</v>
      </c>
      <c r="E384" s="60">
        <v>30000</v>
      </c>
      <c r="F384" s="60">
        <f t="shared" si="15"/>
        <v>30000</v>
      </c>
      <c r="G384" s="59"/>
    </row>
    <row r="385" spans="1:7" ht="15" customHeight="1" x14ac:dyDescent="0.25">
      <c r="A385" s="62"/>
      <c r="B385" s="63" t="s">
        <v>515</v>
      </c>
      <c r="C385" s="62"/>
      <c r="D385" s="62"/>
      <c r="E385" s="62"/>
      <c r="F385" s="64">
        <f>SUM(F370:F384)</f>
        <v>1549500</v>
      </c>
      <c r="G385" s="62"/>
    </row>
    <row r="386" spans="1:7" ht="15" customHeight="1" x14ac:dyDescent="0.25">
      <c r="A386" s="55" t="s">
        <v>516</v>
      </c>
      <c r="B386" s="56" t="s">
        <v>517</v>
      </c>
      <c r="C386" s="57"/>
      <c r="D386" s="57"/>
      <c r="E386" s="57"/>
      <c r="F386" s="57"/>
      <c r="G386" s="57"/>
    </row>
    <row r="387" spans="1:7" ht="15" customHeight="1" x14ac:dyDescent="0.25">
      <c r="A387" s="58"/>
      <c r="B387" s="59" t="s">
        <v>518</v>
      </c>
      <c r="C387" s="60">
        <v>1</v>
      </c>
      <c r="D387" s="61" t="s">
        <v>192</v>
      </c>
      <c r="E387" s="60">
        <v>162000</v>
      </c>
      <c r="F387" s="60">
        <f t="shared" ref="F387:F412" si="16">C387*E387</f>
        <v>162000</v>
      </c>
      <c r="G387" s="59"/>
    </row>
    <row r="388" spans="1:7" ht="15" customHeight="1" x14ac:dyDescent="0.25">
      <c r="A388" s="58"/>
      <c r="B388" s="59" t="s">
        <v>519</v>
      </c>
      <c r="C388" s="60">
        <v>4</v>
      </c>
      <c r="D388" s="61" t="s">
        <v>39</v>
      </c>
      <c r="E388" s="60">
        <v>15000</v>
      </c>
      <c r="F388" s="60">
        <f t="shared" si="16"/>
        <v>60000</v>
      </c>
      <c r="G388" s="59"/>
    </row>
    <row r="389" spans="1:7" ht="15" customHeight="1" x14ac:dyDescent="0.25">
      <c r="A389" s="58"/>
      <c r="B389" s="59" t="s">
        <v>520</v>
      </c>
      <c r="C389" s="60">
        <v>1</v>
      </c>
      <c r="D389" s="61" t="s">
        <v>192</v>
      </c>
      <c r="E389" s="60">
        <v>180000</v>
      </c>
      <c r="F389" s="60">
        <f t="shared" si="16"/>
        <v>180000</v>
      </c>
      <c r="G389" s="59"/>
    </row>
    <row r="390" spans="1:7" ht="21.75" customHeight="1" x14ac:dyDescent="0.25">
      <c r="A390" s="58"/>
      <c r="B390" s="59" t="s">
        <v>521</v>
      </c>
      <c r="C390" s="60">
        <v>2000</v>
      </c>
      <c r="D390" s="61" t="s">
        <v>66</v>
      </c>
      <c r="E390" s="60">
        <v>270</v>
      </c>
      <c r="F390" s="60">
        <f t="shared" si="16"/>
        <v>540000</v>
      </c>
      <c r="G390" s="59" t="s">
        <v>522</v>
      </c>
    </row>
    <row r="391" spans="1:7" ht="15" customHeight="1" x14ac:dyDescent="0.25">
      <c r="A391" s="58"/>
      <c r="B391" s="59" t="s">
        <v>523</v>
      </c>
      <c r="C391" s="60">
        <v>2</v>
      </c>
      <c r="D391" s="61" t="s">
        <v>39</v>
      </c>
      <c r="E391" s="60">
        <v>114000</v>
      </c>
      <c r="F391" s="60">
        <f t="shared" si="16"/>
        <v>228000</v>
      </c>
      <c r="G391" s="59" t="s">
        <v>524</v>
      </c>
    </row>
    <row r="392" spans="1:7" ht="21.75" customHeight="1" x14ac:dyDescent="0.25">
      <c r="A392" s="58"/>
      <c r="B392" s="59" t="s">
        <v>525</v>
      </c>
      <c r="C392" s="60">
        <v>4</v>
      </c>
      <c r="D392" s="61" t="s">
        <v>39</v>
      </c>
      <c r="E392" s="60">
        <v>39000</v>
      </c>
      <c r="F392" s="60">
        <f t="shared" si="16"/>
        <v>156000</v>
      </c>
      <c r="G392" s="59" t="s">
        <v>526</v>
      </c>
    </row>
    <row r="393" spans="1:7" ht="21.75" customHeight="1" x14ac:dyDescent="0.25">
      <c r="A393" s="58"/>
      <c r="B393" s="59" t="s">
        <v>527</v>
      </c>
      <c r="C393" s="60">
        <v>3000</v>
      </c>
      <c r="D393" s="61" t="s">
        <v>66</v>
      </c>
      <c r="E393" s="60">
        <v>240</v>
      </c>
      <c r="F393" s="60">
        <f t="shared" si="16"/>
        <v>720000</v>
      </c>
      <c r="G393" s="59" t="s">
        <v>528</v>
      </c>
    </row>
    <row r="394" spans="1:7" ht="15" customHeight="1" x14ac:dyDescent="0.25">
      <c r="A394" s="58"/>
      <c r="B394" s="59" t="s">
        <v>529</v>
      </c>
      <c r="C394" s="60">
        <v>1</v>
      </c>
      <c r="D394" s="61" t="s">
        <v>192</v>
      </c>
      <c r="E394" s="60">
        <v>108000</v>
      </c>
      <c r="F394" s="60">
        <f t="shared" si="16"/>
        <v>108000</v>
      </c>
      <c r="G394" s="59"/>
    </row>
    <row r="395" spans="1:7" ht="21.75" customHeight="1" x14ac:dyDescent="0.25">
      <c r="A395" s="58"/>
      <c r="B395" s="59" t="s">
        <v>530</v>
      </c>
      <c r="C395" s="60">
        <v>2</v>
      </c>
      <c r="D395" s="61" t="s">
        <v>198</v>
      </c>
      <c r="E395" s="60">
        <v>720000</v>
      </c>
      <c r="F395" s="60">
        <f t="shared" si="16"/>
        <v>1440000</v>
      </c>
      <c r="G395" s="59" t="s">
        <v>531</v>
      </c>
    </row>
    <row r="396" spans="1:7" ht="15" customHeight="1" x14ac:dyDescent="0.25">
      <c r="A396" s="58"/>
      <c r="B396" s="59" t="s">
        <v>532</v>
      </c>
      <c r="C396" s="60">
        <v>1</v>
      </c>
      <c r="D396" s="61" t="s">
        <v>192</v>
      </c>
      <c r="E396" s="60">
        <v>216000</v>
      </c>
      <c r="F396" s="60">
        <f t="shared" si="16"/>
        <v>216000</v>
      </c>
      <c r="G396" s="59"/>
    </row>
    <row r="397" spans="1:7" ht="15" customHeight="1" x14ac:dyDescent="0.25">
      <c r="A397" s="58"/>
      <c r="B397" s="59" t="s">
        <v>533</v>
      </c>
      <c r="C397" s="60">
        <v>1</v>
      </c>
      <c r="D397" s="61" t="s">
        <v>192</v>
      </c>
      <c r="E397" s="60">
        <v>168000</v>
      </c>
      <c r="F397" s="60">
        <f t="shared" si="16"/>
        <v>168000</v>
      </c>
      <c r="G397" s="59"/>
    </row>
    <row r="398" spans="1:7" ht="21.75" customHeight="1" x14ac:dyDescent="0.25">
      <c r="A398" s="58"/>
      <c r="B398" s="59" t="s">
        <v>534</v>
      </c>
      <c r="C398" s="60">
        <v>200</v>
      </c>
      <c r="D398" s="61" t="s">
        <v>39</v>
      </c>
      <c r="E398" s="60">
        <v>1200</v>
      </c>
      <c r="F398" s="60">
        <f t="shared" si="16"/>
        <v>240000</v>
      </c>
      <c r="G398" s="59" t="s">
        <v>535</v>
      </c>
    </row>
    <row r="399" spans="1:7" ht="15" customHeight="1" x14ac:dyDescent="0.25">
      <c r="A399" s="58"/>
      <c r="B399" s="59" t="s">
        <v>536</v>
      </c>
      <c r="C399" s="60">
        <v>1</v>
      </c>
      <c r="D399" s="61" t="s">
        <v>192</v>
      </c>
      <c r="E399" s="60">
        <v>72000</v>
      </c>
      <c r="F399" s="60">
        <f t="shared" si="16"/>
        <v>72000</v>
      </c>
      <c r="G399" s="59"/>
    </row>
    <row r="400" spans="1:7" ht="15" customHeight="1" x14ac:dyDescent="0.25">
      <c r="A400" s="58"/>
      <c r="B400" s="59" t="s">
        <v>537</v>
      </c>
      <c r="C400" s="60">
        <v>1</v>
      </c>
      <c r="D400" s="61" t="s">
        <v>192</v>
      </c>
      <c r="E400" s="60">
        <v>45000</v>
      </c>
      <c r="F400" s="60">
        <f t="shared" si="16"/>
        <v>45000</v>
      </c>
      <c r="G400" s="59"/>
    </row>
    <row r="401" spans="1:7" ht="15" customHeight="1" x14ac:dyDescent="0.25">
      <c r="A401" s="58"/>
      <c r="B401" s="59" t="s">
        <v>538</v>
      </c>
      <c r="C401" s="60">
        <v>1</v>
      </c>
      <c r="D401" s="61" t="s">
        <v>192</v>
      </c>
      <c r="E401" s="60">
        <v>996000</v>
      </c>
      <c r="F401" s="60">
        <f t="shared" si="16"/>
        <v>996000</v>
      </c>
      <c r="G401" s="59"/>
    </row>
    <row r="402" spans="1:7" ht="15" customHeight="1" x14ac:dyDescent="0.25">
      <c r="A402" s="58"/>
      <c r="B402" s="59" t="s">
        <v>539</v>
      </c>
      <c r="C402" s="60">
        <v>1</v>
      </c>
      <c r="D402" s="61" t="s">
        <v>192</v>
      </c>
      <c r="E402" s="60">
        <v>234000</v>
      </c>
      <c r="F402" s="60">
        <f t="shared" si="16"/>
        <v>234000</v>
      </c>
      <c r="G402" s="59"/>
    </row>
    <row r="403" spans="1:7" ht="15" customHeight="1" x14ac:dyDescent="0.25">
      <c r="A403" s="58"/>
      <c r="B403" s="59" t="s">
        <v>540</v>
      </c>
      <c r="C403" s="60">
        <v>1</v>
      </c>
      <c r="D403" s="61" t="s">
        <v>192</v>
      </c>
      <c r="E403" s="60">
        <v>432000</v>
      </c>
      <c r="F403" s="60">
        <f t="shared" si="16"/>
        <v>432000</v>
      </c>
      <c r="G403" s="59"/>
    </row>
    <row r="404" spans="1:7" ht="15" customHeight="1" x14ac:dyDescent="0.25">
      <c r="A404" s="58"/>
      <c r="B404" s="59" t="s">
        <v>541</v>
      </c>
      <c r="C404" s="60">
        <v>1</v>
      </c>
      <c r="D404" s="61" t="s">
        <v>192</v>
      </c>
      <c r="E404" s="60">
        <v>234000</v>
      </c>
      <c r="F404" s="60">
        <f t="shared" si="16"/>
        <v>234000</v>
      </c>
      <c r="G404" s="59"/>
    </row>
    <row r="405" spans="1:7" ht="15" customHeight="1" x14ac:dyDescent="0.25">
      <c r="A405" s="58"/>
      <c r="B405" s="59" t="s">
        <v>542</v>
      </c>
      <c r="C405" s="60">
        <v>1</v>
      </c>
      <c r="D405" s="61" t="s">
        <v>192</v>
      </c>
      <c r="E405" s="60">
        <v>192000</v>
      </c>
      <c r="F405" s="60">
        <f t="shared" si="16"/>
        <v>192000</v>
      </c>
      <c r="G405" s="59"/>
    </row>
    <row r="406" spans="1:7" ht="15" customHeight="1" x14ac:dyDescent="0.25">
      <c r="A406" s="58"/>
      <c r="B406" s="59" t="s">
        <v>543</v>
      </c>
      <c r="C406" s="60">
        <v>8</v>
      </c>
      <c r="D406" s="61" t="s">
        <v>544</v>
      </c>
      <c r="E406" s="60">
        <v>60000</v>
      </c>
      <c r="F406" s="60">
        <f t="shared" si="16"/>
        <v>480000</v>
      </c>
      <c r="G406" s="59" t="s">
        <v>545</v>
      </c>
    </row>
    <row r="407" spans="1:7" ht="15" customHeight="1" x14ac:dyDescent="0.25">
      <c r="A407" s="58"/>
      <c r="B407" s="59" t="s">
        <v>546</v>
      </c>
      <c r="C407" s="60">
        <v>1</v>
      </c>
      <c r="D407" s="61" t="s">
        <v>192</v>
      </c>
      <c r="E407" s="60">
        <v>72000</v>
      </c>
      <c r="F407" s="60">
        <f t="shared" si="16"/>
        <v>72000</v>
      </c>
      <c r="G407" s="59"/>
    </row>
    <row r="408" spans="1:7" ht="15" customHeight="1" x14ac:dyDescent="0.25">
      <c r="A408" s="58"/>
      <c r="B408" s="59" t="s">
        <v>547</v>
      </c>
      <c r="C408" s="60">
        <v>1</v>
      </c>
      <c r="D408" s="61" t="s">
        <v>192</v>
      </c>
      <c r="E408" s="60">
        <v>132000</v>
      </c>
      <c r="F408" s="60">
        <f t="shared" si="16"/>
        <v>132000</v>
      </c>
      <c r="G408" s="59"/>
    </row>
    <row r="409" spans="1:7" ht="15" customHeight="1" x14ac:dyDescent="0.25">
      <c r="A409" s="58"/>
      <c r="B409" s="59" t="s">
        <v>548</v>
      </c>
      <c r="C409" s="60">
        <v>1</v>
      </c>
      <c r="D409" s="61" t="s">
        <v>192</v>
      </c>
      <c r="E409" s="60">
        <v>900000</v>
      </c>
      <c r="F409" s="60">
        <f t="shared" si="16"/>
        <v>900000</v>
      </c>
      <c r="G409" s="59"/>
    </row>
    <row r="410" spans="1:7" ht="15" customHeight="1" x14ac:dyDescent="0.25">
      <c r="A410" s="58"/>
      <c r="B410" s="59" t="s">
        <v>549</v>
      </c>
      <c r="C410" s="60">
        <v>1</v>
      </c>
      <c r="D410" s="61" t="s">
        <v>192</v>
      </c>
      <c r="E410" s="60">
        <v>54000</v>
      </c>
      <c r="F410" s="60">
        <f t="shared" si="16"/>
        <v>54000</v>
      </c>
      <c r="G410" s="59"/>
    </row>
    <row r="411" spans="1:7" ht="21.75" customHeight="1" x14ac:dyDescent="0.25">
      <c r="A411" s="58"/>
      <c r="B411" s="59" t="s">
        <v>550</v>
      </c>
      <c r="C411" s="60">
        <v>1</v>
      </c>
      <c r="D411" s="61" t="s">
        <v>39</v>
      </c>
      <c r="E411" s="60">
        <v>3120000</v>
      </c>
      <c r="F411" s="60">
        <f t="shared" si="16"/>
        <v>3120000</v>
      </c>
      <c r="G411" s="59" t="s">
        <v>551</v>
      </c>
    </row>
    <row r="412" spans="1:7" ht="15" customHeight="1" x14ac:dyDescent="0.25">
      <c r="A412" s="58"/>
      <c r="B412" s="59" t="s">
        <v>552</v>
      </c>
      <c r="C412" s="60">
        <v>1</v>
      </c>
      <c r="D412" s="61" t="s">
        <v>192</v>
      </c>
      <c r="E412" s="60">
        <v>108000</v>
      </c>
      <c r="F412" s="60">
        <f t="shared" si="16"/>
        <v>108000</v>
      </c>
      <c r="G412" s="59"/>
    </row>
    <row r="413" spans="1:7" ht="15" customHeight="1" x14ac:dyDescent="0.25">
      <c r="A413" s="62"/>
      <c r="B413" s="63" t="s">
        <v>553</v>
      </c>
      <c r="C413" s="62"/>
      <c r="D413" s="62"/>
      <c r="E413" s="62"/>
      <c r="F413" s="64">
        <f>SUM(F386:F412)</f>
        <v>11289000</v>
      </c>
      <c r="G413" s="62"/>
    </row>
    <row r="416" spans="1:7" ht="21.75" customHeight="1" x14ac:dyDescent="0.25">
      <c r="A416" s="417" t="s">
        <v>554</v>
      </c>
      <c r="B416" s="417"/>
      <c r="C416" s="417"/>
      <c r="D416" s="417"/>
      <c r="E416" s="417"/>
      <c r="F416" s="417"/>
      <c r="G416" s="417"/>
    </row>
    <row r="417" spans="1:7" ht="15" customHeight="1" x14ac:dyDescent="0.25">
      <c r="A417" s="418" t="s">
        <v>555</v>
      </c>
      <c r="B417" s="418" t="s">
        <v>556</v>
      </c>
      <c r="C417" s="418" t="s">
        <v>557</v>
      </c>
      <c r="D417" s="418"/>
      <c r="E417" s="418" t="s">
        <v>558</v>
      </c>
      <c r="F417" s="418" t="s">
        <v>559</v>
      </c>
      <c r="G417" s="418" t="s">
        <v>560</v>
      </c>
    </row>
    <row r="418" spans="1:7" ht="15" customHeight="1" x14ac:dyDescent="0.25">
      <c r="A418" s="419" t="s">
        <v>561</v>
      </c>
      <c r="B418" s="419" t="s">
        <v>562</v>
      </c>
      <c r="C418" s="420">
        <v>55006793</v>
      </c>
      <c r="D418" s="419" t="s">
        <v>563</v>
      </c>
      <c r="E418" s="420">
        <v>2.0034252860369399</v>
      </c>
      <c r="F418" s="420">
        <v>110202000</v>
      </c>
      <c r="G418" s="420">
        <v>1.0034252860369399</v>
      </c>
    </row>
    <row r="419" spans="1:7" ht="15" customHeight="1" x14ac:dyDescent="0.25">
      <c r="A419" s="419" t="s">
        <v>564</v>
      </c>
      <c r="B419" s="419"/>
      <c r="C419" s="420">
        <v>7276110</v>
      </c>
      <c r="D419" s="419" t="s">
        <v>563</v>
      </c>
      <c r="E419" s="420">
        <v>1.3511340537732399</v>
      </c>
      <c r="F419" s="420">
        <v>9831000</v>
      </c>
      <c r="G419" s="420">
        <v>0.35113405377323897</v>
      </c>
    </row>
    <row r="420" spans="1:7" ht="15" customHeight="1" x14ac:dyDescent="0.25">
      <c r="A420" s="419" t="s">
        <v>565</v>
      </c>
      <c r="B420" s="419"/>
      <c r="C420" s="420">
        <v>4027420</v>
      </c>
      <c r="D420" s="419" t="s">
        <v>563</v>
      </c>
      <c r="E420" s="420">
        <v>1.1854984084103499</v>
      </c>
      <c r="F420" s="420">
        <v>4774500</v>
      </c>
      <c r="G420" s="420">
        <v>0.18549840841034701</v>
      </c>
    </row>
    <row r="421" spans="1:7" ht="15" customHeight="1" x14ac:dyDescent="0.25">
      <c r="A421" s="419" t="s">
        <v>566</v>
      </c>
      <c r="B421" s="419"/>
      <c r="C421" s="420">
        <v>2191240</v>
      </c>
      <c r="D421" s="419" t="s">
        <v>563</v>
      </c>
      <c r="E421" s="420">
        <v>2.0618462605647898</v>
      </c>
      <c r="F421" s="420">
        <v>4518000</v>
      </c>
      <c r="G421" s="420">
        <v>1.06184626056479</v>
      </c>
    </row>
    <row r="422" spans="1:7" ht="15" customHeight="1" x14ac:dyDescent="0.25">
      <c r="A422" s="419" t="s">
        <v>567</v>
      </c>
      <c r="B422" s="419" t="s">
        <v>568</v>
      </c>
      <c r="C422" s="420">
        <v>9612250</v>
      </c>
      <c r="D422" s="419" t="s">
        <v>563</v>
      </c>
      <c r="E422" s="420">
        <v>1.4394132487190801</v>
      </c>
      <c r="F422" s="420">
        <v>13836000</v>
      </c>
      <c r="G422" s="420">
        <v>0.43941324871908299</v>
      </c>
    </row>
    <row r="423" spans="1:7" ht="15" customHeight="1" x14ac:dyDescent="0.25">
      <c r="A423" s="419" t="s">
        <v>569</v>
      </c>
      <c r="B423" s="419" t="s">
        <v>570</v>
      </c>
      <c r="C423" s="420">
        <v>27483900</v>
      </c>
      <c r="D423" s="419" t="s">
        <v>563</v>
      </c>
      <c r="E423" s="420">
        <v>1.0040241741528699</v>
      </c>
      <c r="F423" s="420">
        <v>27594500</v>
      </c>
      <c r="G423" s="420">
        <v>4.02417415286771E-3</v>
      </c>
    </row>
    <row r="424" spans="1:7" ht="45" x14ac:dyDescent="0.25">
      <c r="A424" s="65" t="s">
        <v>571</v>
      </c>
      <c r="B424" s="66"/>
      <c r="C424" s="67">
        <v>105597713</v>
      </c>
      <c r="D424" s="66"/>
      <c r="E424" s="68">
        <v>1.6170425963675901</v>
      </c>
      <c r="F424" s="67">
        <v>170756000</v>
      </c>
      <c r="G424" s="69">
        <v>0.61704259636759395</v>
      </c>
    </row>
    <row r="426" spans="1:7" ht="15" customHeight="1" x14ac:dyDescent="0.25">
      <c r="A426" s="421" t="s">
        <v>572</v>
      </c>
      <c r="B426" s="421"/>
      <c r="C426" s="421"/>
      <c r="D426" s="421"/>
      <c r="E426" s="421"/>
      <c r="F426" s="421"/>
      <c r="G426" s="421"/>
    </row>
    <row r="427" spans="1:7" x14ac:dyDescent="0.25">
      <c r="A427" s="422" t="s">
        <v>573</v>
      </c>
      <c r="B427" s="422"/>
      <c r="C427" s="422"/>
      <c r="D427" s="422"/>
      <c r="E427" s="422"/>
      <c r="F427" s="422"/>
      <c r="G427" s="422"/>
    </row>
    <row r="428" spans="1:7" x14ac:dyDescent="0.25">
      <c r="A428" s="422" t="s">
        <v>574</v>
      </c>
      <c r="B428" s="422"/>
      <c r="C428" s="422"/>
      <c r="D428" s="422"/>
      <c r="E428" s="422"/>
      <c r="F428" s="422"/>
      <c r="G428" s="422"/>
    </row>
    <row r="429" spans="1:7" x14ac:dyDescent="0.25">
      <c r="A429" s="422" t="s">
        <v>575</v>
      </c>
      <c r="B429" s="422"/>
      <c r="C429" s="422"/>
      <c r="D429" s="422"/>
      <c r="E429" s="422"/>
      <c r="F429" s="422"/>
      <c r="G429" s="422"/>
    </row>
    <row r="430" spans="1:7" x14ac:dyDescent="0.25">
      <c r="A430" s="422" t="s">
        <v>576</v>
      </c>
      <c r="B430" s="422"/>
      <c r="C430" s="422"/>
      <c r="D430" s="422"/>
      <c r="E430" s="422"/>
      <c r="F430" s="422"/>
      <c r="G430" s="422"/>
    </row>
    <row r="431" spans="1:7" x14ac:dyDescent="0.25">
      <c r="A431" s="422" t="s">
        <v>577</v>
      </c>
      <c r="B431" s="422"/>
      <c r="C431" s="422"/>
      <c r="D431" s="422"/>
      <c r="E431" s="422"/>
      <c r="F431" s="422"/>
      <c r="G431" s="422"/>
    </row>
    <row r="432" spans="1:7" x14ac:dyDescent="0.25">
      <c r="A432" s="422" t="s">
        <v>578</v>
      </c>
      <c r="B432" s="422"/>
      <c r="C432" s="422"/>
      <c r="D432" s="422"/>
      <c r="E432" s="422"/>
      <c r="F432" s="422"/>
      <c r="G432" s="422"/>
    </row>
    <row r="433" spans="1:7" x14ac:dyDescent="0.25">
      <c r="A433" s="422" t="s">
        <v>579</v>
      </c>
      <c r="B433" s="422"/>
      <c r="C433" s="422"/>
      <c r="D433" s="422"/>
      <c r="E433" s="422"/>
      <c r="F433" s="422"/>
      <c r="G433" s="422"/>
    </row>
    <row r="434" spans="1:7" x14ac:dyDescent="0.25">
      <c r="A434" s="422" t="s">
        <v>580</v>
      </c>
      <c r="B434" s="422"/>
      <c r="C434" s="422"/>
      <c r="D434" s="422"/>
      <c r="E434" s="422"/>
      <c r="F434" s="422"/>
      <c r="G434" s="422"/>
    </row>
    <row r="435" spans="1:7" x14ac:dyDescent="0.25">
      <c r="A435" s="422" t="s">
        <v>581</v>
      </c>
      <c r="B435" s="422"/>
      <c r="C435" s="422"/>
      <c r="D435" s="422"/>
      <c r="E435" s="422"/>
      <c r="F435" s="422"/>
      <c r="G435" s="422"/>
    </row>
    <row r="436" spans="1:7" x14ac:dyDescent="0.25">
      <c r="A436" s="422" t="s">
        <v>582</v>
      </c>
      <c r="B436" s="422"/>
      <c r="C436" s="422"/>
      <c r="D436" s="422"/>
      <c r="E436" s="422"/>
      <c r="F436" s="422"/>
      <c r="G436" s="422"/>
    </row>
    <row r="438" spans="1:7" x14ac:dyDescent="0.25">
      <c r="A438" s="70" t="s">
        <v>583</v>
      </c>
    </row>
    <row r="439" spans="1:7" x14ac:dyDescent="0.25">
      <c r="A439" s="71" t="s">
        <v>584</v>
      </c>
    </row>
    <row r="440" spans="1:7" x14ac:dyDescent="0.25">
      <c r="A440" s="71" t="s">
        <v>585</v>
      </c>
    </row>
    <row r="441" spans="1:7" x14ac:dyDescent="0.25">
      <c r="A441" s="71" t="s">
        <v>586</v>
      </c>
    </row>
    <row r="442" spans="1:7" x14ac:dyDescent="0.25">
      <c r="A442" s="71" t="s">
        <v>587</v>
      </c>
    </row>
    <row r="443" spans="1:7" x14ac:dyDescent="0.25">
      <c r="A443" s="71" t="s">
        <v>588</v>
      </c>
    </row>
    <row r="444" spans="1:7" x14ac:dyDescent="0.25">
      <c r="A444" s="71" t="s">
        <v>589</v>
      </c>
    </row>
    <row r="445" spans="1:7" x14ac:dyDescent="0.25">
      <c r="A445" s="71" t="s">
        <v>590</v>
      </c>
    </row>
  </sheetData>
  <mergeCells count="27">
    <mergeCell ref="A435:G435"/>
    <mergeCell ref="A436:G436"/>
    <mergeCell ref="A430:G430"/>
    <mergeCell ref="A431:G431"/>
    <mergeCell ref="A432:G432"/>
    <mergeCell ref="A433:G433"/>
    <mergeCell ref="A434:G434"/>
    <mergeCell ref="A423:G423"/>
    <mergeCell ref="A426:G426"/>
    <mergeCell ref="A427:G427"/>
    <mergeCell ref="A428:G428"/>
    <mergeCell ref="A429:G429"/>
    <mergeCell ref="A418:G418"/>
    <mergeCell ref="A419:G419"/>
    <mergeCell ref="A420:G420"/>
    <mergeCell ref="A421:G421"/>
    <mergeCell ref="A422:G422"/>
    <mergeCell ref="A232:G232"/>
    <mergeCell ref="A270:G270"/>
    <mergeCell ref="A312:G312"/>
    <mergeCell ref="A416:G416"/>
    <mergeCell ref="A417:G417"/>
    <mergeCell ref="A1:G1"/>
    <mergeCell ref="A2:G2"/>
    <mergeCell ref="A4:G4"/>
    <mergeCell ref="A120:G120"/>
    <mergeCell ref="A183:G18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
  <sheetViews>
    <sheetView workbookViewId="0">
      <selection activeCell="D33" sqref="D33"/>
    </sheetView>
  </sheetViews>
  <sheetFormatPr defaultColWidth="8.7109375" defaultRowHeight="15" x14ac:dyDescent="0.25"/>
  <cols>
    <col min="1" max="1" width="7.85546875" style="1" customWidth="1"/>
    <col min="2" max="2" width="35" style="1" customWidth="1"/>
    <col min="3" max="3" width="8" style="1" customWidth="1"/>
    <col min="4" max="4" width="13.85546875" style="1" customWidth="1"/>
    <col min="5" max="6" width="18" style="1" customWidth="1"/>
    <col min="7" max="7" width="2" style="1" customWidth="1"/>
    <col min="8" max="9" width="18" style="1" customWidth="1"/>
    <col min="10" max="16384" width="8.7109375" style="1"/>
  </cols>
  <sheetData>
    <row r="1" spans="1:9" ht="15" customHeight="1" x14ac:dyDescent="0.25">
      <c r="A1" s="423" t="s">
        <v>591</v>
      </c>
      <c r="B1" s="423"/>
      <c r="C1" s="423"/>
      <c r="D1" s="423"/>
      <c r="E1" s="423"/>
      <c r="F1" s="423"/>
      <c r="G1" s="423"/>
      <c r="H1" s="423"/>
      <c r="I1" s="423"/>
    </row>
    <row r="2" spans="1:9" ht="15" customHeight="1" x14ac:dyDescent="0.25">
      <c r="A2" s="423"/>
      <c r="B2" s="423"/>
      <c r="C2" s="423"/>
      <c r="D2" s="423"/>
      <c r="E2" s="423"/>
      <c r="F2" s="423"/>
      <c r="G2" s="423"/>
      <c r="H2" s="423"/>
      <c r="I2" s="423"/>
    </row>
    <row r="3" spans="1:9" ht="15" customHeight="1" x14ac:dyDescent="0.25">
      <c r="A3" s="423"/>
      <c r="B3" s="423"/>
      <c r="C3" s="423"/>
      <c r="D3" s="423"/>
      <c r="E3" s="423"/>
      <c r="F3" s="423"/>
      <c r="G3" s="423"/>
      <c r="H3" s="423"/>
      <c r="I3" s="423"/>
    </row>
    <row r="4" spans="1:9" ht="21.75" customHeight="1" x14ac:dyDescent="0.25">
      <c r="A4" s="424" t="s">
        <v>592</v>
      </c>
      <c r="B4" s="424"/>
      <c r="C4" s="424"/>
      <c r="D4" s="424"/>
      <c r="E4" s="424"/>
      <c r="F4" s="424"/>
      <c r="G4" s="72"/>
      <c r="H4" s="425" t="s">
        <v>593</v>
      </c>
      <c r="I4" s="425"/>
    </row>
    <row r="5" spans="1:9" ht="15" customHeight="1" x14ac:dyDescent="0.25">
      <c r="A5" s="73" t="s">
        <v>555</v>
      </c>
      <c r="B5" s="74" t="s">
        <v>556</v>
      </c>
      <c r="C5" s="75"/>
      <c r="D5" s="76" t="s">
        <v>594</v>
      </c>
      <c r="E5" s="73" t="s">
        <v>595</v>
      </c>
      <c r="F5" s="73" t="s">
        <v>596</v>
      </c>
      <c r="G5" s="72"/>
      <c r="H5" s="77" t="s">
        <v>595</v>
      </c>
      <c r="I5" s="77" t="s">
        <v>596</v>
      </c>
    </row>
    <row r="6" spans="1:9" ht="19.5" customHeight="1" x14ac:dyDescent="0.25">
      <c r="A6" s="78" t="s">
        <v>597</v>
      </c>
      <c r="B6" s="426" t="s">
        <v>598</v>
      </c>
      <c r="C6" s="426"/>
      <c r="D6" s="79" t="s">
        <v>599</v>
      </c>
      <c r="E6" s="80">
        <f>+'1_Prelim'!J536</f>
        <v>0</v>
      </c>
      <c r="F6" s="80">
        <f>+'1_Prelim'!N536</f>
        <v>0</v>
      </c>
      <c r="G6" s="72"/>
      <c r="H6" s="80">
        <v>0</v>
      </c>
      <c r="I6" s="80">
        <v>0</v>
      </c>
    </row>
    <row r="7" spans="1:9" ht="19.5" customHeight="1" x14ac:dyDescent="0.25">
      <c r="A7" s="78" t="s">
        <v>600</v>
      </c>
      <c r="B7" s="426" t="s">
        <v>601</v>
      </c>
      <c r="C7" s="426"/>
      <c r="D7" s="79" t="s">
        <v>602</v>
      </c>
      <c r="E7" s="80">
        <f>'2_Professional Fees'!K265</f>
        <v>0</v>
      </c>
      <c r="F7" s="80">
        <f>'2_Professional Fees'!N265</f>
        <v>0</v>
      </c>
      <c r="G7" s="72"/>
      <c r="H7" s="80">
        <f>'2_Professional Fees'!R265</f>
        <v>0</v>
      </c>
      <c r="I7" s="80">
        <f>+'2_Professional Fees'!S92</f>
        <v>0</v>
      </c>
    </row>
    <row r="8" spans="1:9" ht="19.5" customHeight="1" x14ac:dyDescent="0.25">
      <c r="A8" s="81" t="s">
        <v>603</v>
      </c>
      <c r="B8" s="430" t="s">
        <v>604</v>
      </c>
      <c r="C8" s="430"/>
      <c r="D8" s="82" t="s">
        <v>605</v>
      </c>
      <c r="E8" s="83">
        <f>'Sec 3 - Building Works'!O502</f>
        <v>0</v>
      </c>
      <c r="F8" s="83">
        <f>'Sec 3 - Building Works'!V502</f>
        <v>0</v>
      </c>
      <c r="G8" s="72"/>
      <c r="H8" s="83">
        <f>'Sec 3 - Building Works'!Y502</f>
        <v>0</v>
      </c>
      <c r="I8" s="83">
        <f>'Sec 3 - Building Works'!Z502</f>
        <v>0</v>
      </c>
    </row>
    <row r="9" spans="1:9" ht="19.5" customHeight="1" x14ac:dyDescent="0.25">
      <c r="A9" s="78" t="s">
        <v>606</v>
      </c>
      <c r="B9" s="426" t="s">
        <v>607</v>
      </c>
      <c r="C9" s="426"/>
      <c r="D9" s="79" t="s">
        <v>608</v>
      </c>
      <c r="E9" s="80">
        <f>+'Sec 4 - External Works'!K68</f>
        <v>0</v>
      </c>
      <c r="F9" s="80">
        <f>+'Sec 4 - External Works'!N68</f>
        <v>0</v>
      </c>
      <c r="G9" s="72"/>
      <c r="H9" s="80">
        <f>+'Sec 4 - External Works'!Q68</f>
        <v>0</v>
      </c>
      <c r="I9" s="80">
        <f>+'Sec 4 - External Works'!R68</f>
        <v>0</v>
      </c>
    </row>
    <row r="10" spans="1:9" ht="19.5" customHeight="1" x14ac:dyDescent="0.25">
      <c r="A10" s="81" t="s">
        <v>609</v>
      </c>
      <c r="B10" s="430" t="s">
        <v>610</v>
      </c>
      <c r="C10" s="430"/>
      <c r="D10" s="82" t="s">
        <v>611</v>
      </c>
      <c r="E10" s="83"/>
      <c r="F10" s="83"/>
      <c r="G10" s="72"/>
      <c r="H10" s="83">
        <f>+E10</f>
        <v>0</v>
      </c>
      <c r="I10" s="83">
        <f>+F10</f>
        <v>0</v>
      </c>
    </row>
    <row r="11" spans="1:9" ht="19.5" customHeight="1" x14ac:dyDescent="0.25">
      <c r="A11" s="81"/>
      <c r="B11" s="430"/>
      <c r="C11" s="430"/>
      <c r="D11" s="82"/>
      <c r="E11" s="2"/>
      <c r="F11" s="2"/>
      <c r="G11" s="72"/>
      <c r="H11" s="2"/>
      <c r="I11" s="2"/>
    </row>
    <row r="12" spans="1:9" ht="19.5" customHeight="1" x14ac:dyDescent="0.25">
      <c r="A12" s="84" t="s">
        <v>612</v>
      </c>
      <c r="B12" s="427" t="s">
        <v>613</v>
      </c>
      <c r="C12" s="427"/>
      <c r="D12" s="82"/>
      <c r="E12" s="2"/>
      <c r="F12" s="2"/>
      <c r="G12" s="72"/>
      <c r="H12" s="2"/>
      <c r="I12" s="2"/>
    </row>
    <row r="13" spans="1:9" ht="19.5" customHeight="1" x14ac:dyDescent="0.25">
      <c r="A13" s="84"/>
      <c r="B13" s="85"/>
      <c r="C13" s="86"/>
      <c r="D13" s="82"/>
      <c r="E13" s="2"/>
      <c r="F13" s="2"/>
      <c r="G13" s="72"/>
      <c r="H13" s="2"/>
      <c r="I13" s="2"/>
    </row>
    <row r="14" spans="1:9" ht="19.5" customHeight="1" x14ac:dyDescent="0.25">
      <c r="A14" s="84" t="s">
        <v>612</v>
      </c>
      <c r="B14" s="427" t="s">
        <v>614</v>
      </c>
      <c r="C14" s="427"/>
      <c r="D14" s="82"/>
      <c r="E14" s="2"/>
      <c r="F14" s="2"/>
      <c r="G14" s="72"/>
      <c r="H14" s="2"/>
      <c r="I14" s="2"/>
    </row>
    <row r="15" spans="1:9" ht="19.5" customHeight="1" x14ac:dyDescent="0.25">
      <c r="A15" s="81"/>
      <c r="B15" s="428"/>
      <c r="C15" s="428"/>
      <c r="D15" s="87"/>
      <c r="E15" s="2"/>
      <c r="F15" s="2"/>
      <c r="G15" s="72"/>
      <c r="H15" s="2"/>
      <c r="I15" s="2"/>
    </row>
    <row r="16" spans="1:9" ht="32.25" customHeight="1" x14ac:dyDescent="0.25">
      <c r="A16" s="429" t="s">
        <v>615</v>
      </c>
      <c r="B16" s="429"/>
      <c r="C16" s="429"/>
      <c r="D16" s="88"/>
      <c r="E16" s="89">
        <f>SUM(E6:E15)</f>
        <v>0</v>
      </c>
      <c r="F16" s="89">
        <f>SUM(F6:F15)</f>
        <v>0</v>
      </c>
      <c r="G16" s="72"/>
      <c r="H16" s="90">
        <f>SUM(H6:H15)</f>
        <v>0</v>
      </c>
      <c r="I16" s="90">
        <f>SUM(I6:I15)</f>
        <v>0</v>
      </c>
    </row>
  </sheetData>
  <mergeCells count="13">
    <mergeCell ref="B14:C14"/>
    <mergeCell ref="B15:C15"/>
    <mergeCell ref="A16:C16"/>
    <mergeCell ref="B8:C8"/>
    <mergeCell ref="B9:C9"/>
    <mergeCell ref="B10:C10"/>
    <mergeCell ref="B11:C11"/>
    <mergeCell ref="B12:C12"/>
    <mergeCell ref="A1:I3"/>
    <mergeCell ref="A4:F4"/>
    <mergeCell ref="H4:I4"/>
    <mergeCell ref="B6:C6"/>
    <mergeCell ref="B7:C7"/>
  </mergeCells>
  <pageMargins left="0.75" right="0.75" top="1" bottom="1" header="0.511811023622047" footer="0.511811023622047"/>
  <pageSetup paperSize="9" scale="55"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67"/>
  <sheetViews>
    <sheetView workbookViewId="0">
      <pane ySplit="4" topLeftCell="A5" activePane="bottomLeft" state="frozen"/>
      <selection pane="bottomLeft" activeCell="A5" sqref="A5:XFD5"/>
    </sheetView>
  </sheetViews>
  <sheetFormatPr defaultColWidth="9.140625" defaultRowHeight="15" x14ac:dyDescent="0.25"/>
  <cols>
    <col min="1" max="1" width="8.85546875" style="1" bestFit="1" customWidth="1"/>
    <col min="2" max="2" width="9" style="206" customWidth="1"/>
    <col min="3" max="3" width="7" style="1" customWidth="1"/>
    <col min="4" max="4" width="8" style="206" customWidth="1"/>
    <col min="5" max="5" width="70" style="1" customWidth="1"/>
    <col min="6" max="6" width="8" style="1" customWidth="1"/>
    <col min="7" max="7" width="14.85546875" style="3" customWidth="1"/>
    <col min="8" max="8" width="9.5703125" style="3" customWidth="1"/>
    <col min="9" max="9" width="13" style="3" customWidth="1"/>
    <col min="10" max="11" width="14" style="3" customWidth="1"/>
    <col min="12" max="12" width="7" style="3" customWidth="1"/>
    <col min="13" max="13" width="13" style="3" customWidth="1"/>
    <col min="14" max="15" width="14" style="3" customWidth="1"/>
    <col min="16" max="16384" width="9.140625" style="1"/>
  </cols>
  <sheetData>
    <row r="1" spans="1:15" ht="15" customHeight="1" x14ac:dyDescent="0.25">
      <c r="A1" s="408" t="s">
        <v>616</v>
      </c>
      <c r="B1" s="408"/>
      <c r="C1" s="408"/>
      <c r="D1" s="408"/>
      <c r="E1" s="408"/>
      <c r="F1" s="408"/>
      <c r="G1" s="408"/>
      <c r="H1" s="408"/>
      <c r="I1" s="408"/>
      <c r="J1" s="408"/>
      <c r="K1" s="408"/>
      <c r="L1" s="408"/>
      <c r="M1" s="408"/>
      <c r="N1" s="408"/>
      <c r="O1" s="408"/>
    </row>
    <row r="2" spans="1:15" ht="15" customHeight="1" x14ac:dyDescent="0.25">
      <c r="A2" s="409" t="s">
        <v>617</v>
      </c>
      <c r="B2" s="409"/>
      <c r="C2" s="409"/>
      <c r="D2" s="409"/>
      <c r="E2" s="409"/>
      <c r="F2" s="409"/>
      <c r="G2" s="409"/>
      <c r="H2" s="409"/>
      <c r="I2" s="409"/>
      <c r="J2" s="409"/>
      <c r="K2" s="409"/>
      <c r="L2" s="409"/>
      <c r="M2" s="409"/>
      <c r="N2" s="409"/>
      <c r="O2" s="409"/>
    </row>
    <row r="3" spans="1:15" ht="15" customHeight="1" x14ac:dyDescent="0.25">
      <c r="A3" s="492" t="s">
        <v>618</v>
      </c>
      <c r="B3" s="410" t="s">
        <v>619</v>
      </c>
      <c r="C3" s="410" t="s">
        <v>620</v>
      </c>
      <c r="D3" s="410" t="s">
        <v>621</v>
      </c>
      <c r="E3" s="410" t="s">
        <v>622</v>
      </c>
      <c r="F3" s="410" t="s">
        <v>623</v>
      </c>
      <c r="G3" s="411" t="s">
        <v>624</v>
      </c>
      <c r="H3" s="412" t="s">
        <v>625</v>
      </c>
      <c r="I3" s="412"/>
      <c r="J3" s="412"/>
      <c r="K3" s="412"/>
      <c r="L3" s="413" t="s">
        <v>626</v>
      </c>
      <c r="M3" s="413"/>
      <c r="N3" s="413"/>
      <c r="O3" s="413"/>
    </row>
    <row r="4" spans="1:15" ht="24" customHeight="1" x14ac:dyDescent="0.25">
      <c r="A4" s="492"/>
      <c r="B4" s="410"/>
      <c r="C4" s="410"/>
      <c r="D4" s="410"/>
      <c r="E4" s="410"/>
      <c r="F4" s="410"/>
      <c r="G4" s="410"/>
      <c r="H4" s="4" t="s">
        <v>627</v>
      </c>
      <c r="I4" s="4" t="s">
        <v>628</v>
      </c>
      <c r="J4" s="4" t="s">
        <v>629</v>
      </c>
      <c r="K4" s="4" t="s">
        <v>630</v>
      </c>
      <c r="L4" s="5" t="s">
        <v>627</v>
      </c>
      <c r="M4" s="5" t="s">
        <v>628</v>
      </c>
      <c r="N4" s="5" t="s">
        <v>629</v>
      </c>
      <c r="O4" s="5" t="s">
        <v>630</v>
      </c>
    </row>
    <row r="5" spans="1:15" ht="15" customHeight="1" x14ac:dyDescent="0.25">
      <c r="A5" s="493" t="s">
        <v>631</v>
      </c>
      <c r="B5" s="91" t="s">
        <v>632</v>
      </c>
      <c r="C5" s="92"/>
      <c r="D5" s="207" t="s">
        <v>1004</v>
      </c>
      <c r="E5" s="208" t="s">
        <v>1744</v>
      </c>
      <c r="F5" s="94"/>
      <c r="G5" s="6"/>
      <c r="H5" s="7"/>
      <c r="I5" s="95">
        <f t="shared" ref="I5:I14" si="0">ROUND(H5*G5,2)</f>
        <v>0</v>
      </c>
      <c r="J5" s="95">
        <f t="shared" ref="J5:J14" si="1">ROUNDUP(I5,0)</f>
        <v>0</v>
      </c>
      <c r="K5" s="7"/>
      <c r="L5" s="9"/>
      <c r="M5" s="96">
        <f t="shared" ref="M5:M14" si="2">ROUND(L5*G5,2)</f>
        <v>0</v>
      </c>
      <c r="N5" s="96">
        <f t="shared" ref="N5:N14" si="3">ROUNDUP(M5,0)</f>
        <v>0</v>
      </c>
      <c r="O5" s="9"/>
    </row>
    <row r="6" spans="1:15" ht="15" customHeight="1" x14ac:dyDescent="0.25">
      <c r="A6" s="493" t="s">
        <v>631</v>
      </c>
      <c r="B6" s="91" t="s">
        <v>632</v>
      </c>
      <c r="C6" s="92"/>
      <c r="D6" s="207">
        <v>1</v>
      </c>
      <c r="E6" s="208" t="s">
        <v>1745</v>
      </c>
      <c r="F6" s="94"/>
      <c r="G6" s="6"/>
      <c r="H6" s="7"/>
      <c r="I6" s="95">
        <f t="shared" si="0"/>
        <v>0</v>
      </c>
      <c r="J6" s="95">
        <f t="shared" si="1"/>
        <v>0</v>
      </c>
      <c r="K6" s="7"/>
      <c r="L6" s="9"/>
      <c r="M6" s="96">
        <f t="shared" si="2"/>
        <v>0</v>
      </c>
      <c r="N6" s="96">
        <f t="shared" si="3"/>
        <v>0</v>
      </c>
      <c r="O6" s="9"/>
    </row>
    <row r="7" spans="1:15" ht="30" customHeight="1" x14ac:dyDescent="0.25">
      <c r="A7" s="493" t="s">
        <v>631</v>
      </c>
      <c r="B7" s="91" t="s">
        <v>632</v>
      </c>
      <c r="C7" s="92"/>
      <c r="D7" s="204"/>
      <c r="E7" s="93" t="s">
        <v>633</v>
      </c>
      <c r="F7" s="94"/>
      <c r="G7" s="6"/>
      <c r="H7" s="7"/>
      <c r="I7" s="95">
        <f t="shared" si="0"/>
        <v>0</v>
      </c>
      <c r="J7" s="95">
        <f t="shared" si="1"/>
        <v>0</v>
      </c>
      <c r="K7" s="7"/>
      <c r="L7" s="9"/>
      <c r="M7" s="96">
        <f t="shared" si="2"/>
        <v>0</v>
      </c>
      <c r="N7" s="96">
        <f t="shared" si="3"/>
        <v>0</v>
      </c>
      <c r="O7" s="9"/>
    </row>
    <row r="8" spans="1:15" ht="60" customHeight="1" x14ac:dyDescent="0.25">
      <c r="A8" s="493" t="s">
        <v>631</v>
      </c>
      <c r="B8" s="91" t="s">
        <v>632</v>
      </c>
      <c r="C8" s="92"/>
      <c r="D8" s="204"/>
      <c r="E8" s="93" t="s">
        <v>634</v>
      </c>
      <c r="F8" s="94"/>
      <c r="G8" s="6"/>
      <c r="H8" s="7"/>
      <c r="I8" s="95">
        <f t="shared" si="0"/>
        <v>0</v>
      </c>
      <c r="J8" s="95">
        <f t="shared" si="1"/>
        <v>0</v>
      </c>
      <c r="K8" s="7"/>
      <c r="L8" s="9"/>
      <c r="M8" s="96">
        <f t="shared" si="2"/>
        <v>0</v>
      </c>
      <c r="N8" s="96">
        <f t="shared" si="3"/>
        <v>0</v>
      </c>
      <c r="O8" s="9"/>
    </row>
    <row r="9" spans="1:15" ht="105" customHeight="1" x14ac:dyDescent="0.25">
      <c r="A9" s="493" t="s">
        <v>631</v>
      </c>
      <c r="B9" s="91" t="s">
        <v>632</v>
      </c>
      <c r="C9" s="92"/>
      <c r="D9" s="204"/>
      <c r="E9" s="93" t="s">
        <v>635</v>
      </c>
      <c r="F9" s="94"/>
      <c r="G9" s="6"/>
      <c r="H9" s="7"/>
      <c r="I9" s="95">
        <f t="shared" si="0"/>
        <v>0</v>
      </c>
      <c r="J9" s="95">
        <f t="shared" si="1"/>
        <v>0</v>
      </c>
      <c r="K9" s="7"/>
      <c r="L9" s="9"/>
      <c r="M9" s="96">
        <f t="shared" si="2"/>
        <v>0</v>
      </c>
      <c r="N9" s="96">
        <f t="shared" si="3"/>
        <v>0</v>
      </c>
      <c r="O9" s="9"/>
    </row>
    <row r="10" spans="1:15" ht="45" customHeight="1" x14ac:dyDescent="0.25">
      <c r="A10" s="493" t="s">
        <v>631</v>
      </c>
      <c r="B10" s="91" t="s">
        <v>632</v>
      </c>
      <c r="C10" s="92"/>
      <c r="D10" s="204"/>
      <c r="E10" s="93" t="s">
        <v>636</v>
      </c>
      <c r="F10" s="94"/>
      <c r="G10" s="6"/>
      <c r="H10" s="7"/>
      <c r="I10" s="95">
        <f t="shared" si="0"/>
        <v>0</v>
      </c>
      <c r="J10" s="95">
        <f t="shared" si="1"/>
        <v>0</v>
      </c>
      <c r="K10" s="7"/>
      <c r="L10" s="9"/>
      <c r="M10" s="96">
        <f t="shared" si="2"/>
        <v>0</v>
      </c>
      <c r="N10" s="96">
        <f t="shared" si="3"/>
        <v>0</v>
      </c>
      <c r="O10" s="9"/>
    </row>
    <row r="11" spans="1:15" ht="45" customHeight="1" x14ac:dyDescent="0.25">
      <c r="A11" s="493" t="s">
        <v>631</v>
      </c>
      <c r="B11" s="91" t="s">
        <v>632</v>
      </c>
      <c r="C11" s="92"/>
      <c r="D11" s="204"/>
      <c r="E11" s="93" t="s">
        <v>637</v>
      </c>
      <c r="F11" s="94"/>
      <c r="G11" s="6"/>
      <c r="H11" s="7"/>
      <c r="I11" s="95">
        <f t="shared" si="0"/>
        <v>0</v>
      </c>
      <c r="J11" s="95">
        <f t="shared" si="1"/>
        <v>0</v>
      </c>
      <c r="K11" s="7"/>
      <c r="L11" s="9"/>
      <c r="M11" s="96">
        <f t="shared" si="2"/>
        <v>0</v>
      </c>
      <c r="N11" s="96">
        <f t="shared" si="3"/>
        <v>0</v>
      </c>
      <c r="O11" s="9"/>
    </row>
    <row r="12" spans="1:15" ht="15" customHeight="1" x14ac:dyDescent="0.25">
      <c r="A12" s="493" t="s">
        <v>631</v>
      </c>
      <c r="B12" s="91" t="s">
        <v>632</v>
      </c>
      <c r="C12" s="92"/>
      <c r="D12" s="207">
        <v>2</v>
      </c>
      <c r="E12" s="208" t="s">
        <v>1746</v>
      </c>
      <c r="F12" s="94"/>
      <c r="G12" s="6"/>
      <c r="H12" s="7"/>
      <c r="I12" s="95">
        <f t="shared" si="0"/>
        <v>0</v>
      </c>
      <c r="J12" s="95">
        <f t="shared" si="1"/>
        <v>0</v>
      </c>
      <c r="K12" s="7"/>
      <c r="L12" s="9"/>
      <c r="M12" s="96">
        <f t="shared" si="2"/>
        <v>0</v>
      </c>
      <c r="N12" s="96">
        <f t="shared" si="3"/>
        <v>0</v>
      </c>
      <c r="O12" s="9"/>
    </row>
    <row r="13" spans="1:15" ht="75" customHeight="1" x14ac:dyDescent="0.25">
      <c r="A13" s="493" t="s">
        <v>631</v>
      </c>
      <c r="B13" s="91" t="s">
        <v>632</v>
      </c>
      <c r="C13" s="92"/>
      <c r="D13" s="204"/>
      <c r="E13" s="93" t="s">
        <v>638</v>
      </c>
      <c r="F13" s="94"/>
      <c r="G13" s="6"/>
      <c r="H13" s="7"/>
      <c r="I13" s="95">
        <f t="shared" si="0"/>
        <v>0</v>
      </c>
      <c r="J13" s="95">
        <f t="shared" si="1"/>
        <v>0</v>
      </c>
      <c r="K13" s="7"/>
      <c r="L13" s="9"/>
      <c r="M13" s="96">
        <f t="shared" si="2"/>
        <v>0</v>
      </c>
      <c r="N13" s="96">
        <f t="shared" si="3"/>
        <v>0</v>
      </c>
      <c r="O13" s="9"/>
    </row>
    <row r="14" spans="1:15" ht="60" customHeight="1" x14ac:dyDescent="0.25">
      <c r="A14" s="493" t="s">
        <v>631</v>
      </c>
      <c r="B14" s="91" t="s">
        <v>632</v>
      </c>
      <c r="C14" s="92"/>
      <c r="D14" s="204"/>
      <c r="E14" s="93" t="s">
        <v>639</v>
      </c>
      <c r="F14" s="94"/>
      <c r="G14" s="6"/>
      <c r="H14" s="7"/>
      <c r="I14" s="95">
        <f t="shared" si="0"/>
        <v>0</v>
      </c>
      <c r="J14" s="95">
        <f t="shared" si="1"/>
        <v>0</v>
      </c>
      <c r="K14" s="7"/>
      <c r="L14" s="9"/>
      <c r="M14" s="96">
        <f t="shared" si="2"/>
        <v>0</v>
      </c>
      <c r="N14" s="96">
        <f t="shared" si="3"/>
        <v>0</v>
      </c>
      <c r="O14" s="9"/>
    </row>
    <row r="15" spans="1:15" ht="15" customHeight="1" x14ac:dyDescent="0.25">
      <c r="A15" s="493" t="s">
        <v>1022</v>
      </c>
      <c r="B15" s="205" t="str">
        <f>+B14</f>
        <v>Sec1/1</v>
      </c>
      <c r="C15" s="97"/>
      <c r="D15" s="205"/>
      <c r="E15" s="98" t="s">
        <v>640</v>
      </c>
      <c r="F15" s="97"/>
      <c r="G15" s="11"/>
      <c r="H15" s="11"/>
      <c r="I15" s="11"/>
      <c r="J15" s="99">
        <f>SUBTOTAL(9,J5:J14)</f>
        <v>0</v>
      </c>
      <c r="K15" s="11"/>
      <c r="L15" s="11"/>
      <c r="M15" s="11"/>
      <c r="N15" s="99">
        <f>SUBTOTAL(9,N5:N14)</f>
        <v>0</v>
      </c>
      <c r="O15" s="11"/>
    </row>
    <row r="16" spans="1:15" ht="15" customHeight="1" x14ac:dyDescent="0.25">
      <c r="A16" s="493" t="s">
        <v>631</v>
      </c>
      <c r="B16" s="91" t="s">
        <v>641</v>
      </c>
      <c r="C16" s="92"/>
      <c r="D16" s="207" t="s">
        <v>1004</v>
      </c>
      <c r="E16" s="208" t="s">
        <v>1747</v>
      </c>
      <c r="F16" s="94"/>
      <c r="G16" s="6"/>
      <c r="H16" s="7"/>
      <c r="I16" s="95">
        <f t="shared" ref="I16:I25" si="4">ROUND(H16*G16,2)</f>
        <v>0</v>
      </c>
      <c r="J16" s="95">
        <f t="shared" ref="J16:J25" si="5">ROUNDUP(I16,0)</f>
        <v>0</v>
      </c>
      <c r="K16" s="7"/>
      <c r="L16" s="9"/>
      <c r="M16" s="96">
        <f t="shared" ref="M16:M25" si="6">ROUND(L16*G16,2)</f>
        <v>0</v>
      </c>
      <c r="N16" s="96">
        <f t="shared" ref="N16:N25" si="7">ROUNDUP(M16,0)</f>
        <v>0</v>
      </c>
      <c r="O16" s="9"/>
    </row>
    <row r="17" spans="1:15" ht="15" customHeight="1" x14ac:dyDescent="0.25">
      <c r="A17" s="493" t="s">
        <v>631</v>
      </c>
      <c r="B17" s="91" t="s">
        <v>641</v>
      </c>
      <c r="C17" s="92"/>
      <c r="D17" s="207">
        <v>3</v>
      </c>
      <c r="E17" s="208" t="s">
        <v>1748</v>
      </c>
      <c r="F17" s="94"/>
      <c r="G17" s="6"/>
      <c r="H17" s="7"/>
      <c r="I17" s="95">
        <f t="shared" si="4"/>
        <v>0</v>
      </c>
      <c r="J17" s="95">
        <f t="shared" si="5"/>
        <v>0</v>
      </c>
      <c r="K17" s="7"/>
      <c r="L17" s="9"/>
      <c r="M17" s="96">
        <f t="shared" si="6"/>
        <v>0</v>
      </c>
      <c r="N17" s="96">
        <f t="shared" si="7"/>
        <v>0</v>
      </c>
      <c r="O17" s="9"/>
    </row>
    <row r="18" spans="1:15" ht="90" customHeight="1" x14ac:dyDescent="0.25">
      <c r="A18" s="493" t="s">
        <v>631</v>
      </c>
      <c r="B18" s="91" t="s">
        <v>641</v>
      </c>
      <c r="C18" s="92"/>
      <c r="D18" s="204"/>
      <c r="E18" s="93" t="s">
        <v>643</v>
      </c>
      <c r="F18" s="94"/>
      <c r="G18" s="6"/>
      <c r="H18" s="7"/>
      <c r="I18" s="95">
        <f t="shared" si="4"/>
        <v>0</v>
      </c>
      <c r="J18" s="95">
        <f t="shared" si="5"/>
        <v>0</v>
      </c>
      <c r="K18" s="7"/>
      <c r="L18" s="9"/>
      <c r="M18" s="96">
        <f t="shared" si="6"/>
        <v>0</v>
      </c>
      <c r="N18" s="96">
        <f t="shared" si="7"/>
        <v>0</v>
      </c>
      <c r="O18" s="9"/>
    </row>
    <row r="19" spans="1:15" ht="60" customHeight="1" x14ac:dyDescent="0.25">
      <c r="A19" s="493" t="s">
        <v>631</v>
      </c>
      <c r="B19" s="91" t="s">
        <v>641</v>
      </c>
      <c r="C19" s="92"/>
      <c r="D19" s="204"/>
      <c r="E19" s="93" t="s">
        <v>644</v>
      </c>
      <c r="F19" s="94"/>
      <c r="G19" s="6"/>
      <c r="H19" s="7"/>
      <c r="I19" s="95">
        <f t="shared" si="4"/>
        <v>0</v>
      </c>
      <c r="J19" s="95">
        <f t="shared" si="5"/>
        <v>0</v>
      </c>
      <c r="K19" s="7"/>
      <c r="L19" s="9"/>
      <c r="M19" s="96">
        <f t="shared" si="6"/>
        <v>0</v>
      </c>
      <c r="N19" s="96">
        <f t="shared" si="7"/>
        <v>0</v>
      </c>
      <c r="O19" s="9"/>
    </row>
    <row r="20" spans="1:15" ht="15" customHeight="1" x14ac:dyDescent="0.25">
      <c r="A20" s="493" t="s">
        <v>631</v>
      </c>
      <c r="B20" s="91" t="s">
        <v>641</v>
      </c>
      <c r="C20" s="92"/>
      <c r="D20" s="207">
        <v>4</v>
      </c>
      <c r="E20" s="208" t="s">
        <v>1749</v>
      </c>
      <c r="F20" s="94"/>
      <c r="G20" s="6"/>
      <c r="H20" s="7"/>
      <c r="I20" s="95">
        <f t="shared" si="4"/>
        <v>0</v>
      </c>
      <c r="J20" s="95">
        <f t="shared" si="5"/>
        <v>0</v>
      </c>
      <c r="K20" s="7"/>
      <c r="L20" s="9"/>
      <c r="M20" s="96">
        <f t="shared" si="6"/>
        <v>0</v>
      </c>
      <c r="N20" s="96">
        <f t="shared" si="7"/>
        <v>0</v>
      </c>
      <c r="O20" s="9"/>
    </row>
    <row r="21" spans="1:15" ht="45" customHeight="1" x14ac:dyDescent="0.25">
      <c r="A21" s="493" t="s">
        <v>631</v>
      </c>
      <c r="B21" s="91" t="s">
        <v>641</v>
      </c>
      <c r="C21" s="92"/>
      <c r="D21" s="204"/>
      <c r="E21" s="93" t="s">
        <v>645</v>
      </c>
      <c r="F21" s="94"/>
      <c r="G21" s="6"/>
      <c r="H21" s="7"/>
      <c r="I21" s="95">
        <f t="shared" si="4"/>
        <v>0</v>
      </c>
      <c r="J21" s="95">
        <f t="shared" si="5"/>
        <v>0</v>
      </c>
      <c r="K21" s="7"/>
      <c r="L21" s="9"/>
      <c r="M21" s="96">
        <f t="shared" si="6"/>
        <v>0</v>
      </c>
      <c r="N21" s="96">
        <f t="shared" si="7"/>
        <v>0</v>
      </c>
      <c r="O21" s="9"/>
    </row>
    <row r="22" spans="1:15" ht="30" customHeight="1" x14ac:dyDescent="0.25">
      <c r="A22" s="493" t="s">
        <v>631</v>
      </c>
      <c r="B22" s="91" t="s">
        <v>641</v>
      </c>
      <c r="C22" s="92"/>
      <c r="D22" s="204"/>
      <c r="E22" s="93" t="s">
        <v>646</v>
      </c>
      <c r="F22" s="94"/>
      <c r="G22" s="6"/>
      <c r="H22" s="7"/>
      <c r="I22" s="95">
        <f t="shared" si="4"/>
        <v>0</v>
      </c>
      <c r="J22" s="95">
        <f t="shared" si="5"/>
        <v>0</v>
      </c>
      <c r="K22" s="7"/>
      <c r="L22" s="9"/>
      <c r="M22" s="96">
        <f t="shared" si="6"/>
        <v>0</v>
      </c>
      <c r="N22" s="96">
        <f t="shared" si="7"/>
        <v>0</v>
      </c>
      <c r="O22" s="9"/>
    </row>
    <row r="23" spans="1:15" ht="75" customHeight="1" x14ac:dyDescent="0.25">
      <c r="A23" s="493" t="s">
        <v>631</v>
      </c>
      <c r="B23" s="91" t="s">
        <v>641</v>
      </c>
      <c r="C23" s="92"/>
      <c r="D23" s="204"/>
      <c r="E23" s="93" t="s">
        <v>647</v>
      </c>
      <c r="F23" s="94"/>
      <c r="G23" s="6"/>
      <c r="H23" s="7"/>
      <c r="I23" s="95">
        <f t="shared" si="4"/>
        <v>0</v>
      </c>
      <c r="J23" s="95">
        <f t="shared" si="5"/>
        <v>0</v>
      </c>
      <c r="K23" s="7"/>
      <c r="L23" s="9"/>
      <c r="M23" s="96">
        <f t="shared" si="6"/>
        <v>0</v>
      </c>
      <c r="N23" s="96">
        <f t="shared" si="7"/>
        <v>0</v>
      </c>
      <c r="O23" s="9"/>
    </row>
    <row r="24" spans="1:15" ht="195" customHeight="1" x14ac:dyDescent="0.25">
      <c r="A24" s="493" t="s">
        <v>631</v>
      </c>
      <c r="B24" s="91" t="s">
        <v>641</v>
      </c>
      <c r="C24" s="92"/>
      <c r="D24" s="204"/>
      <c r="E24" s="93" t="s">
        <v>648</v>
      </c>
      <c r="F24" s="94"/>
      <c r="G24" s="6"/>
      <c r="H24" s="7"/>
      <c r="I24" s="95">
        <f t="shared" si="4"/>
        <v>0</v>
      </c>
      <c r="J24" s="95">
        <f t="shared" si="5"/>
        <v>0</v>
      </c>
      <c r="K24" s="7"/>
      <c r="L24" s="9"/>
      <c r="M24" s="96">
        <f t="shared" si="6"/>
        <v>0</v>
      </c>
      <c r="N24" s="96">
        <f t="shared" si="7"/>
        <v>0</v>
      </c>
      <c r="O24" s="9"/>
    </row>
    <row r="25" spans="1:15" ht="75" customHeight="1" x14ac:dyDescent="0.25">
      <c r="A25" s="493" t="s">
        <v>631</v>
      </c>
      <c r="B25" s="91" t="s">
        <v>641</v>
      </c>
      <c r="C25" s="92"/>
      <c r="D25" s="204"/>
      <c r="E25" s="93" t="s">
        <v>649</v>
      </c>
      <c r="F25" s="94"/>
      <c r="G25" s="6"/>
      <c r="H25" s="7"/>
      <c r="I25" s="95">
        <f t="shared" si="4"/>
        <v>0</v>
      </c>
      <c r="J25" s="95">
        <f t="shared" si="5"/>
        <v>0</v>
      </c>
      <c r="K25" s="7"/>
      <c r="L25" s="9"/>
      <c r="M25" s="96">
        <f t="shared" si="6"/>
        <v>0</v>
      </c>
      <c r="N25" s="96">
        <f t="shared" si="7"/>
        <v>0</v>
      </c>
      <c r="O25" s="9"/>
    </row>
    <row r="26" spans="1:15" ht="15" customHeight="1" x14ac:dyDescent="0.25">
      <c r="A26" s="493" t="s">
        <v>1022</v>
      </c>
      <c r="B26" s="205" t="str">
        <f>+B25</f>
        <v>Sec1/2</v>
      </c>
      <c r="C26" s="97"/>
      <c r="D26" s="205"/>
      <c r="E26" s="98" t="s">
        <v>640</v>
      </c>
      <c r="F26" s="97"/>
      <c r="G26" s="11"/>
      <c r="H26" s="11"/>
      <c r="I26" s="11"/>
      <c r="J26" s="99">
        <f>SUBTOTAL(9,J16:J25)</f>
        <v>0</v>
      </c>
      <c r="K26" s="11"/>
      <c r="L26" s="11"/>
      <c r="M26" s="11"/>
      <c r="N26" s="99">
        <f>SUBTOTAL(9,N16:N25)</f>
        <v>0</v>
      </c>
      <c r="O26" s="11"/>
    </row>
    <row r="27" spans="1:15" ht="15" customHeight="1" x14ac:dyDescent="0.25">
      <c r="A27" s="493" t="s">
        <v>631</v>
      </c>
      <c r="B27" s="91" t="s">
        <v>650</v>
      </c>
      <c r="C27" s="92"/>
      <c r="D27" s="207" t="s">
        <v>1004</v>
      </c>
      <c r="E27" s="208" t="s">
        <v>1747</v>
      </c>
      <c r="F27" s="94"/>
      <c r="G27" s="6"/>
      <c r="H27" s="7"/>
      <c r="I27" s="95">
        <f t="shared" ref="I27:I37" si="8">ROUND(H27*G27,2)</f>
        <v>0</v>
      </c>
      <c r="J27" s="95">
        <f t="shared" ref="J27:J37" si="9">ROUNDUP(I27,0)</f>
        <v>0</v>
      </c>
      <c r="K27" s="7"/>
      <c r="L27" s="9"/>
      <c r="M27" s="96">
        <f t="shared" ref="M27:M37" si="10">ROUND(L27*G27,2)</f>
        <v>0</v>
      </c>
      <c r="N27" s="96">
        <f t="shared" ref="N27:N37" si="11">ROUNDUP(M27,0)</f>
        <v>0</v>
      </c>
      <c r="O27" s="9"/>
    </row>
    <row r="28" spans="1:15" ht="15" customHeight="1" x14ac:dyDescent="0.25">
      <c r="A28" s="493" t="s">
        <v>631</v>
      </c>
      <c r="B28" s="91" t="s">
        <v>650</v>
      </c>
      <c r="C28" s="92"/>
      <c r="D28" s="207">
        <v>4</v>
      </c>
      <c r="E28" s="208" t="s">
        <v>1750</v>
      </c>
      <c r="F28" s="94"/>
      <c r="G28" s="6"/>
      <c r="H28" s="7"/>
      <c r="I28" s="95">
        <f t="shared" si="8"/>
        <v>0</v>
      </c>
      <c r="J28" s="95">
        <f t="shared" si="9"/>
        <v>0</v>
      </c>
      <c r="K28" s="7"/>
      <c r="L28" s="9"/>
      <c r="M28" s="96">
        <f t="shared" si="10"/>
        <v>0</v>
      </c>
      <c r="N28" s="96">
        <f t="shared" si="11"/>
        <v>0</v>
      </c>
      <c r="O28" s="9"/>
    </row>
    <row r="29" spans="1:15" ht="60" customHeight="1" x14ac:dyDescent="0.25">
      <c r="A29" s="493" t="s">
        <v>631</v>
      </c>
      <c r="B29" s="91" t="s">
        <v>650</v>
      </c>
      <c r="C29" s="92"/>
      <c r="D29" s="204"/>
      <c r="E29" s="93" t="s">
        <v>651</v>
      </c>
      <c r="F29" s="94"/>
      <c r="G29" s="6"/>
      <c r="H29" s="7"/>
      <c r="I29" s="95">
        <f t="shared" si="8"/>
        <v>0</v>
      </c>
      <c r="J29" s="95">
        <f t="shared" si="9"/>
        <v>0</v>
      </c>
      <c r="K29" s="7"/>
      <c r="L29" s="9"/>
      <c r="M29" s="96">
        <f t="shared" si="10"/>
        <v>0</v>
      </c>
      <c r="N29" s="96">
        <f t="shared" si="11"/>
        <v>0</v>
      </c>
      <c r="O29" s="9"/>
    </row>
    <row r="30" spans="1:15" ht="75" customHeight="1" x14ac:dyDescent="0.25">
      <c r="A30" s="493" t="s">
        <v>631</v>
      </c>
      <c r="B30" s="91" t="s">
        <v>650</v>
      </c>
      <c r="C30" s="92"/>
      <c r="D30" s="204"/>
      <c r="E30" s="93" t="s">
        <v>652</v>
      </c>
      <c r="F30" s="94"/>
      <c r="G30" s="6"/>
      <c r="H30" s="7"/>
      <c r="I30" s="95">
        <f t="shared" si="8"/>
        <v>0</v>
      </c>
      <c r="J30" s="95">
        <f t="shared" si="9"/>
        <v>0</v>
      </c>
      <c r="K30" s="7"/>
      <c r="L30" s="9"/>
      <c r="M30" s="96">
        <f t="shared" si="10"/>
        <v>0</v>
      </c>
      <c r="N30" s="96">
        <f t="shared" si="11"/>
        <v>0</v>
      </c>
      <c r="O30" s="9"/>
    </row>
    <row r="31" spans="1:15" ht="135" customHeight="1" x14ac:dyDescent="0.25">
      <c r="A31" s="493" t="s">
        <v>631</v>
      </c>
      <c r="B31" s="91" t="s">
        <v>650</v>
      </c>
      <c r="C31" s="92"/>
      <c r="D31" s="204"/>
      <c r="E31" s="93" t="s">
        <v>653</v>
      </c>
      <c r="F31" s="94"/>
      <c r="G31" s="6"/>
      <c r="H31" s="7"/>
      <c r="I31" s="95">
        <f t="shared" si="8"/>
        <v>0</v>
      </c>
      <c r="J31" s="95">
        <f t="shared" si="9"/>
        <v>0</v>
      </c>
      <c r="K31" s="7"/>
      <c r="L31" s="9"/>
      <c r="M31" s="96">
        <f t="shared" si="10"/>
        <v>0</v>
      </c>
      <c r="N31" s="96">
        <f t="shared" si="11"/>
        <v>0</v>
      </c>
      <c r="O31" s="9"/>
    </row>
    <row r="32" spans="1:15" ht="15" customHeight="1" x14ac:dyDescent="0.25">
      <c r="A32" s="493" t="s">
        <v>631</v>
      </c>
      <c r="B32" s="91" t="s">
        <v>650</v>
      </c>
      <c r="C32" s="92"/>
      <c r="D32" s="207">
        <v>5</v>
      </c>
      <c r="E32" s="208" t="s">
        <v>1751</v>
      </c>
      <c r="F32" s="94"/>
      <c r="G32" s="6"/>
      <c r="H32" s="7"/>
      <c r="I32" s="95">
        <f t="shared" si="8"/>
        <v>0</v>
      </c>
      <c r="J32" s="95">
        <f t="shared" si="9"/>
        <v>0</v>
      </c>
      <c r="K32" s="7"/>
      <c r="L32" s="9"/>
      <c r="M32" s="96">
        <f t="shared" si="10"/>
        <v>0</v>
      </c>
      <c r="N32" s="96">
        <f t="shared" si="11"/>
        <v>0</v>
      </c>
      <c r="O32" s="9"/>
    </row>
    <row r="33" spans="1:15" ht="45" customHeight="1" x14ac:dyDescent="0.25">
      <c r="A33" s="493" t="s">
        <v>631</v>
      </c>
      <c r="B33" s="91" t="s">
        <v>650</v>
      </c>
      <c r="C33" s="92"/>
      <c r="D33" s="204"/>
      <c r="E33" s="93" t="s">
        <v>654</v>
      </c>
      <c r="F33" s="94"/>
      <c r="G33" s="6"/>
      <c r="H33" s="7"/>
      <c r="I33" s="95">
        <f t="shared" si="8"/>
        <v>0</v>
      </c>
      <c r="J33" s="95">
        <f t="shared" si="9"/>
        <v>0</v>
      </c>
      <c r="K33" s="7"/>
      <c r="L33" s="9"/>
      <c r="M33" s="96">
        <f t="shared" si="10"/>
        <v>0</v>
      </c>
      <c r="N33" s="96">
        <f t="shared" si="11"/>
        <v>0</v>
      </c>
      <c r="O33" s="9"/>
    </row>
    <row r="34" spans="1:15" ht="90" customHeight="1" x14ac:dyDescent="0.25">
      <c r="A34" s="493" t="s">
        <v>631</v>
      </c>
      <c r="B34" s="91" t="s">
        <v>650</v>
      </c>
      <c r="C34" s="92"/>
      <c r="D34" s="204"/>
      <c r="E34" s="93" t="s">
        <v>655</v>
      </c>
      <c r="F34" s="94"/>
      <c r="G34" s="6"/>
      <c r="H34" s="7"/>
      <c r="I34" s="95">
        <f t="shared" si="8"/>
        <v>0</v>
      </c>
      <c r="J34" s="95">
        <f t="shared" si="9"/>
        <v>0</v>
      </c>
      <c r="K34" s="7"/>
      <c r="L34" s="9"/>
      <c r="M34" s="96">
        <f t="shared" si="10"/>
        <v>0</v>
      </c>
      <c r="N34" s="96">
        <f t="shared" si="11"/>
        <v>0</v>
      </c>
      <c r="O34" s="9"/>
    </row>
    <row r="35" spans="1:15" ht="45" customHeight="1" x14ac:dyDescent="0.25">
      <c r="A35" s="493" t="s">
        <v>631</v>
      </c>
      <c r="B35" s="91" t="s">
        <v>650</v>
      </c>
      <c r="C35" s="92"/>
      <c r="D35" s="204"/>
      <c r="E35" s="93" t="s">
        <v>656</v>
      </c>
      <c r="F35" s="94"/>
      <c r="G35" s="6"/>
      <c r="H35" s="7"/>
      <c r="I35" s="95">
        <f t="shared" si="8"/>
        <v>0</v>
      </c>
      <c r="J35" s="95">
        <f t="shared" si="9"/>
        <v>0</v>
      </c>
      <c r="K35" s="7"/>
      <c r="L35" s="9"/>
      <c r="M35" s="96">
        <f t="shared" si="10"/>
        <v>0</v>
      </c>
      <c r="N35" s="96">
        <f t="shared" si="11"/>
        <v>0</v>
      </c>
      <c r="O35" s="9"/>
    </row>
    <row r="36" spans="1:15" ht="45" customHeight="1" x14ac:dyDescent="0.25">
      <c r="A36" s="493" t="s">
        <v>631</v>
      </c>
      <c r="B36" s="91" t="s">
        <v>650</v>
      </c>
      <c r="C36" s="92"/>
      <c r="D36" s="204"/>
      <c r="E36" s="93" t="s">
        <v>657</v>
      </c>
      <c r="F36" s="94"/>
      <c r="G36" s="6"/>
      <c r="H36" s="7"/>
      <c r="I36" s="95">
        <f t="shared" si="8"/>
        <v>0</v>
      </c>
      <c r="J36" s="95">
        <f t="shared" si="9"/>
        <v>0</v>
      </c>
      <c r="K36" s="7"/>
      <c r="L36" s="9"/>
      <c r="M36" s="96">
        <f t="shared" si="10"/>
        <v>0</v>
      </c>
      <c r="N36" s="96">
        <f t="shared" si="11"/>
        <v>0</v>
      </c>
      <c r="O36" s="9"/>
    </row>
    <row r="37" spans="1:15" ht="75" customHeight="1" x14ac:dyDescent="0.25">
      <c r="A37" s="493" t="s">
        <v>631</v>
      </c>
      <c r="B37" s="91" t="s">
        <v>650</v>
      </c>
      <c r="C37" s="92"/>
      <c r="D37" s="204"/>
      <c r="E37" s="93" t="s">
        <v>658</v>
      </c>
      <c r="F37" s="94"/>
      <c r="G37" s="6"/>
      <c r="H37" s="7"/>
      <c r="I37" s="95">
        <f t="shared" si="8"/>
        <v>0</v>
      </c>
      <c r="J37" s="95">
        <f t="shared" si="9"/>
        <v>0</v>
      </c>
      <c r="K37" s="7"/>
      <c r="L37" s="9"/>
      <c r="M37" s="96">
        <f t="shared" si="10"/>
        <v>0</v>
      </c>
      <c r="N37" s="96">
        <f t="shared" si="11"/>
        <v>0</v>
      </c>
      <c r="O37" s="9"/>
    </row>
    <row r="38" spans="1:15" ht="15" customHeight="1" x14ac:dyDescent="0.25">
      <c r="A38" s="493" t="s">
        <v>1022</v>
      </c>
      <c r="B38" s="205" t="str">
        <f>+B37</f>
        <v>Sec1/3</v>
      </c>
      <c r="C38" s="97"/>
      <c r="D38" s="205"/>
      <c r="E38" s="98" t="s">
        <v>640</v>
      </c>
      <c r="F38" s="97"/>
      <c r="G38" s="11"/>
      <c r="H38" s="11"/>
      <c r="I38" s="11"/>
      <c r="J38" s="99">
        <f>SUBTOTAL(9,J27:J37)</f>
        <v>0</v>
      </c>
      <c r="K38" s="11"/>
      <c r="L38" s="11"/>
      <c r="M38" s="11"/>
      <c r="N38" s="99">
        <f>SUBTOTAL(9,N27:N37)</f>
        <v>0</v>
      </c>
      <c r="O38" s="11"/>
    </row>
    <row r="39" spans="1:15" ht="15" customHeight="1" x14ac:dyDescent="0.25">
      <c r="A39" s="493" t="s">
        <v>631</v>
      </c>
      <c r="B39" s="91" t="s">
        <v>659</v>
      </c>
      <c r="C39" s="92"/>
      <c r="D39" s="207" t="s">
        <v>1004</v>
      </c>
      <c r="E39" s="208" t="s">
        <v>1747</v>
      </c>
      <c r="F39" s="94"/>
      <c r="G39" s="6"/>
      <c r="H39" s="7"/>
      <c r="I39" s="95">
        <f t="shared" ref="I39:I49" si="12">ROUND(H39*G39,2)</f>
        <v>0</v>
      </c>
      <c r="J39" s="95">
        <f t="shared" ref="J39:J49" si="13">ROUNDUP(I39,0)</f>
        <v>0</v>
      </c>
      <c r="K39" s="7"/>
      <c r="L39" s="9"/>
      <c r="M39" s="96">
        <f t="shared" ref="M39:M49" si="14">ROUND(L39*G39,2)</f>
        <v>0</v>
      </c>
      <c r="N39" s="96">
        <f t="shared" ref="N39:N49" si="15">ROUNDUP(M39,0)</f>
        <v>0</v>
      </c>
      <c r="O39" s="9"/>
    </row>
    <row r="40" spans="1:15" ht="15" customHeight="1" x14ac:dyDescent="0.25">
      <c r="A40" s="493" t="s">
        <v>631</v>
      </c>
      <c r="B40" s="91" t="s">
        <v>659</v>
      </c>
      <c r="C40" s="92"/>
      <c r="D40" s="207">
        <v>6</v>
      </c>
      <c r="E40" s="208" t="s">
        <v>1752</v>
      </c>
      <c r="F40" s="94"/>
      <c r="G40" s="6"/>
      <c r="H40" s="7"/>
      <c r="I40" s="95">
        <f t="shared" si="12"/>
        <v>0</v>
      </c>
      <c r="J40" s="95">
        <f t="shared" si="13"/>
        <v>0</v>
      </c>
      <c r="K40" s="7"/>
      <c r="L40" s="9"/>
      <c r="M40" s="96">
        <f t="shared" si="14"/>
        <v>0</v>
      </c>
      <c r="N40" s="96">
        <f t="shared" si="15"/>
        <v>0</v>
      </c>
      <c r="O40" s="9"/>
    </row>
    <row r="41" spans="1:15" ht="75" customHeight="1" x14ac:dyDescent="0.25">
      <c r="A41" s="493" t="s">
        <v>631</v>
      </c>
      <c r="B41" s="91" t="s">
        <v>659</v>
      </c>
      <c r="C41" s="92"/>
      <c r="D41" s="204"/>
      <c r="E41" s="93" t="s">
        <v>660</v>
      </c>
      <c r="F41" s="94"/>
      <c r="G41" s="6"/>
      <c r="H41" s="7"/>
      <c r="I41" s="95">
        <f t="shared" si="12"/>
        <v>0</v>
      </c>
      <c r="J41" s="95">
        <f t="shared" si="13"/>
        <v>0</v>
      </c>
      <c r="K41" s="7"/>
      <c r="L41" s="9"/>
      <c r="M41" s="96">
        <f t="shared" si="14"/>
        <v>0</v>
      </c>
      <c r="N41" s="96">
        <f t="shared" si="15"/>
        <v>0</v>
      </c>
      <c r="O41" s="9"/>
    </row>
    <row r="42" spans="1:15" ht="105" customHeight="1" x14ac:dyDescent="0.25">
      <c r="A42" s="493" t="s">
        <v>631</v>
      </c>
      <c r="B42" s="91" t="s">
        <v>659</v>
      </c>
      <c r="C42" s="92"/>
      <c r="D42" s="204"/>
      <c r="E42" s="93" t="s">
        <v>661</v>
      </c>
      <c r="F42" s="94"/>
      <c r="G42" s="6"/>
      <c r="H42" s="7"/>
      <c r="I42" s="95">
        <f t="shared" si="12"/>
        <v>0</v>
      </c>
      <c r="J42" s="95">
        <f t="shared" si="13"/>
        <v>0</v>
      </c>
      <c r="K42" s="7"/>
      <c r="L42" s="9"/>
      <c r="M42" s="96">
        <f t="shared" si="14"/>
        <v>0</v>
      </c>
      <c r="N42" s="96">
        <f t="shared" si="15"/>
        <v>0</v>
      </c>
      <c r="O42" s="9"/>
    </row>
    <row r="43" spans="1:15" ht="45" customHeight="1" x14ac:dyDescent="0.25">
      <c r="A43" s="493" t="s">
        <v>631</v>
      </c>
      <c r="B43" s="91" t="s">
        <v>659</v>
      </c>
      <c r="C43" s="92"/>
      <c r="D43" s="204"/>
      <c r="E43" s="93" t="s">
        <v>662</v>
      </c>
      <c r="F43" s="94"/>
      <c r="G43" s="6"/>
      <c r="H43" s="7"/>
      <c r="I43" s="95">
        <f t="shared" si="12"/>
        <v>0</v>
      </c>
      <c r="J43" s="95">
        <f t="shared" si="13"/>
        <v>0</v>
      </c>
      <c r="K43" s="7"/>
      <c r="L43" s="9"/>
      <c r="M43" s="96">
        <f t="shared" si="14"/>
        <v>0</v>
      </c>
      <c r="N43" s="96">
        <f t="shared" si="15"/>
        <v>0</v>
      </c>
      <c r="O43" s="9"/>
    </row>
    <row r="44" spans="1:15" ht="60" customHeight="1" x14ac:dyDescent="0.25">
      <c r="A44" s="493" t="s">
        <v>631</v>
      </c>
      <c r="B44" s="91" t="s">
        <v>659</v>
      </c>
      <c r="C44" s="92"/>
      <c r="D44" s="204"/>
      <c r="E44" s="93" t="s">
        <v>663</v>
      </c>
      <c r="F44" s="94"/>
      <c r="G44" s="6"/>
      <c r="H44" s="7"/>
      <c r="I44" s="95">
        <f t="shared" si="12"/>
        <v>0</v>
      </c>
      <c r="J44" s="95">
        <f t="shared" si="13"/>
        <v>0</v>
      </c>
      <c r="K44" s="7"/>
      <c r="L44" s="9"/>
      <c r="M44" s="96">
        <f t="shared" si="14"/>
        <v>0</v>
      </c>
      <c r="N44" s="96">
        <f t="shared" si="15"/>
        <v>0</v>
      </c>
      <c r="O44" s="9"/>
    </row>
    <row r="45" spans="1:15" ht="15" customHeight="1" x14ac:dyDescent="0.25">
      <c r="A45" s="493" t="s">
        <v>631</v>
      </c>
      <c r="B45" s="91" t="s">
        <v>659</v>
      </c>
      <c r="C45" s="92"/>
      <c r="D45" s="207">
        <v>7</v>
      </c>
      <c r="E45" s="208" t="s">
        <v>1753</v>
      </c>
      <c r="F45" s="94"/>
      <c r="G45" s="6"/>
      <c r="H45" s="7"/>
      <c r="I45" s="95">
        <f t="shared" si="12"/>
        <v>0</v>
      </c>
      <c r="J45" s="95">
        <f t="shared" si="13"/>
        <v>0</v>
      </c>
      <c r="K45" s="7"/>
      <c r="L45" s="9"/>
      <c r="M45" s="96">
        <f t="shared" si="14"/>
        <v>0</v>
      </c>
      <c r="N45" s="96">
        <f t="shared" si="15"/>
        <v>0</v>
      </c>
      <c r="O45" s="9"/>
    </row>
    <row r="46" spans="1:15" ht="30" customHeight="1" x14ac:dyDescent="0.25">
      <c r="A46" s="493" t="s">
        <v>631</v>
      </c>
      <c r="B46" s="91" t="s">
        <v>659</v>
      </c>
      <c r="C46" s="92"/>
      <c r="D46" s="204"/>
      <c r="E46" s="93" t="s">
        <v>664</v>
      </c>
      <c r="F46" s="94"/>
      <c r="G46" s="6"/>
      <c r="H46" s="7"/>
      <c r="I46" s="95">
        <f t="shared" si="12"/>
        <v>0</v>
      </c>
      <c r="J46" s="95">
        <f t="shared" si="13"/>
        <v>0</v>
      </c>
      <c r="K46" s="7"/>
      <c r="L46" s="9"/>
      <c r="M46" s="96">
        <f t="shared" si="14"/>
        <v>0</v>
      </c>
      <c r="N46" s="96">
        <f t="shared" si="15"/>
        <v>0</v>
      </c>
      <c r="O46" s="9"/>
    </row>
    <row r="47" spans="1:15" ht="30" customHeight="1" x14ac:dyDescent="0.25">
      <c r="A47" s="493" t="s">
        <v>631</v>
      </c>
      <c r="B47" s="91" t="s">
        <v>659</v>
      </c>
      <c r="C47" s="92"/>
      <c r="D47" s="204"/>
      <c r="E47" s="93" t="s">
        <v>665</v>
      </c>
      <c r="F47" s="94"/>
      <c r="G47" s="6"/>
      <c r="H47" s="7"/>
      <c r="I47" s="95">
        <f t="shared" si="12"/>
        <v>0</v>
      </c>
      <c r="J47" s="95">
        <f t="shared" si="13"/>
        <v>0</v>
      </c>
      <c r="K47" s="7"/>
      <c r="L47" s="9"/>
      <c r="M47" s="96">
        <f t="shared" si="14"/>
        <v>0</v>
      </c>
      <c r="N47" s="96">
        <f t="shared" si="15"/>
        <v>0</v>
      </c>
      <c r="O47" s="9"/>
    </row>
    <row r="48" spans="1:15" ht="30" customHeight="1" x14ac:dyDescent="0.25">
      <c r="A48" s="493" t="s">
        <v>631</v>
      </c>
      <c r="B48" s="91" t="s">
        <v>659</v>
      </c>
      <c r="C48" s="92"/>
      <c r="D48" s="204"/>
      <c r="E48" s="93" t="s">
        <v>666</v>
      </c>
      <c r="F48" s="94"/>
      <c r="G48" s="6"/>
      <c r="H48" s="7"/>
      <c r="I48" s="95">
        <f t="shared" si="12"/>
        <v>0</v>
      </c>
      <c r="J48" s="95">
        <f t="shared" si="13"/>
        <v>0</v>
      </c>
      <c r="K48" s="7"/>
      <c r="L48" s="9"/>
      <c r="M48" s="96">
        <f t="shared" si="14"/>
        <v>0</v>
      </c>
      <c r="N48" s="96">
        <f t="shared" si="15"/>
        <v>0</v>
      </c>
      <c r="O48" s="9"/>
    </row>
    <row r="49" spans="1:15" ht="45" customHeight="1" x14ac:dyDescent="0.25">
      <c r="A49" s="493" t="s">
        <v>631</v>
      </c>
      <c r="B49" s="91" t="s">
        <v>659</v>
      </c>
      <c r="C49" s="92"/>
      <c r="D49" s="204"/>
      <c r="E49" s="93" t="s">
        <v>667</v>
      </c>
      <c r="F49" s="94"/>
      <c r="G49" s="6"/>
      <c r="H49" s="7"/>
      <c r="I49" s="95">
        <f t="shared" si="12"/>
        <v>0</v>
      </c>
      <c r="J49" s="95">
        <f t="shared" si="13"/>
        <v>0</v>
      </c>
      <c r="K49" s="7"/>
      <c r="L49" s="9"/>
      <c r="M49" s="96">
        <f t="shared" si="14"/>
        <v>0</v>
      </c>
      <c r="N49" s="96">
        <f t="shared" si="15"/>
        <v>0</v>
      </c>
      <c r="O49" s="9"/>
    </row>
    <row r="50" spans="1:15" ht="15" customHeight="1" x14ac:dyDescent="0.25">
      <c r="A50" s="493" t="s">
        <v>1022</v>
      </c>
      <c r="B50" s="205" t="str">
        <f>+B49</f>
        <v>Sec1/4</v>
      </c>
      <c r="C50" s="97"/>
      <c r="D50" s="205"/>
      <c r="E50" s="98" t="s">
        <v>640</v>
      </c>
      <c r="F50" s="97"/>
      <c r="G50" s="11"/>
      <c r="H50" s="11"/>
      <c r="I50" s="11"/>
      <c r="J50" s="99">
        <f>SUBTOTAL(9,J39:J49)</f>
        <v>0</v>
      </c>
      <c r="K50" s="11"/>
      <c r="L50" s="11"/>
      <c r="M50" s="11"/>
      <c r="N50" s="99">
        <f>SUBTOTAL(9,N39:N49)</f>
        <v>0</v>
      </c>
      <c r="O50" s="11"/>
    </row>
    <row r="51" spans="1:15" ht="15" customHeight="1" x14ac:dyDescent="0.25">
      <c r="A51" s="493" t="s">
        <v>631</v>
      </c>
      <c r="B51" s="91" t="s">
        <v>668</v>
      </c>
      <c r="C51" s="92"/>
      <c r="D51" s="207" t="s">
        <v>1004</v>
      </c>
      <c r="E51" s="208" t="s">
        <v>1747</v>
      </c>
      <c r="F51" s="94"/>
      <c r="G51" s="6"/>
      <c r="H51" s="7"/>
      <c r="I51" s="95">
        <f t="shared" ref="I51:I63" si="16">ROUND(H51*G51,2)</f>
        <v>0</v>
      </c>
      <c r="J51" s="95">
        <f t="shared" ref="J51:J63" si="17">ROUNDUP(I51,0)</f>
        <v>0</v>
      </c>
      <c r="K51" s="7"/>
      <c r="L51" s="9"/>
      <c r="M51" s="96">
        <f t="shared" ref="M51:M63" si="18">ROUND(L51*G51,2)</f>
        <v>0</v>
      </c>
      <c r="N51" s="96">
        <f t="shared" ref="N51:N63" si="19">ROUNDUP(M51,0)</f>
        <v>0</v>
      </c>
      <c r="O51" s="9"/>
    </row>
    <row r="52" spans="1:15" ht="15" customHeight="1" x14ac:dyDescent="0.25">
      <c r="A52" s="493" t="s">
        <v>631</v>
      </c>
      <c r="B52" s="91" t="s">
        <v>668</v>
      </c>
      <c r="C52" s="92"/>
      <c r="D52" s="207">
        <v>8</v>
      </c>
      <c r="E52" s="208" t="s">
        <v>1754</v>
      </c>
      <c r="F52" s="94"/>
      <c r="G52" s="6"/>
      <c r="H52" s="7"/>
      <c r="I52" s="95">
        <f t="shared" si="16"/>
        <v>0</v>
      </c>
      <c r="J52" s="95">
        <f t="shared" si="17"/>
        <v>0</v>
      </c>
      <c r="K52" s="7"/>
      <c r="L52" s="9"/>
      <c r="M52" s="96">
        <f t="shared" si="18"/>
        <v>0</v>
      </c>
      <c r="N52" s="96">
        <f t="shared" si="19"/>
        <v>0</v>
      </c>
      <c r="O52" s="9"/>
    </row>
    <row r="53" spans="1:15" ht="30" customHeight="1" x14ac:dyDescent="0.25">
      <c r="A53" s="493" t="s">
        <v>631</v>
      </c>
      <c r="B53" s="91" t="s">
        <v>668</v>
      </c>
      <c r="C53" s="92"/>
      <c r="D53" s="204"/>
      <c r="E53" s="93" t="s">
        <v>669</v>
      </c>
      <c r="F53" s="94"/>
      <c r="G53" s="6"/>
      <c r="H53" s="7"/>
      <c r="I53" s="95">
        <f t="shared" si="16"/>
        <v>0</v>
      </c>
      <c r="J53" s="95">
        <f t="shared" si="17"/>
        <v>0</v>
      </c>
      <c r="K53" s="7"/>
      <c r="L53" s="9"/>
      <c r="M53" s="96">
        <f t="shared" si="18"/>
        <v>0</v>
      </c>
      <c r="N53" s="96">
        <f t="shared" si="19"/>
        <v>0</v>
      </c>
      <c r="O53" s="9"/>
    </row>
    <row r="54" spans="1:15" ht="105" customHeight="1" x14ac:dyDescent="0.25">
      <c r="A54" s="493" t="s">
        <v>631</v>
      </c>
      <c r="B54" s="91" t="s">
        <v>668</v>
      </c>
      <c r="C54" s="92"/>
      <c r="D54" s="204"/>
      <c r="E54" s="93" t="s">
        <v>670</v>
      </c>
      <c r="F54" s="94"/>
      <c r="G54" s="6"/>
      <c r="H54" s="7"/>
      <c r="I54" s="95">
        <f t="shared" si="16"/>
        <v>0</v>
      </c>
      <c r="J54" s="95">
        <f t="shared" si="17"/>
        <v>0</v>
      </c>
      <c r="K54" s="7"/>
      <c r="L54" s="9"/>
      <c r="M54" s="96">
        <f t="shared" si="18"/>
        <v>0</v>
      </c>
      <c r="N54" s="96">
        <f t="shared" si="19"/>
        <v>0</v>
      </c>
      <c r="O54" s="9"/>
    </row>
    <row r="55" spans="1:15" ht="45" customHeight="1" x14ac:dyDescent="0.25">
      <c r="A55" s="493" t="s">
        <v>631</v>
      </c>
      <c r="B55" s="91" t="s">
        <v>668</v>
      </c>
      <c r="C55" s="92"/>
      <c r="D55" s="204"/>
      <c r="E55" s="93" t="s">
        <v>671</v>
      </c>
      <c r="F55" s="94"/>
      <c r="G55" s="6"/>
      <c r="H55" s="7"/>
      <c r="I55" s="95">
        <f t="shared" si="16"/>
        <v>0</v>
      </c>
      <c r="J55" s="95">
        <f t="shared" si="17"/>
        <v>0</v>
      </c>
      <c r="K55" s="7"/>
      <c r="L55" s="9"/>
      <c r="M55" s="96">
        <f t="shared" si="18"/>
        <v>0</v>
      </c>
      <c r="N55" s="96">
        <f t="shared" si="19"/>
        <v>0</v>
      </c>
      <c r="O55" s="9"/>
    </row>
    <row r="56" spans="1:15" ht="15" customHeight="1" x14ac:dyDescent="0.25">
      <c r="A56" s="493" t="s">
        <v>631</v>
      </c>
      <c r="B56" s="91" t="s">
        <v>668</v>
      </c>
      <c r="C56" s="92"/>
      <c r="D56" s="207">
        <v>9</v>
      </c>
      <c r="E56" s="208" t="s">
        <v>1755</v>
      </c>
      <c r="F56" s="94"/>
      <c r="G56" s="6"/>
      <c r="H56" s="7"/>
      <c r="I56" s="95">
        <f t="shared" si="16"/>
        <v>0</v>
      </c>
      <c r="J56" s="95">
        <f t="shared" si="17"/>
        <v>0</v>
      </c>
      <c r="K56" s="7"/>
      <c r="L56" s="9"/>
      <c r="M56" s="96">
        <f t="shared" si="18"/>
        <v>0</v>
      </c>
      <c r="N56" s="96">
        <f t="shared" si="19"/>
        <v>0</v>
      </c>
      <c r="O56" s="9"/>
    </row>
    <row r="57" spans="1:15" ht="15" customHeight="1" x14ac:dyDescent="0.25">
      <c r="A57" s="493" t="s">
        <v>631</v>
      </c>
      <c r="B57" s="91" t="s">
        <v>668</v>
      </c>
      <c r="C57" s="92"/>
      <c r="D57" s="207"/>
      <c r="E57" s="208" t="s">
        <v>672</v>
      </c>
      <c r="F57" s="94"/>
      <c r="G57" s="6"/>
      <c r="H57" s="7"/>
      <c r="I57" s="95">
        <f t="shared" si="16"/>
        <v>0</v>
      </c>
      <c r="J57" s="95">
        <f t="shared" si="17"/>
        <v>0</v>
      </c>
      <c r="K57" s="7"/>
      <c r="L57" s="9"/>
      <c r="M57" s="96">
        <f t="shared" si="18"/>
        <v>0</v>
      </c>
      <c r="N57" s="96">
        <f t="shared" si="19"/>
        <v>0</v>
      </c>
      <c r="O57" s="9"/>
    </row>
    <row r="58" spans="1:15" ht="75" customHeight="1" x14ac:dyDescent="0.25">
      <c r="A58" s="493" t="s">
        <v>631</v>
      </c>
      <c r="B58" s="91" t="s">
        <v>668</v>
      </c>
      <c r="C58" s="92"/>
      <c r="D58" s="204"/>
      <c r="E58" s="93" t="s">
        <v>673</v>
      </c>
      <c r="F58" s="94"/>
      <c r="G58" s="6"/>
      <c r="H58" s="7"/>
      <c r="I58" s="95">
        <f t="shared" si="16"/>
        <v>0</v>
      </c>
      <c r="J58" s="95">
        <f t="shared" si="17"/>
        <v>0</v>
      </c>
      <c r="K58" s="7"/>
      <c r="L58" s="9"/>
      <c r="M58" s="96">
        <f t="shared" si="18"/>
        <v>0</v>
      </c>
      <c r="N58" s="96">
        <f t="shared" si="19"/>
        <v>0</v>
      </c>
      <c r="O58" s="9"/>
    </row>
    <row r="59" spans="1:15" ht="75" customHeight="1" x14ac:dyDescent="0.25">
      <c r="A59" s="493" t="s">
        <v>631</v>
      </c>
      <c r="B59" s="91" t="s">
        <v>668</v>
      </c>
      <c r="C59" s="92"/>
      <c r="D59" s="204"/>
      <c r="E59" s="93" t="s">
        <v>674</v>
      </c>
      <c r="F59" s="94"/>
      <c r="G59" s="6"/>
      <c r="H59" s="7"/>
      <c r="I59" s="95">
        <f t="shared" si="16"/>
        <v>0</v>
      </c>
      <c r="J59" s="95">
        <f t="shared" si="17"/>
        <v>0</v>
      </c>
      <c r="K59" s="7"/>
      <c r="L59" s="9"/>
      <c r="M59" s="96">
        <f t="shared" si="18"/>
        <v>0</v>
      </c>
      <c r="N59" s="96">
        <f t="shared" si="19"/>
        <v>0</v>
      </c>
      <c r="O59" s="9"/>
    </row>
    <row r="60" spans="1:15" ht="15" customHeight="1" x14ac:dyDescent="0.25">
      <c r="A60" s="493" t="s">
        <v>631</v>
      </c>
      <c r="B60" s="91" t="s">
        <v>668</v>
      </c>
      <c r="C60" s="92"/>
      <c r="D60" s="207">
        <v>10</v>
      </c>
      <c r="E60" s="208" t="s">
        <v>1756</v>
      </c>
      <c r="F60" s="94"/>
      <c r="G60" s="6"/>
      <c r="H60" s="7"/>
      <c r="I60" s="95">
        <f t="shared" si="16"/>
        <v>0</v>
      </c>
      <c r="J60" s="95">
        <f t="shared" si="17"/>
        <v>0</v>
      </c>
      <c r="K60" s="7"/>
      <c r="L60" s="9"/>
      <c r="M60" s="96">
        <f t="shared" si="18"/>
        <v>0</v>
      </c>
      <c r="N60" s="96">
        <f t="shared" si="19"/>
        <v>0</v>
      </c>
      <c r="O60" s="9"/>
    </row>
    <row r="61" spans="1:15" ht="45" customHeight="1" x14ac:dyDescent="0.25">
      <c r="A61" s="493" t="s">
        <v>631</v>
      </c>
      <c r="B61" s="91" t="s">
        <v>668</v>
      </c>
      <c r="C61" s="92"/>
      <c r="D61" s="204"/>
      <c r="E61" s="93" t="s">
        <v>675</v>
      </c>
      <c r="F61" s="94"/>
      <c r="G61" s="6"/>
      <c r="H61" s="7"/>
      <c r="I61" s="95">
        <f t="shared" si="16"/>
        <v>0</v>
      </c>
      <c r="J61" s="95">
        <f t="shared" si="17"/>
        <v>0</v>
      </c>
      <c r="K61" s="7"/>
      <c r="L61" s="9"/>
      <c r="M61" s="96">
        <f t="shared" si="18"/>
        <v>0</v>
      </c>
      <c r="N61" s="96">
        <f t="shared" si="19"/>
        <v>0</v>
      </c>
      <c r="O61" s="9"/>
    </row>
    <row r="62" spans="1:15" ht="45" customHeight="1" x14ac:dyDescent="0.25">
      <c r="A62" s="493" t="s">
        <v>631</v>
      </c>
      <c r="B62" s="91" t="s">
        <v>668</v>
      </c>
      <c r="C62" s="92"/>
      <c r="D62" s="204"/>
      <c r="E62" s="93" t="s">
        <v>676</v>
      </c>
      <c r="F62" s="94"/>
      <c r="G62" s="6"/>
      <c r="H62" s="7"/>
      <c r="I62" s="95">
        <f t="shared" si="16"/>
        <v>0</v>
      </c>
      <c r="J62" s="95">
        <f t="shared" si="17"/>
        <v>0</v>
      </c>
      <c r="K62" s="7"/>
      <c r="L62" s="9"/>
      <c r="M62" s="96">
        <f t="shared" si="18"/>
        <v>0</v>
      </c>
      <c r="N62" s="96">
        <f t="shared" si="19"/>
        <v>0</v>
      </c>
      <c r="O62" s="9"/>
    </row>
    <row r="63" spans="1:15" ht="30" customHeight="1" x14ac:dyDescent="0.25">
      <c r="A63" s="493" t="s">
        <v>631</v>
      </c>
      <c r="B63" s="91" t="s">
        <v>668</v>
      </c>
      <c r="C63" s="92"/>
      <c r="D63" s="204"/>
      <c r="E63" s="93" t="s">
        <v>677</v>
      </c>
      <c r="F63" s="94"/>
      <c r="G63" s="6"/>
      <c r="H63" s="7"/>
      <c r="I63" s="95">
        <f t="shared" si="16"/>
        <v>0</v>
      </c>
      <c r="J63" s="95">
        <f t="shared" si="17"/>
        <v>0</v>
      </c>
      <c r="K63" s="7"/>
      <c r="L63" s="9"/>
      <c r="M63" s="96">
        <f t="shared" si="18"/>
        <v>0</v>
      </c>
      <c r="N63" s="96">
        <f t="shared" si="19"/>
        <v>0</v>
      </c>
      <c r="O63" s="9"/>
    </row>
    <row r="64" spans="1:15" ht="15" customHeight="1" x14ac:dyDescent="0.25">
      <c r="A64" s="493" t="s">
        <v>1022</v>
      </c>
      <c r="B64" s="205" t="str">
        <f>+B63</f>
        <v>Sec1/5</v>
      </c>
      <c r="C64" s="97"/>
      <c r="D64" s="205"/>
      <c r="E64" s="98" t="s">
        <v>640</v>
      </c>
      <c r="F64" s="97"/>
      <c r="G64" s="11"/>
      <c r="H64" s="11"/>
      <c r="I64" s="11"/>
      <c r="J64" s="99">
        <f>SUBTOTAL(9,J51:J63)</f>
        <v>0</v>
      </c>
      <c r="K64" s="11"/>
      <c r="L64" s="11"/>
      <c r="M64" s="11"/>
      <c r="N64" s="99">
        <f>SUBTOTAL(9,N51:N63)</f>
        <v>0</v>
      </c>
      <c r="O64" s="11"/>
    </row>
    <row r="65" spans="1:15" ht="15" customHeight="1" x14ac:dyDescent="0.25">
      <c r="A65" s="493" t="s">
        <v>631</v>
      </c>
      <c r="B65" s="91" t="s">
        <v>678</v>
      </c>
      <c r="C65" s="92"/>
      <c r="D65" s="207" t="s">
        <v>1004</v>
      </c>
      <c r="E65" s="208" t="s">
        <v>1747</v>
      </c>
      <c r="F65" s="94"/>
      <c r="G65" s="6"/>
      <c r="H65" s="7"/>
      <c r="I65" s="95">
        <f t="shared" ref="I65:I71" si="20">ROUND(H65*G65,2)</f>
        <v>0</v>
      </c>
      <c r="J65" s="95">
        <f t="shared" ref="J65:J71" si="21">ROUNDUP(I65,0)</f>
        <v>0</v>
      </c>
      <c r="K65" s="7"/>
      <c r="L65" s="9"/>
      <c r="M65" s="96">
        <f t="shared" ref="M65:M71" si="22">ROUND(L65*G65,2)</f>
        <v>0</v>
      </c>
      <c r="N65" s="96">
        <f t="shared" ref="N65:N71" si="23">ROUNDUP(M65,0)</f>
        <v>0</v>
      </c>
      <c r="O65" s="9"/>
    </row>
    <row r="66" spans="1:15" ht="15" customHeight="1" x14ac:dyDescent="0.25">
      <c r="A66" s="493" t="s">
        <v>631</v>
      </c>
      <c r="B66" s="91" t="s">
        <v>678</v>
      </c>
      <c r="C66" s="92"/>
      <c r="D66" s="207">
        <v>11</v>
      </c>
      <c r="E66" s="208" t="s">
        <v>1757</v>
      </c>
      <c r="F66" s="94"/>
      <c r="G66" s="6"/>
      <c r="H66" s="7"/>
      <c r="I66" s="95">
        <f t="shared" si="20"/>
        <v>0</v>
      </c>
      <c r="J66" s="95">
        <f t="shared" si="21"/>
        <v>0</v>
      </c>
      <c r="K66" s="7"/>
      <c r="L66" s="9"/>
      <c r="M66" s="96">
        <f t="shared" si="22"/>
        <v>0</v>
      </c>
      <c r="N66" s="96">
        <f t="shared" si="23"/>
        <v>0</v>
      </c>
      <c r="O66" s="9"/>
    </row>
    <row r="67" spans="1:15" ht="75" customHeight="1" x14ac:dyDescent="0.25">
      <c r="A67" s="493" t="s">
        <v>631</v>
      </c>
      <c r="B67" s="91" t="s">
        <v>678</v>
      </c>
      <c r="C67" s="92"/>
      <c r="D67" s="204"/>
      <c r="E67" s="93" t="s">
        <v>679</v>
      </c>
      <c r="F67" s="94"/>
      <c r="G67" s="6"/>
      <c r="H67" s="7"/>
      <c r="I67" s="95">
        <f t="shared" si="20"/>
        <v>0</v>
      </c>
      <c r="J67" s="95">
        <f t="shared" si="21"/>
        <v>0</v>
      </c>
      <c r="K67" s="7"/>
      <c r="L67" s="9"/>
      <c r="M67" s="96">
        <f t="shared" si="22"/>
        <v>0</v>
      </c>
      <c r="N67" s="96">
        <f t="shared" si="23"/>
        <v>0</v>
      </c>
      <c r="O67" s="9"/>
    </row>
    <row r="68" spans="1:15" ht="135" customHeight="1" x14ac:dyDescent="0.25">
      <c r="A68" s="493" t="s">
        <v>631</v>
      </c>
      <c r="B68" s="91" t="s">
        <v>678</v>
      </c>
      <c r="C68" s="92"/>
      <c r="D68" s="204"/>
      <c r="E68" s="93" t="s">
        <v>680</v>
      </c>
      <c r="F68" s="94"/>
      <c r="G68" s="6"/>
      <c r="H68" s="7"/>
      <c r="I68" s="95">
        <f t="shared" si="20"/>
        <v>0</v>
      </c>
      <c r="J68" s="95">
        <f t="shared" si="21"/>
        <v>0</v>
      </c>
      <c r="K68" s="7"/>
      <c r="L68" s="9"/>
      <c r="M68" s="96">
        <f t="shared" si="22"/>
        <v>0</v>
      </c>
      <c r="N68" s="96">
        <f t="shared" si="23"/>
        <v>0</v>
      </c>
      <c r="O68" s="9"/>
    </row>
    <row r="69" spans="1:15" ht="90" customHeight="1" x14ac:dyDescent="0.25">
      <c r="A69" s="493" t="s">
        <v>631</v>
      </c>
      <c r="B69" s="91" t="s">
        <v>678</v>
      </c>
      <c r="C69" s="92"/>
      <c r="D69" s="204"/>
      <c r="E69" s="93" t="s">
        <v>681</v>
      </c>
      <c r="F69" s="94"/>
      <c r="G69" s="6"/>
      <c r="H69" s="7"/>
      <c r="I69" s="95">
        <f t="shared" si="20"/>
        <v>0</v>
      </c>
      <c r="J69" s="95">
        <f t="shared" si="21"/>
        <v>0</v>
      </c>
      <c r="K69" s="7"/>
      <c r="L69" s="9"/>
      <c r="M69" s="96">
        <f t="shared" si="22"/>
        <v>0</v>
      </c>
      <c r="N69" s="96">
        <f t="shared" si="23"/>
        <v>0</v>
      </c>
      <c r="O69" s="9"/>
    </row>
    <row r="70" spans="1:15" ht="90" customHeight="1" x14ac:dyDescent="0.25">
      <c r="A70" s="493" t="s">
        <v>631</v>
      </c>
      <c r="B70" s="91" t="s">
        <v>678</v>
      </c>
      <c r="C70" s="92"/>
      <c r="D70" s="204"/>
      <c r="E70" s="93" t="s">
        <v>682</v>
      </c>
      <c r="F70" s="94"/>
      <c r="G70" s="6"/>
      <c r="H70" s="7"/>
      <c r="I70" s="95">
        <f t="shared" si="20"/>
        <v>0</v>
      </c>
      <c r="J70" s="95">
        <f t="shared" si="21"/>
        <v>0</v>
      </c>
      <c r="K70" s="7"/>
      <c r="L70" s="9"/>
      <c r="M70" s="96">
        <f t="shared" si="22"/>
        <v>0</v>
      </c>
      <c r="N70" s="96">
        <f t="shared" si="23"/>
        <v>0</v>
      </c>
      <c r="O70" s="9"/>
    </row>
    <row r="71" spans="1:15" ht="135" customHeight="1" x14ac:dyDescent="0.25">
      <c r="A71" s="493" t="s">
        <v>631</v>
      </c>
      <c r="B71" s="91" t="s">
        <v>678</v>
      </c>
      <c r="C71" s="92"/>
      <c r="D71" s="204"/>
      <c r="E71" s="93" t="s">
        <v>683</v>
      </c>
      <c r="F71" s="94"/>
      <c r="G71" s="6"/>
      <c r="H71" s="7"/>
      <c r="I71" s="95">
        <f t="shared" si="20"/>
        <v>0</v>
      </c>
      <c r="J71" s="95">
        <f t="shared" si="21"/>
        <v>0</v>
      </c>
      <c r="K71" s="7"/>
      <c r="L71" s="9"/>
      <c r="M71" s="96">
        <f t="shared" si="22"/>
        <v>0</v>
      </c>
      <c r="N71" s="96">
        <f t="shared" si="23"/>
        <v>0</v>
      </c>
      <c r="O71" s="9"/>
    </row>
    <row r="72" spans="1:15" ht="15" customHeight="1" x14ac:dyDescent="0.25">
      <c r="A72" s="493" t="s">
        <v>1022</v>
      </c>
      <c r="B72" s="205" t="str">
        <f>+B71</f>
        <v>Sec1/6</v>
      </c>
      <c r="C72" s="97"/>
      <c r="D72" s="205"/>
      <c r="E72" s="98" t="s">
        <v>640</v>
      </c>
      <c r="F72" s="97"/>
      <c r="G72" s="11"/>
      <c r="H72" s="11"/>
      <c r="I72" s="11"/>
      <c r="J72" s="99">
        <f>SUBTOTAL(9,J65:J71)</f>
        <v>0</v>
      </c>
      <c r="K72" s="11"/>
      <c r="L72" s="11"/>
      <c r="M72" s="11"/>
      <c r="N72" s="99">
        <f>SUBTOTAL(9,N65:N71)</f>
        <v>0</v>
      </c>
      <c r="O72" s="11"/>
    </row>
    <row r="73" spans="1:15" ht="15" customHeight="1" x14ac:dyDescent="0.25">
      <c r="A73" s="493" t="s">
        <v>631</v>
      </c>
      <c r="B73" s="91" t="s">
        <v>684</v>
      </c>
      <c r="C73" s="92"/>
      <c r="D73" s="207" t="s">
        <v>1004</v>
      </c>
      <c r="E73" s="208" t="s">
        <v>1747</v>
      </c>
      <c r="F73" s="94"/>
      <c r="G73" s="6"/>
      <c r="H73" s="7"/>
      <c r="I73" s="95">
        <f t="shared" ref="I73:I81" si="24">ROUND(H73*G73,2)</f>
        <v>0</v>
      </c>
      <c r="J73" s="95">
        <f t="shared" ref="J73:J81" si="25">ROUNDUP(I73,0)</f>
        <v>0</v>
      </c>
      <c r="K73" s="7"/>
      <c r="L73" s="9"/>
      <c r="M73" s="96">
        <f t="shared" ref="M73:M81" si="26">ROUND(L73*G73,2)</f>
        <v>0</v>
      </c>
      <c r="N73" s="96">
        <f t="shared" ref="N73:N81" si="27">ROUNDUP(M73,0)</f>
        <v>0</v>
      </c>
      <c r="O73" s="9"/>
    </row>
    <row r="74" spans="1:15" ht="15" customHeight="1" x14ac:dyDescent="0.25">
      <c r="A74" s="493" t="s">
        <v>631</v>
      </c>
      <c r="B74" s="91" t="s">
        <v>684</v>
      </c>
      <c r="C74" s="92"/>
      <c r="D74" s="207">
        <v>11</v>
      </c>
      <c r="E74" s="208" t="s">
        <v>1757</v>
      </c>
      <c r="F74" s="94"/>
      <c r="G74" s="6"/>
      <c r="H74" s="7"/>
      <c r="I74" s="95">
        <f t="shared" si="24"/>
        <v>0</v>
      </c>
      <c r="J74" s="95">
        <f t="shared" si="25"/>
        <v>0</v>
      </c>
      <c r="K74" s="7"/>
      <c r="L74" s="9"/>
      <c r="M74" s="96">
        <f t="shared" si="26"/>
        <v>0</v>
      </c>
      <c r="N74" s="96">
        <f t="shared" si="27"/>
        <v>0</v>
      </c>
      <c r="O74" s="9"/>
    </row>
    <row r="75" spans="1:15" ht="90" customHeight="1" x14ac:dyDescent="0.25">
      <c r="A75" s="493" t="s">
        <v>631</v>
      </c>
      <c r="B75" s="91" t="s">
        <v>684</v>
      </c>
      <c r="C75" s="92"/>
      <c r="D75" s="204"/>
      <c r="E75" s="93" t="s">
        <v>685</v>
      </c>
      <c r="F75" s="94"/>
      <c r="G75" s="6"/>
      <c r="H75" s="7"/>
      <c r="I75" s="95">
        <f t="shared" si="24"/>
        <v>0</v>
      </c>
      <c r="J75" s="95">
        <f t="shared" si="25"/>
        <v>0</v>
      </c>
      <c r="K75" s="7"/>
      <c r="L75" s="9"/>
      <c r="M75" s="96">
        <f t="shared" si="26"/>
        <v>0</v>
      </c>
      <c r="N75" s="96">
        <f t="shared" si="27"/>
        <v>0</v>
      </c>
      <c r="O75" s="9"/>
    </row>
    <row r="76" spans="1:15" ht="60" customHeight="1" x14ac:dyDescent="0.25">
      <c r="A76" s="493" t="s">
        <v>631</v>
      </c>
      <c r="B76" s="91" t="s">
        <v>684</v>
      </c>
      <c r="C76" s="92"/>
      <c r="D76" s="204"/>
      <c r="E76" s="93" t="s">
        <v>686</v>
      </c>
      <c r="F76" s="94"/>
      <c r="G76" s="6"/>
      <c r="H76" s="7"/>
      <c r="I76" s="95">
        <f t="shared" si="24"/>
        <v>0</v>
      </c>
      <c r="J76" s="95">
        <f t="shared" si="25"/>
        <v>0</v>
      </c>
      <c r="K76" s="7"/>
      <c r="L76" s="9"/>
      <c r="M76" s="96">
        <f t="shared" si="26"/>
        <v>0</v>
      </c>
      <c r="N76" s="96">
        <f t="shared" si="27"/>
        <v>0</v>
      </c>
      <c r="O76" s="9"/>
    </row>
    <row r="77" spans="1:15" ht="15" customHeight="1" x14ac:dyDescent="0.25">
      <c r="A77" s="493" t="s">
        <v>631</v>
      </c>
      <c r="B77" s="91" t="s">
        <v>684</v>
      </c>
      <c r="C77" s="92"/>
      <c r="D77" s="207">
        <v>12</v>
      </c>
      <c r="E77" s="208" t="s">
        <v>1758</v>
      </c>
      <c r="F77" s="94"/>
      <c r="G77" s="6"/>
      <c r="H77" s="7"/>
      <c r="I77" s="95">
        <f t="shared" si="24"/>
        <v>0</v>
      </c>
      <c r="J77" s="95">
        <f t="shared" si="25"/>
        <v>0</v>
      </c>
      <c r="K77" s="7"/>
      <c r="L77" s="9"/>
      <c r="M77" s="96">
        <f t="shared" si="26"/>
        <v>0</v>
      </c>
      <c r="N77" s="96">
        <f t="shared" si="27"/>
        <v>0</v>
      </c>
      <c r="O77" s="9"/>
    </row>
    <row r="78" spans="1:15" ht="150" customHeight="1" x14ac:dyDescent="0.25">
      <c r="A78" s="493" t="s">
        <v>631</v>
      </c>
      <c r="B78" s="91" t="s">
        <v>684</v>
      </c>
      <c r="C78" s="92"/>
      <c r="D78" s="204"/>
      <c r="E78" s="93" t="s">
        <v>687</v>
      </c>
      <c r="F78" s="94"/>
      <c r="G78" s="6"/>
      <c r="H78" s="7"/>
      <c r="I78" s="95">
        <f t="shared" si="24"/>
        <v>0</v>
      </c>
      <c r="J78" s="95">
        <f t="shared" si="25"/>
        <v>0</v>
      </c>
      <c r="K78" s="7"/>
      <c r="L78" s="9"/>
      <c r="M78" s="96">
        <f t="shared" si="26"/>
        <v>0</v>
      </c>
      <c r="N78" s="96">
        <f t="shared" si="27"/>
        <v>0</v>
      </c>
      <c r="O78" s="9"/>
    </row>
    <row r="79" spans="1:15" ht="135" customHeight="1" x14ac:dyDescent="0.25">
      <c r="A79" s="493" t="s">
        <v>631</v>
      </c>
      <c r="B79" s="91" t="s">
        <v>684</v>
      </c>
      <c r="C79" s="92"/>
      <c r="D79" s="204"/>
      <c r="E79" s="93" t="s">
        <v>688</v>
      </c>
      <c r="F79" s="94"/>
      <c r="G79" s="6"/>
      <c r="H79" s="7"/>
      <c r="I79" s="95">
        <f t="shared" si="24"/>
        <v>0</v>
      </c>
      <c r="J79" s="95">
        <f t="shared" si="25"/>
        <v>0</v>
      </c>
      <c r="K79" s="7"/>
      <c r="L79" s="9"/>
      <c r="M79" s="96">
        <f t="shared" si="26"/>
        <v>0</v>
      </c>
      <c r="N79" s="96">
        <f t="shared" si="27"/>
        <v>0</v>
      </c>
      <c r="O79" s="9"/>
    </row>
    <row r="80" spans="1:15" ht="30" customHeight="1" x14ac:dyDescent="0.25">
      <c r="A80" s="493" t="s">
        <v>631</v>
      </c>
      <c r="B80" s="91" t="s">
        <v>684</v>
      </c>
      <c r="C80" s="92"/>
      <c r="D80" s="204"/>
      <c r="E80" s="93" t="s">
        <v>689</v>
      </c>
      <c r="F80" s="94"/>
      <c r="G80" s="6"/>
      <c r="H80" s="7"/>
      <c r="I80" s="95">
        <f t="shared" si="24"/>
        <v>0</v>
      </c>
      <c r="J80" s="95">
        <f t="shared" si="25"/>
        <v>0</v>
      </c>
      <c r="K80" s="7"/>
      <c r="L80" s="9"/>
      <c r="M80" s="96">
        <f t="shared" si="26"/>
        <v>0</v>
      </c>
      <c r="N80" s="96">
        <f t="shared" si="27"/>
        <v>0</v>
      </c>
      <c r="O80" s="9"/>
    </row>
    <row r="81" spans="1:15" ht="75" customHeight="1" x14ac:dyDescent="0.25">
      <c r="A81" s="493" t="s">
        <v>631</v>
      </c>
      <c r="B81" s="91" t="s">
        <v>684</v>
      </c>
      <c r="C81" s="92"/>
      <c r="D81" s="204"/>
      <c r="E81" s="93" t="s">
        <v>690</v>
      </c>
      <c r="F81" s="94"/>
      <c r="G81" s="6"/>
      <c r="H81" s="7"/>
      <c r="I81" s="95">
        <f t="shared" si="24"/>
        <v>0</v>
      </c>
      <c r="J81" s="95">
        <f t="shared" si="25"/>
        <v>0</v>
      </c>
      <c r="K81" s="7"/>
      <c r="L81" s="9"/>
      <c r="M81" s="96">
        <f t="shared" si="26"/>
        <v>0</v>
      </c>
      <c r="N81" s="96">
        <f t="shared" si="27"/>
        <v>0</v>
      </c>
      <c r="O81" s="9"/>
    </row>
    <row r="82" spans="1:15" ht="15" customHeight="1" x14ac:dyDescent="0.25">
      <c r="A82" s="493" t="s">
        <v>1022</v>
      </c>
      <c r="B82" s="205" t="str">
        <f>+B81</f>
        <v>Sec1/7</v>
      </c>
      <c r="C82" s="97"/>
      <c r="D82" s="205"/>
      <c r="E82" s="98" t="s">
        <v>640</v>
      </c>
      <c r="F82" s="97"/>
      <c r="G82" s="11"/>
      <c r="H82" s="11"/>
      <c r="I82" s="11"/>
      <c r="J82" s="99">
        <f>SUBTOTAL(9,J73:J81)</f>
        <v>0</v>
      </c>
      <c r="K82" s="11"/>
      <c r="L82" s="11"/>
      <c r="M82" s="11"/>
      <c r="N82" s="99">
        <f>SUBTOTAL(9,N73:N81)</f>
        <v>0</v>
      </c>
      <c r="O82" s="11"/>
    </row>
    <row r="83" spans="1:15" ht="15" customHeight="1" x14ac:dyDescent="0.25">
      <c r="A83" s="493" t="s">
        <v>631</v>
      </c>
      <c r="B83" s="91" t="s">
        <v>691</v>
      </c>
      <c r="C83" s="92"/>
      <c r="D83" s="207" t="s">
        <v>1004</v>
      </c>
      <c r="E83" s="208" t="s">
        <v>1747</v>
      </c>
      <c r="F83" s="94"/>
      <c r="G83" s="6"/>
      <c r="H83" s="7"/>
      <c r="I83" s="95">
        <f t="shared" ref="I83:I92" si="28">ROUND(H83*G83,2)</f>
        <v>0</v>
      </c>
      <c r="J83" s="95">
        <f t="shared" ref="J83:J92" si="29">ROUNDUP(I83,0)</f>
        <v>0</v>
      </c>
      <c r="K83" s="7"/>
      <c r="L83" s="9"/>
      <c r="M83" s="96">
        <f t="shared" ref="M83:M92" si="30">ROUND(L83*G83,2)</f>
        <v>0</v>
      </c>
      <c r="N83" s="96">
        <f t="shared" ref="N83:N92" si="31">ROUNDUP(M83,0)</f>
        <v>0</v>
      </c>
      <c r="O83" s="9"/>
    </row>
    <row r="84" spans="1:15" ht="15" customHeight="1" x14ac:dyDescent="0.25">
      <c r="A84" s="493" t="s">
        <v>631</v>
      </c>
      <c r="B84" s="91" t="s">
        <v>691</v>
      </c>
      <c r="C84" s="92"/>
      <c r="D84" s="207">
        <v>12</v>
      </c>
      <c r="E84" s="208" t="s">
        <v>1758</v>
      </c>
      <c r="F84" s="94"/>
      <c r="G84" s="6"/>
      <c r="H84" s="7"/>
      <c r="I84" s="95">
        <f t="shared" si="28"/>
        <v>0</v>
      </c>
      <c r="J84" s="95">
        <f t="shared" si="29"/>
        <v>0</v>
      </c>
      <c r="K84" s="7"/>
      <c r="L84" s="9"/>
      <c r="M84" s="96">
        <f t="shared" si="30"/>
        <v>0</v>
      </c>
      <c r="N84" s="96">
        <f t="shared" si="31"/>
        <v>0</v>
      </c>
      <c r="O84" s="9"/>
    </row>
    <row r="85" spans="1:15" ht="75" customHeight="1" x14ac:dyDescent="0.25">
      <c r="A85" s="493" t="s">
        <v>631</v>
      </c>
      <c r="B85" s="91" t="s">
        <v>691</v>
      </c>
      <c r="C85" s="92"/>
      <c r="D85" s="204"/>
      <c r="E85" s="93" t="s">
        <v>692</v>
      </c>
      <c r="F85" s="94"/>
      <c r="G85" s="6"/>
      <c r="H85" s="7"/>
      <c r="I85" s="95">
        <f t="shared" si="28"/>
        <v>0</v>
      </c>
      <c r="J85" s="95">
        <f t="shared" si="29"/>
        <v>0</v>
      </c>
      <c r="K85" s="7"/>
      <c r="L85" s="9"/>
      <c r="M85" s="96">
        <f t="shared" si="30"/>
        <v>0</v>
      </c>
      <c r="N85" s="96">
        <f t="shared" si="31"/>
        <v>0</v>
      </c>
      <c r="O85" s="9"/>
    </row>
    <row r="86" spans="1:15" ht="75" customHeight="1" x14ac:dyDescent="0.25">
      <c r="A86" s="493" t="s">
        <v>631</v>
      </c>
      <c r="B86" s="91" t="s">
        <v>691</v>
      </c>
      <c r="C86" s="92"/>
      <c r="D86" s="204"/>
      <c r="E86" s="93" t="s">
        <v>693</v>
      </c>
      <c r="F86" s="94"/>
      <c r="G86" s="6"/>
      <c r="H86" s="7"/>
      <c r="I86" s="95">
        <f t="shared" si="28"/>
        <v>0</v>
      </c>
      <c r="J86" s="95">
        <f t="shared" si="29"/>
        <v>0</v>
      </c>
      <c r="K86" s="7"/>
      <c r="L86" s="9"/>
      <c r="M86" s="96">
        <f t="shared" si="30"/>
        <v>0</v>
      </c>
      <c r="N86" s="96">
        <f t="shared" si="31"/>
        <v>0</v>
      </c>
      <c r="O86" s="9"/>
    </row>
    <row r="87" spans="1:15" ht="15" customHeight="1" x14ac:dyDescent="0.25">
      <c r="A87" s="493" t="s">
        <v>631</v>
      </c>
      <c r="B87" s="91" t="s">
        <v>691</v>
      </c>
      <c r="C87" s="92"/>
      <c r="D87" s="207">
        <v>13</v>
      </c>
      <c r="E87" s="208" t="s">
        <v>1759</v>
      </c>
      <c r="F87" s="94"/>
      <c r="G87" s="6"/>
      <c r="H87" s="7"/>
      <c r="I87" s="95">
        <f t="shared" si="28"/>
        <v>0</v>
      </c>
      <c r="J87" s="95">
        <f t="shared" si="29"/>
        <v>0</v>
      </c>
      <c r="K87" s="7"/>
      <c r="L87" s="9"/>
      <c r="M87" s="96">
        <f t="shared" si="30"/>
        <v>0</v>
      </c>
      <c r="N87" s="96">
        <f t="shared" si="31"/>
        <v>0</v>
      </c>
      <c r="O87" s="9"/>
    </row>
    <row r="88" spans="1:15" ht="75" customHeight="1" x14ac:dyDescent="0.25">
      <c r="A88" s="493" t="s">
        <v>631</v>
      </c>
      <c r="B88" s="91" t="s">
        <v>691</v>
      </c>
      <c r="C88" s="92"/>
      <c r="D88" s="204"/>
      <c r="E88" s="93" t="s">
        <v>694</v>
      </c>
      <c r="F88" s="94"/>
      <c r="G88" s="6"/>
      <c r="H88" s="7"/>
      <c r="I88" s="95">
        <f t="shared" si="28"/>
        <v>0</v>
      </c>
      <c r="J88" s="95">
        <f t="shared" si="29"/>
        <v>0</v>
      </c>
      <c r="K88" s="7"/>
      <c r="L88" s="9"/>
      <c r="M88" s="96">
        <f t="shared" si="30"/>
        <v>0</v>
      </c>
      <c r="N88" s="96">
        <f t="shared" si="31"/>
        <v>0</v>
      </c>
      <c r="O88" s="9"/>
    </row>
    <row r="89" spans="1:15" ht="60" customHeight="1" x14ac:dyDescent="0.25">
      <c r="A89" s="493" t="s">
        <v>631</v>
      </c>
      <c r="B89" s="91" t="s">
        <v>691</v>
      </c>
      <c r="C89" s="92"/>
      <c r="D89" s="204"/>
      <c r="E89" s="93" t="s">
        <v>695</v>
      </c>
      <c r="F89" s="94"/>
      <c r="G89" s="6"/>
      <c r="H89" s="7"/>
      <c r="I89" s="95">
        <f t="shared" si="28"/>
        <v>0</v>
      </c>
      <c r="J89" s="95">
        <f t="shared" si="29"/>
        <v>0</v>
      </c>
      <c r="K89" s="7"/>
      <c r="L89" s="9"/>
      <c r="M89" s="96">
        <f t="shared" si="30"/>
        <v>0</v>
      </c>
      <c r="N89" s="96">
        <f t="shared" si="31"/>
        <v>0</v>
      </c>
      <c r="O89" s="9"/>
    </row>
    <row r="90" spans="1:15" ht="90" customHeight="1" x14ac:dyDescent="0.25">
      <c r="A90" s="493" t="s">
        <v>631</v>
      </c>
      <c r="B90" s="91" t="s">
        <v>691</v>
      </c>
      <c r="C90" s="92"/>
      <c r="D90" s="204"/>
      <c r="E90" s="93" t="s">
        <v>696</v>
      </c>
      <c r="F90" s="94"/>
      <c r="G90" s="6"/>
      <c r="H90" s="7"/>
      <c r="I90" s="95">
        <f t="shared" si="28"/>
        <v>0</v>
      </c>
      <c r="J90" s="95">
        <f t="shared" si="29"/>
        <v>0</v>
      </c>
      <c r="K90" s="7"/>
      <c r="L90" s="9"/>
      <c r="M90" s="96">
        <f t="shared" si="30"/>
        <v>0</v>
      </c>
      <c r="N90" s="96">
        <f t="shared" si="31"/>
        <v>0</v>
      </c>
      <c r="O90" s="9"/>
    </row>
    <row r="91" spans="1:15" ht="45" customHeight="1" x14ac:dyDescent="0.25">
      <c r="A91" s="493" t="s">
        <v>631</v>
      </c>
      <c r="B91" s="91" t="s">
        <v>691</v>
      </c>
      <c r="C91" s="92"/>
      <c r="D91" s="204"/>
      <c r="E91" s="93" t="s">
        <v>697</v>
      </c>
      <c r="F91" s="94"/>
      <c r="G91" s="6"/>
      <c r="H91" s="7"/>
      <c r="I91" s="95">
        <f t="shared" si="28"/>
        <v>0</v>
      </c>
      <c r="J91" s="95">
        <f t="shared" si="29"/>
        <v>0</v>
      </c>
      <c r="K91" s="7"/>
      <c r="L91" s="9"/>
      <c r="M91" s="96">
        <f t="shared" si="30"/>
        <v>0</v>
      </c>
      <c r="N91" s="96">
        <f t="shared" si="31"/>
        <v>0</v>
      </c>
      <c r="O91" s="9"/>
    </row>
    <row r="92" spans="1:15" ht="75" customHeight="1" x14ac:dyDescent="0.25">
      <c r="A92" s="493" t="s">
        <v>631</v>
      </c>
      <c r="B92" s="91" t="s">
        <v>691</v>
      </c>
      <c r="C92" s="92"/>
      <c r="D92" s="204"/>
      <c r="E92" s="93" t="s">
        <v>698</v>
      </c>
      <c r="F92" s="94"/>
      <c r="G92" s="6"/>
      <c r="H92" s="7"/>
      <c r="I92" s="95">
        <f t="shared" si="28"/>
        <v>0</v>
      </c>
      <c r="J92" s="95">
        <f t="shared" si="29"/>
        <v>0</v>
      </c>
      <c r="K92" s="7"/>
      <c r="L92" s="9"/>
      <c r="M92" s="96">
        <f t="shared" si="30"/>
        <v>0</v>
      </c>
      <c r="N92" s="96">
        <f t="shared" si="31"/>
        <v>0</v>
      </c>
      <c r="O92" s="9"/>
    </row>
    <row r="93" spans="1:15" ht="15" customHeight="1" x14ac:dyDescent="0.25">
      <c r="A93" s="493" t="s">
        <v>1022</v>
      </c>
      <c r="B93" s="205" t="str">
        <f>+B92</f>
        <v>Sec1/8</v>
      </c>
      <c r="C93" s="97"/>
      <c r="D93" s="205"/>
      <c r="E93" s="98" t="s">
        <v>640</v>
      </c>
      <c r="F93" s="97"/>
      <c r="G93" s="11"/>
      <c r="H93" s="11"/>
      <c r="I93" s="11"/>
      <c r="J93" s="99">
        <f>SUBTOTAL(9,J83:J92)</f>
        <v>0</v>
      </c>
      <c r="K93" s="11"/>
      <c r="L93" s="11"/>
      <c r="M93" s="11"/>
      <c r="N93" s="99">
        <f>SUBTOTAL(9,N83:N92)</f>
        <v>0</v>
      </c>
      <c r="O93" s="11"/>
    </row>
    <row r="94" spans="1:15" ht="15" customHeight="1" x14ac:dyDescent="0.25">
      <c r="A94" s="493" t="s">
        <v>631</v>
      </c>
      <c r="B94" s="91" t="s">
        <v>699</v>
      </c>
      <c r="C94" s="92"/>
      <c r="D94" s="207" t="s">
        <v>1004</v>
      </c>
      <c r="E94" s="208" t="s">
        <v>1747</v>
      </c>
      <c r="F94" s="94"/>
      <c r="G94" s="6"/>
      <c r="H94" s="7"/>
      <c r="I94" s="95">
        <f t="shared" ref="I94:I104" si="32">ROUND(H94*G94,2)</f>
        <v>0</v>
      </c>
      <c r="J94" s="95">
        <f t="shared" ref="J94:J104" si="33">ROUNDUP(I94,0)</f>
        <v>0</v>
      </c>
      <c r="K94" s="7"/>
      <c r="L94" s="9"/>
      <c r="M94" s="96">
        <f t="shared" ref="M94:M104" si="34">ROUND(L94*G94,2)</f>
        <v>0</v>
      </c>
      <c r="N94" s="96">
        <f t="shared" ref="N94:N104" si="35">ROUNDUP(M94,0)</f>
        <v>0</v>
      </c>
      <c r="O94" s="9"/>
    </row>
    <row r="95" spans="1:15" ht="15" customHeight="1" x14ac:dyDescent="0.25">
      <c r="A95" s="493" t="s">
        <v>631</v>
      </c>
      <c r="B95" s="91" t="s">
        <v>699</v>
      </c>
      <c r="C95" s="92"/>
      <c r="D95" s="207">
        <v>14</v>
      </c>
      <c r="E95" s="208" t="s">
        <v>1760</v>
      </c>
      <c r="F95" s="94"/>
      <c r="G95" s="6"/>
      <c r="H95" s="7"/>
      <c r="I95" s="95">
        <f t="shared" si="32"/>
        <v>0</v>
      </c>
      <c r="J95" s="95">
        <f t="shared" si="33"/>
        <v>0</v>
      </c>
      <c r="K95" s="7"/>
      <c r="L95" s="9"/>
      <c r="M95" s="96">
        <f t="shared" si="34"/>
        <v>0</v>
      </c>
      <c r="N95" s="96">
        <f t="shared" si="35"/>
        <v>0</v>
      </c>
      <c r="O95" s="9"/>
    </row>
    <row r="96" spans="1:15" ht="60" customHeight="1" x14ac:dyDescent="0.25">
      <c r="A96" s="493" t="s">
        <v>631</v>
      </c>
      <c r="B96" s="91" t="s">
        <v>699</v>
      </c>
      <c r="C96" s="92"/>
      <c r="D96" s="204"/>
      <c r="E96" s="93" t="s">
        <v>700</v>
      </c>
      <c r="F96" s="94"/>
      <c r="G96" s="6"/>
      <c r="H96" s="7"/>
      <c r="I96" s="95">
        <f t="shared" si="32"/>
        <v>0</v>
      </c>
      <c r="J96" s="95">
        <f t="shared" si="33"/>
        <v>0</v>
      </c>
      <c r="K96" s="7"/>
      <c r="L96" s="9"/>
      <c r="M96" s="96">
        <f t="shared" si="34"/>
        <v>0</v>
      </c>
      <c r="N96" s="96">
        <f t="shared" si="35"/>
        <v>0</v>
      </c>
      <c r="O96" s="9"/>
    </row>
    <row r="97" spans="1:15" ht="75" customHeight="1" x14ac:dyDescent="0.25">
      <c r="A97" s="493" t="s">
        <v>631</v>
      </c>
      <c r="B97" s="91" t="s">
        <v>699</v>
      </c>
      <c r="C97" s="92"/>
      <c r="D97" s="204"/>
      <c r="E97" s="93" t="s">
        <v>701</v>
      </c>
      <c r="F97" s="94"/>
      <c r="G97" s="6"/>
      <c r="H97" s="7"/>
      <c r="I97" s="95">
        <f t="shared" si="32"/>
        <v>0</v>
      </c>
      <c r="J97" s="95">
        <f t="shared" si="33"/>
        <v>0</v>
      </c>
      <c r="K97" s="7"/>
      <c r="L97" s="9"/>
      <c r="M97" s="96">
        <f t="shared" si="34"/>
        <v>0</v>
      </c>
      <c r="N97" s="96">
        <f t="shared" si="35"/>
        <v>0</v>
      </c>
      <c r="O97" s="9"/>
    </row>
    <row r="98" spans="1:15" ht="15" customHeight="1" x14ac:dyDescent="0.25">
      <c r="A98" s="493" t="s">
        <v>631</v>
      </c>
      <c r="B98" s="91" t="s">
        <v>699</v>
      </c>
      <c r="C98" s="92"/>
      <c r="D98" s="207">
        <v>15</v>
      </c>
      <c r="E98" s="208" t="s">
        <v>1761</v>
      </c>
      <c r="F98" s="94"/>
      <c r="G98" s="6"/>
      <c r="H98" s="7"/>
      <c r="I98" s="95">
        <f t="shared" si="32"/>
        <v>0</v>
      </c>
      <c r="J98" s="95">
        <f t="shared" si="33"/>
        <v>0</v>
      </c>
      <c r="K98" s="7"/>
      <c r="L98" s="9"/>
      <c r="M98" s="96">
        <f t="shared" si="34"/>
        <v>0</v>
      </c>
      <c r="N98" s="96">
        <f t="shared" si="35"/>
        <v>0</v>
      </c>
      <c r="O98" s="9"/>
    </row>
    <row r="99" spans="1:15" ht="45" customHeight="1" x14ac:dyDescent="0.25">
      <c r="A99" s="493" t="s">
        <v>631</v>
      </c>
      <c r="B99" s="91" t="s">
        <v>699</v>
      </c>
      <c r="C99" s="92"/>
      <c r="D99" s="204"/>
      <c r="E99" s="93" t="s">
        <v>702</v>
      </c>
      <c r="F99" s="94"/>
      <c r="G99" s="6"/>
      <c r="H99" s="7"/>
      <c r="I99" s="95">
        <f t="shared" si="32"/>
        <v>0</v>
      </c>
      <c r="J99" s="95">
        <f t="shared" si="33"/>
        <v>0</v>
      </c>
      <c r="K99" s="7"/>
      <c r="L99" s="9"/>
      <c r="M99" s="96">
        <f t="shared" si="34"/>
        <v>0</v>
      </c>
      <c r="N99" s="96">
        <f t="shared" si="35"/>
        <v>0</v>
      </c>
      <c r="O99" s="9"/>
    </row>
    <row r="100" spans="1:15" ht="30" customHeight="1" x14ac:dyDescent="0.25">
      <c r="A100" s="493" t="s">
        <v>631</v>
      </c>
      <c r="B100" s="91" t="s">
        <v>699</v>
      </c>
      <c r="C100" s="92"/>
      <c r="D100" s="204"/>
      <c r="E100" s="93" t="s">
        <v>703</v>
      </c>
      <c r="F100" s="94"/>
      <c r="G100" s="6"/>
      <c r="H100" s="7"/>
      <c r="I100" s="95">
        <f t="shared" si="32"/>
        <v>0</v>
      </c>
      <c r="J100" s="95">
        <f t="shared" si="33"/>
        <v>0</v>
      </c>
      <c r="K100" s="7"/>
      <c r="L100" s="9"/>
      <c r="M100" s="96">
        <f t="shared" si="34"/>
        <v>0</v>
      </c>
      <c r="N100" s="96">
        <f t="shared" si="35"/>
        <v>0</v>
      </c>
      <c r="O100" s="9"/>
    </row>
    <row r="101" spans="1:15" ht="15" customHeight="1" x14ac:dyDescent="0.25">
      <c r="A101" s="493" t="s">
        <v>631</v>
      </c>
      <c r="B101" s="91" t="s">
        <v>699</v>
      </c>
      <c r="C101" s="92"/>
      <c r="D101" s="207">
        <v>16</v>
      </c>
      <c r="E101" s="208" t="s">
        <v>1762</v>
      </c>
      <c r="F101" s="94"/>
      <c r="G101" s="6"/>
      <c r="H101" s="7"/>
      <c r="I101" s="95">
        <f t="shared" si="32"/>
        <v>0</v>
      </c>
      <c r="J101" s="95">
        <f t="shared" si="33"/>
        <v>0</v>
      </c>
      <c r="K101" s="7"/>
      <c r="L101" s="9"/>
      <c r="M101" s="96">
        <f t="shared" si="34"/>
        <v>0</v>
      </c>
      <c r="N101" s="96">
        <f t="shared" si="35"/>
        <v>0</v>
      </c>
      <c r="O101" s="9"/>
    </row>
    <row r="102" spans="1:15" ht="150" customHeight="1" x14ac:dyDescent="0.25">
      <c r="A102" s="493" t="s">
        <v>631</v>
      </c>
      <c r="B102" s="91" t="s">
        <v>699</v>
      </c>
      <c r="C102" s="92"/>
      <c r="D102" s="204"/>
      <c r="E102" s="93" t="s">
        <v>704</v>
      </c>
      <c r="F102" s="94"/>
      <c r="G102" s="6"/>
      <c r="H102" s="7"/>
      <c r="I102" s="95">
        <f t="shared" si="32"/>
        <v>0</v>
      </c>
      <c r="J102" s="95">
        <f t="shared" si="33"/>
        <v>0</v>
      </c>
      <c r="K102" s="7"/>
      <c r="L102" s="9"/>
      <c r="M102" s="96">
        <f t="shared" si="34"/>
        <v>0</v>
      </c>
      <c r="N102" s="96">
        <f t="shared" si="35"/>
        <v>0</v>
      </c>
      <c r="O102" s="9"/>
    </row>
    <row r="103" spans="1:15" ht="15" customHeight="1" x14ac:dyDescent="0.25">
      <c r="A103" s="493" t="s">
        <v>631</v>
      </c>
      <c r="B103" s="91" t="s">
        <v>699</v>
      </c>
      <c r="C103" s="92"/>
      <c r="D103" s="207">
        <v>17</v>
      </c>
      <c r="E103" s="208" t="s">
        <v>1763</v>
      </c>
      <c r="F103" s="94"/>
      <c r="G103" s="6"/>
      <c r="H103" s="7"/>
      <c r="I103" s="95">
        <f t="shared" si="32"/>
        <v>0</v>
      </c>
      <c r="J103" s="95">
        <f t="shared" si="33"/>
        <v>0</v>
      </c>
      <c r="K103" s="7"/>
      <c r="L103" s="9"/>
      <c r="M103" s="96">
        <f t="shared" si="34"/>
        <v>0</v>
      </c>
      <c r="N103" s="96">
        <f t="shared" si="35"/>
        <v>0</v>
      </c>
      <c r="O103" s="9"/>
    </row>
    <row r="104" spans="1:15" ht="90" customHeight="1" x14ac:dyDescent="0.25">
      <c r="A104" s="493" t="s">
        <v>631</v>
      </c>
      <c r="B104" s="91" t="s">
        <v>699</v>
      </c>
      <c r="C104" s="92"/>
      <c r="D104" s="204"/>
      <c r="E104" s="93" t="s">
        <v>705</v>
      </c>
      <c r="F104" s="94"/>
      <c r="G104" s="6"/>
      <c r="H104" s="7"/>
      <c r="I104" s="95">
        <f t="shared" si="32"/>
        <v>0</v>
      </c>
      <c r="J104" s="95">
        <f t="shared" si="33"/>
        <v>0</v>
      </c>
      <c r="K104" s="7"/>
      <c r="L104" s="9"/>
      <c r="M104" s="96">
        <f t="shared" si="34"/>
        <v>0</v>
      </c>
      <c r="N104" s="96">
        <f t="shared" si="35"/>
        <v>0</v>
      </c>
      <c r="O104" s="9"/>
    </row>
    <row r="105" spans="1:15" ht="15" customHeight="1" x14ac:dyDescent="0.25">
      <c r="A105" s="493" t="s">
        <v>1022</v>
      </c>
      <c r="B105" s="205" t="str">
        <f>+B104</f>
        <v>Sec1/9</v>
      </c>
      <c r="C105" s="97"/>
      <c r="D105" s="205"/>
      <c r="E105" s="98" t="s">
        <v>640</v>
      </c>
      <c r="F105" s="97"/>
      <c r="G105" s="11"/>
      <c r="H105" s="11"/>
      <c r="I105" s="11"/>
      <c r="J105" s="99">
        <f>SUBTOTAL(9,J94:J104)</f>
        <v>0</v>
      </c>
      <c r="K105" s="11"/>
      <c r="L105" s="11"/>
      <c r="M105" s="11"/>
      <c r="N105" s="99">
        <f>SUBTOTAL(9,N94:N104)</f>
        <v>0</v>
      </c>
      <c r="O105" s="11"/>
    </row>
    <row r="106" spans="1:15" ht="15" customHeight="1" x14ac:dyDescent="0.25">
      <c r="A106" s="493" t="s">
        <v>631</v>
      </c>
      <c r="B106" s="91" t="s">
        <v>706</v>
      </c>
      <c r="C106" s="92"/>
      <c r="D106" s="207" t="s">
        <v>1004</v>
      </c>
      <c r="E106" s="208" t="s">
        <v>1747</v>
      </c>
      <c r="F106" s="94"/>
      <c r="G106" s="6"/>
      <c r="H106" s="7"/>
      <c r="I106" s="95">
        <f t="shared" ref="I106:I112" si="36">ROUND(H106*G106,2)</f>
        <v>0</v>
      </c>
      <c r="J106" s="95">
        <f t="shared" ref="J106:J112" si="37">ROUNDUP(I106,0)</f>
        <v>0</v>
      </c>
      <c r="K106" s="7"/>
      <c r="L106" s="9"/>
      <c r="M106" s="96">
        <f t="shared" ref="M106:M112" si="38">ROUND(L106*G106,2)</f>
        <v>0</v>
      </c>
      <c r="N106" s="96">
        <f t="shared" ref="N106:N112" si="39">ROUNDUP(M106,0)</f>
        <v>0</v>
      </c>
      <c r="O106" s="9"/>
    </row>
    <row r="107" spans="1:15" ht="15" customHeight="1" x14ac:dyDescent="0.25">
      <c r="A107" s="493" t="s">
        <v>631</v>
      </c>
      <c r="B107" s="91" t="s">
        <v>706</v>
      </c>
      <c r="C107" s="92"/>
      <c r="D107" s="207">
        <v>17</v>
      </c>
      <c r="E107" s="208" t="s">
        <v>1764</v>
      </c>
      <c r="F107" s="94"/>
      <c r="G107" s="6"/>
      <c r="H107" s="7"/>
      <c r="I107" s="95">
        <f t="shared" si="36"/>
        <v>0</v>
      </c>
      <c r="J107" s="95">
        <f t="shared" si="37"/>
        <v>0</v>
      </c>
      <c r="K107" s="7"/>
      <c r="L107" s="9"/>
      <c r="M107" s="96">
        <f t="shared" si="38"/>
        <v>0</v>
      </c>
      <c r="N107" s="96">
        <f t="shared" si="39"/>
        <v>0</v>
      </c>
      <c r="O107" s="9"/>
    </row>
    <row r="108" spans="1:15" ht="90" customHeight="1" x14ac:dyDescent="0.25">
      <c r="A108" s="493" t="s">
        <v>631</v>
      </c>
      <c r="B108" s="91" t="s">
        <v>706</v>
      </c>
      <c r="C108" s="92"/>
      <c r="D108" s="204"/>
      <c r="E108" s="93" t="s">
        <v>707</v>
      </c>
      <c r="F108" s="94"/>
      <c r="G108" s="6"/>
      <c r="H108" s="7"/>
      <c r="I108" s="95">
        <f t="shared" si="36"/>
        <v>0</v>
      </c>
      <c r="J108" s="95">
        <f t="shared" si="37"/>
        <v>0</v>
      </c>
      <c r="K108" s="7"/>
      <c r="L108" s="9"/>
      <c r="M108" s="96">
        <f t="shared" si="38"/>
        <v>0</v>
      </c>
      <c r="N108" s="96">
        <f t="shared" si="39"/>
        <v>0</v>
      </c>
      <c r="O108" s="9"/>
    </row>
    <row r="109" spans="1:15" ht="90" customHeight="1" x14ac:dyDescent="0.25">
      <c r="A109" s="493" t="s">
        <v>631</v>
      </c>
      <c r="B109" s="91" t="s">
        <v>706</v>
      </c>
      <c r="C109" s="92"/>
      <c r="D109" s="204"/>
      <c r="E109" s="93" t="s">
        <v>708</v>
      </c>
      <c r="F109" s="94"/>
      <c r="G109" s="6"/>
      <c r="H109" s="7"/>
      <c r="I109" s="95">
        <f t="shared" si="36"/>
        <v>0</v>
      </c>
      <c r="J109" s="95">
        <f t="shared" si="37"/>
        <v>0</v>
      </c>
      <c r="K109" s="7"/>
      <c r="L109" s="9"/>
      <c r="M109" s="96">
        <f t="shared" si="38"/>
        <v>0</v>
      </c>
      <c r="N109" s="96">
        <f t="shared" si="39"/>
        <v>0</v>
      </c>
      <c r="O109" s="9"/>
    </row>
    <row r="110" spans="1:15" ht="90" customHeight="1" x14ac:dyDescent="0.25">
      <c r="A110" s="493" t="s">
        <v>631</v>
      </c>
      <c r="B110" s="91" t="s">
        <v>706</v>
      </c>
      <c r="C110" s="92"/>
      <c r="D110" s="204"/>
      <c r="E110" s="93" t="s">
        <v>709</v>
      </c>
      <c r="F110" s="94"/>
      <c r="G110" s="6"/>
      <c r="H110" s="7"/>
      <c r="I110" s="95">
        <f t="shared" si="36"/>
        <v>0</v>
      </c>
      <c r="J110" s="95">
        <f t="shared" si="37"/>
        <v>0</v>
      </c>
      <c r="K110" s="7"/>
      <c r="L110" s="9"/>
      <c r="M110" s="96">
        <f t="shared" si="38"/>
        <v>0</v>
      </c>
      <c r="N110" s="96">
        <f t="shared" si="39"/>
        <v>0</v>
      </c>
      <c r="O110" s="9"/>
    </row>
    <row r="111" spans="1:15" ht="180" customHeight="1" x14ac:dyDescent="0.25">
      <c r="A111" s="493" t="s">
        <v>631</v>
      </c>
      <c r="B111" s="91" t="s">
        <v>706</v>
      </c>
      <c r="C111" s="92"/>
      <c r="D111" s="204"/>
      <c r="E111" s="93" t="s">
        <v>710</v>
      </c>
      <c r="F111" s="94"/>
      <c r="G111" s="6"/>
      <c r="H111" s="7"/>
      <c r="I111" s="95">
        <f t="shared" si="36"/>
        <v>0</v>
      </c>
      <c r="J111" s="95">
        <f t="shared" si="37"/>
        <v>0</v>
      </c>
      <c r="K111" s="7"/>
      <c r="L111" s="9"/>
      <c r="M111" s="96">
        <f t="shared" si="38"/>
        <v>0</v>
      </c>
      <c r="N111" s="96">
        <f t="shared" si="39"/>
        <v>0</v>
      </c>
      <c r="O111" s="9"/>
    </row>
    <row r="112" spans="1:15" ht="60" customHeight="1" x14ac:dyDescent="0.25">
      <c r="A112" s="493" t="s">
        <v>631</v>
      </c>
      <c r="B112" s="91" t="s">
        <v>706</v>
      </c>
      <c r="C112" s="92"/>
      <c r="D112" s="204"/>
      <c r="E112" s="93" t="s">
        <v>711</v>
      </c>
      <c r="F112" s="94"/>
      <c r="G112" s="6"/>
      <c r="H112" s="7"/>
      <c r="I112" s="95">
        <f t="shared" si="36"/>
        <v>0</v>
      </c>
      <c r="J112" s="95">
        <f t="shared" si="37"/>
        <v>0</v>
      </c>
      <c r="K112" s="7"/>
      <c r="L112" s="9"/>
      <c r="M112" s="96">
        <f t="shared" si="38"/>
        <v>0</v>
      </c>
      <c r="N112" s="96">
        <f t="shared" si="39"/>
        <v>0</v>
      </c>
      <c r="O112" s="9"/>
    </row>
    <row r="113" spans="1:15" ht="15" customHeight="1" x14ac:dyDescent="0.25">
      <c r="A113" s="493" t="s">
        <v>1022</v>
      </c>
      <c r="B113" s="205" t="str">
        <f>+B112</f>
        <v>Sec1/10</v>
      </c>
      <c r="C113" s="97"/>
      <c r="D113" s="205"/>
      <c r="E113" s="98" t="s">
        <v>640</v>
      </c>
      <c r="F113" s="97"/>
      <c r="G113" s="11"/>
      <c r="H113" s="11"/>
      <c r="I113" s="11"/>
      <c r="J113" s="99">
        <f>SUBTOTAL(9,J106:J112)</f>
        <v>0</v>
      </c>
      <c r="K113" s="11"/>
      <c r="L113" s="11"/>
      <c r="M113" s="11"/>
      <c r="N113" s="99">
        <f>SUBTOTAL(9,N106:N112)</f>
        <v>0</v>
      </c>
      <c r="O113" s="11"/>
    </row>
    <row r="114" spans="1:15" ht="15" customHeight="1" x14ac:dyDescent="0.25">
      <c r="A114" s="493" t="s">
        <v>631</v>
      </c>
      <c r="B114" s="91" t="s">
        <v>712</v>
      </c>
      <c r="C114" s="92"/>
      <c r="D114" s="207" t="s">
        <v>1004</v>
      </c>
      <c r="E114" s="208" t="s">
        <v>1747</v>
      </c>
      <c r="F114" s="94"/>
      <c r="G114" s="6"/>
      <c r="H114" s="7"/>
      <c r="I114" s="95">
        <f t="shared" ref="I114:I119" si="40">ROUND(H114*G114,2)</f>
        <v>0</v>
      </c>
      <c r="J114" s="95">
        <f t="shared" ref="J114:J120" si="41">ROUNDUP(I114,0)</f>
        <v>0</v>
      </c>
      <c r="K114" s="7"/>
      <c r="L114" s="9"/>
      <c r="M114" s="96">
        <f t="shared" ref="M114:M119" si="42">ROUND(L114*G114,2)</f>
        <v>0</v>
      </c>
      <c r="N114" s="96">
        <f t="shared" ref="N114:N120" si="43">ROUNDUP(M114,0)</f>
        <v>0</v>
      </c>
      <c r="O114" s="9"/>
    </row>
    <row r="115" spans="1:15" ht="15" customHeight="1" x14ac:dyDescent="0.25">
      <c r="A115" s="493" t="s">
        <v>631</v>
      </c>
      <c r="B115" s="91" t="s">
        <v>712</v>
      </c>
      <c r="C115" s="92"/>
      <c r="D115" s="207">
        <v>17</v>
      </c>
      <c r="E115" s="208" t="s">
        <v>1764</v>
      </c>
      <c r="F115" s="94"/>
      <c r="G115" s="6"/>
      <c r="H115" s="7"/>
      <c r="I115" s="95">
        <f t="shared" si="40"/>
        <v>0</v>
      </c>
      <c r="J115" s="95">
        <f t="shared" si="41"/>
        <v>0</v>
      </c>
      <c r="K115" s="7"/>
      <c r="L115" s="9"/>
      <c r="M115" s="96">
        <f t="shared" si="42"/>
        <v>0</v>
      </c>
      <c r="N115" s="96">
        <f t="shared" si="43"/>
        <v>0</v>
      </c>
      <c r="O115" s="9"/>
    </row>
    <row r="116" spans="1:15" ht="45" customHeight="1" x14ac:dyDescent="0.25">
      <c r="A116" s="493" t="s">
        <v>631</v>
      </c>
      <c r="B116" s="91" t="s">
        <v>712</v>
      </c>
      <c r="C116" s="92"/>
      <c r="D116" s="204"/>
      <c r="E116" s="209" t="s">
        <v>1765</v>
      </c>
      <c r="F116" s="94"/>
      <c r="G116" s="6"/>
      <c r="H116" s="7"/>
      <c r="I116" s="95">
        <f t="shared" si="40"/>
        <v>0</v>
      </c>
      <c r="J116" s="95">
        <f t="shared" si="41"/>
        <v>0</v>
      </c>
      <c r="K116" s="7"/>
      <c r="L116" s="9"/>
      <c r="M116" s="96">
        <f t="shared" si="42"/>
        <v>0</v>
      </c>
      <c r="N116" s="96">
        <f t="shared" si="43"/>
        <v>0</v>
      </c>
      <c r="O116" s="9"/>
    </row>
    <row r="117" spans="1:15" ht="75" customHeight="1" x14ac:dyDescent="0.25">
      <c r="A117" s="493" t="s">
        <v>631</v>
      </c>
      <c r="B117" s="91" t="s">
        <v>712</v>
      </c>
      <c r="C117" s="92"/>
      <c r="D117" s="204"/>
      <c r="E117" s="93" t="s">
        <v>713</v>
      </c>
      <c r="F117" s="94"/>
      <c r="G117" s="6"/>
      <c r="H117" s="7"/>
      <c r="I117" s="95">
        <f t="shared" si="40"/>
        <v>0</v>
      </c>
      <c r="J117" s="95">
        <f t="shared" si="41"/>
        <v>0</v>
      </c>
      <c r="K117" s="7"/>
      <c r="L117" s="9"/>
      <c r="M117" s="96">
        <f t="shared" si="42"/>
        <v>0</v>
      </c>
      <c r="N117" s="96">
        <f t="shared" si="43"/>
        <v>0</v>
      </c>
      <c r="O117" s="9"/>
    </row>
    <row r="118" spans="1:15" ht="75" customHeight="1" x14ac:dyDescent="0.25">
      <c r="A118" s="493" t="s">
        <v>631</v>
      </c>
      <c r="B118" s="91" t="s">
        <v>712</v>
      </c>
      <c r="C118" s="92"/>
      <c r="D118" s="204"/>
      <c r="E118" s="93" t="s">
        <v>714</v>
      </c>
      <c r="F118" s="94"/>
      <c r="G118" s="6"/>
      <c r="H118" s="7"/>
      <c r="I118" s="95">
        <f t="shared" si="40"/>
        <v>0</v>
      </c>
      <c r="J118" s="95">
        <f t="shared" si="41"/>
        <v>0</v>
      </c>
      <c r="K118" s="7"/>
      <c r="L118" s="9"/>
      <c r="M118" s="96">
        <f t="shared" si="42"/>
        <v>0</v>
      </c>
      <c r="N118" s="96">
        <f t="shared" si="43"/>
        <v>0</v>
      </c>
      <c r="O118" s="9"/>
    </row>
    <row r="119" spans="1:15" ht="135" customHeight="1" x14ac:dyDescent="0.25">
      <c r="A119" s="493" t="s">
        <v>631</v>
      </c>
      <c r="B119" s="91" t="s">
        <v>712</v>
      </c>
      <c r="C119" s="92"/>
      <c r="D119" s="204"/>
      <c r="E119" s="93" t="s">
        <v>715</v>
      </c>
      <c r="F119" s="94"/>
      <c r="G119" s="6"/>
      <c r="H119" s="7"/>
      <c r="I119" s="95">
        <f t="shared" si="40"/>
        <v>0</v>
      </c>
      <c r="J119" s="95">
        <f t="shared" si="41"/>
        <v>0</v>
      </c>
      <c r="K119" s="7"/>
      <c r="L119" s="9"/>
      <c r="M119" s="96">
        <f t="shared" si="42"/>
        <v>0</v>
      </c>
      <c r="N119" s="96">
        <f t="shared" si="43"/>
        <v>0</v>
      </c>
      <c r="O119" s="9"/>
    </row>
    <row r="120" spans="1:15" ht="135" customHeight="1" x14ac:dyDescent="0.25">
      <c r="A120" s="493" t="s">
        <v>631</v>
      </c>
      <c r="B120" s="91" t="s">
        <v>712</v>
      </c>
      <c r="C120" s="92"/>
      <c r="D120" s="204"/>
      <c r="E120" s="93" t="e" vm="1">
        <v>#VALUE!</v>
      </c>
      <c r="F120" s="94"/>
      <c r="G120" s="6"/>
      <c r="H120" s="7"/>
      <c r="I120" s="95"/>
      <c r="J120" s="95">
        <f t="shared" si="41"/>
        <v>0</v>
      </c>
      <c r="K120" s="7"/>
      <c r="L120" s="9"/>
      <c r="M120" s="96"/>
      <c r="N120" s="96">
        <f t="shared" si="43"/>
        <v>0</v>
      </c>
      <c r="O120" s="9"/>
    </row>
    <row r="121" spans="1:15" ht="15" customHeight="1" x14ac:dyDescent="0.25">
      <c r="A121" s="493" t="s">
        <v>1022</v>
      </c>
      <c r="B121" s="205" t="str">
        <f>+B120</f>
        <v>Sec1/11</v>
      </c>
      <c r="C121" s="97"/>
      <c r="D121" s="205"/>
      <c r="E121" s="98" t="s">
        <v>640</v>
      </c>
      <c r="F121" s="97"/>
      <c r="G121" s="11"/>
      <c r="H121" s="11"/>
      <c r="I121" s="11"/>
      <c r="J121" s="99">
        <f>SUBTOTAL(9,J114:J120)</f>
        <v>0</v>
      </c>
      <c r="K121" s="11"/>
      <c r="L121" s="11"/>
      <c r="M121" s="11"/>
      <c r="N121" s="99">
        <f>SUBTOTAL(9,N114:N120)</f>
        <v>0</v>
      </c>
      <c r="O121" s="11"/>
    </row>
    <row r="122" spans="1:15" ht="15" customHeight="1" x14ac:dyDescent="0.25">
      <c r="A122" s="493" t="s">
        <v>631</v>
      </c>
      <c r="B122" s="91" t="s">
        <v>716</v>
      </c>
      <c r="C122" s="92"/>
      <c r="D122" s="207" t="s">
        <v>1004</v>
      </c>
      <c r="E122" s="208" t="s">
        <v>1747</v>
      </c>
      <c r="F122" s="94"/>
      <c r="G122" s="6"/>
      <c r="H122" s="7"/>
      <c r="I122" s="95">
        <f t="shared" ref="I122:I130" si="44">ROUND(H122*G122,2)</f>
        <v>0</v>
      </c>
      <c r="J122" s="95">
        <f t="shared" ref="J122:J130" si="45">ROUNDUP(I122,0)</f>
        <v>0</v>
      </c>
      <c r="K122" s="7"/>
      <c r="L122" s="9"/>
      <c r="M122" s="96">
        <f t="shared" ref="M122:M130" si="46">ROUND(L122*G122,2)</f>
        <v>0</v>
      </c>
      <c r="N122" s="96">
        <f t="shared" ref="N122:N130" si="47">ROUNDUP(M122,0)</f>
        <v>0</v>
      </c>
      <c r="O122" s="9"/>
    </row>
    <row r="123" spans="1:15" ht="15" customHeight="1" x14ac:dyDescent="0.25">
      <c r="A123" s="493" t="s">
        <v>631</v>
      </c>
      <c r="B123" s="91" t="s">
        <v>716</v>
      </c>
      <c r="C123" s="92"/>
      <c r="D123" s="207">
        <v>17</v>
      </c>
      <c r="E123" s="208" t="s">
        <v>1764</v>
      </c>
      <c r="F123" s="94"/>
      <c r="G123" s="6"/>
      <c r="H123" s="7"/>
      <c r="I123" s="95">
        <f t="shared" si="44"/>
        <v>0</v>
      </c>
      <c r="J123" s="95">
        <f t="shared" si="45"/>
        <v>0</v>
      </c>
      <c r="K123" s="7"/>
      <c r="L123" s="9"/>
      <c r="M123" s="96">
        <f t="shared" si="46"/>
        <v>0</v>
      </c>
      <c r="N123" s="96">
        <f t="shared" si="47"/>
        <v>0</v>
      </c>
      <c r="O123" s="9"/>
    </row>
    <row r="124" spans="1:15" ht="90" customHeight="1" x14ac:dyDescent="0.25">
      <c r="A124" s="493" t="s">
        <v>631</v>
      </c>
      <c r="B124" s="91" t="s">
        <v>716</v>
      </c>
      <c r="C124" s="92"/>
      <c r="D124" s="204"/>
      <c r="E124" s="209" t="s">
        <v>1766</v>
      </c>
      <c r="F124" s="94"/>
      <c r="G124" s="6"/>
      <c r="H124" s="7"/>
      <c r="I124" s="95">
        <f t="shared" si="44"/>
        <v>0</v>
      </c>
      <c r="J124" s="95">
        <f t="shared" si="45"/>
        <v>0</v>
      </c>
      <c r="K124" s="7"/>
      <c r="L124" s="9"/>
      <c r="M124" s="96">
        <f t="shared" si="46"/>
        <v>0</v>
      </c>
      <c r="N124" s="96">
        <f t="shared" si="47"/>
        <v>0</v>
      </c>
      <c r="O124" s="9"/>
    </row>
    <row r="125" spans="1:15" ht="90" customHeight="1" x14ac:dyDescent="0.25">
      <c r="A125" s="493" t="s">
        <v>631</v>
      </c>
      <c r="B125" s="91" t="s">
        <v>716</v>
      </c>
      <c r="C125" s="92"/>
      <c r="D125" s="204"/>
      <c r="E125" s="93" t="s">
        <v>717</v>
      </c>
      <c r="F125" s="94"/>
      <c r="G125" s="6"/>
      <c r="H125" s="7"/>
      <c r="I125" s="95">
        <f t="shared" si="44"/>
        <v>0</v>
      </c>
      <c r="J125" s="95">
        <f t="shared" si="45"/>
        <v>0</v>
      </c>
      <c r="K125" s="7"/>
      <c r="L125" s="9"/>
      <c r="M125" s="96">
        <f t="shared" si="46"/>
        <v>0</v>
      </c>
      <c r="N125" s="96">
        <f t="shared" si="47"/>
        <v>0</v>
      </c>
      <c r="O125" s="9"/>
    </row>
    <row r="126" spans="1:15" ht="45" customHeight="1" x14ac:dyDescent="0.25">
      <c r="A126" s="493" t="s">
        <v>631</v>
      </c>
      <c r="B126" s="91" t="s">
        <v>716</v>
      </c>
      <c r="C126" s="92"/>
      <c r="D126" s="204"/>
      <c r="E126" s="93" t="s">
        <v>718</v>
      </c>
      <c r="F126" s="94"/>
      <c r="G126" s="6"/>
      <c r="H126" s="7"/>
      <c r="I126" s="95">
        <f t="shared" si="44"/>
        <v>0</v>
      </c>
      <c r="J126" s="95">
        <f t="shared" si="45"/>
        <v>0</v>
      </c>
      <c r="K126" s="7"/>
      <c r="L126" s="9"/>
      <c r="M126" s="96">
        <f t="shared" si="46"/>
        <v>0</v>
      </c>
      <c r="N126" s="96">
        <f t="shared" si="47"/>
        <v>0</v>
      </c>
      <c r="O126" s="9"/>
    </row>
    <row r="127" spans="1:15" ht="90" customHeight="1" x14ac:dyDescent="0.25">
      <c r="A127" s="493" t="s">
        <v>631</v>
      </c>
      <c r="B127" s="91" t="s">
        <v>716</v>
      </c>
      <c r="C127" s="92"/>
      <c r="D127" s="204"/>
      <c r="E127" s="209" t="s">
        <v>1767</v>
      </c>
      <c r="F127" s="94"/>
      <c r="G127" s="6"/>
      <c r="H127" s="7"/>
      <c r="I127" s="95">
        <f t="shared" si="44"/>
        <v>0</v>
      </c>
      <c r="J127" s="95">
        <f t="shared" si="45"/>
        <v>0</v>
      </c>
      <c r="K127" s="7"/>
      <c r="L127" s="9"/>
      <c r="M127" s="96">
        <f t="shared" si="46"/>
        <v>0</v>
      </c>
      <c r="N127" s="96">
        <f t="shared" si="47"/>
        <v>0</v>
      </c>
      <c r="O127" s="9"/>
    </row>
    <row r="128" spans="1:15" ht="90" customHeight="1" x14ac:dyDescent="0.25">
      <c r="A128" s="493" t="s">
        <v>631</v>
      </c>
      <c r="B128" s="91" t="s">
        <v>716</v>
      </c>
      <c r="C128" s="92"/>
      <c r="D128" s="204"/>
      <c r="E128" s="93" t="s">
        <v>719</v>
      </c>
      <c r="F128" s="94"/>
      <c r="G128" s="6"/>
      <c r="H128" s="7"/>
      <c r="I128" s="95">
        <f t="shared" si="44"/>
        <v>0</v>
      </c>
      <c r="J128" s="95">
        <f t="shared" si="45"/>
        <v>0</v>
      </c>
      <c r="K128" s="7"/>
      <c r="L128" s="9"/>
      <c r="M128" s="96">
        <f t="shared" si="46"/>
        <v>0</v>
      </c>
      <c r="N128" s="96">
        <f t="shared" si="47"/>
        <v>0</v>
      </c>
      <c r="O128" s="9"/>
    </row>
    <row r="129" spans="1:15" ht="60" customHeight="1" x14ac:dyDescent="0.25">
      <c r="A129" s="493" t="s">
        <v>631</v>
      </c>
      <c r="B129" s="91" t="s">
        <v>716</v>
      </c>
      <c r="C129" s="92"/>
      <c r="D129" s="204"/>
      <c r="E129" s="209" t="s">
        <v>1768</v>
      </c>
      <c r="F129" s="94"/>
      <c r="G129" s="6"/>
      <c r="H129" s="7"/>
      <c r="I129" s="95">
        <f t="shared" si="44"/>
        <v>0</v>
      </c>
      <c r="J129" s="95">
        <f t="shared" si="45"/>
        <v>0</v>
      </c>
      <c r="K129" s="7"/>
      <c r="L129" s="9"/>
      <c r="M129" s="96">
        <f t="shared" si="46"/>
        <v>0</v>
      </c>
      <c r="N129" s="96">
        <f t="shared" si="47"/>
        <v>0</v>
      </c>
      <c r="O129" s="9"/>
    </row>
    <row r="130" spans="1:15" ht="45" customHeight="1" x14ac:dyDescent="0.25">
      <c r="A130" s="493" t="s">
        <v>631</v>
      </c>
      <c r="B130" s="91" t="s">
        <v>716</v>
      </c>
      <c r="C130" s="92"/>
      <c r="D130" s="204"/>
      <c r="E130" s="93" t="s">
        <v>720</v>
      </c>
      <c r="F130" s="94"/>
      <c r="G130" s="6"/>
      <c r="H130" s="7"/>
      <c r="I130" s="95">
        <f t="shared" si="44"/>
        <v>0</v>
      </c>
      <c r="J130" s="95">
        <f t="shared" si="45"/>
        <v>0</v>
      </c>
      <c r="K130" s="7"/>
      <c r="L130" s="9"/>
      <c r="M130" s="96">
        <f t="shared" si="46"/>
        <v>0</v>
      </c>
      <c r="N130" s="96">
        <f t="shared" si="47"/>
        <v>0</v>
      </c>
      <c r="O130" s="9"/>
    </row>
    <row r="131" spans="1:15" ht="15" customHeight="1" x14ac:dyDescent="0.25">
      <c r="A131" s="493" t="s">
        <v>1022</v>
      </c>
      <c r="B131" s="205" t="str">
        <f>+B130</f>
        <v>Sec1/12</v>
      </c>
      <c r="C131" s="97"/>
      <c r="D131" s="205"/>
      <c r="E131" s="98" t="s">
        <v>640</v>
      </c>
      <c r="F131" s="97"/>
      <c r="G131" s="11"/>
      <c r="H131" s="11"/>
      <c r="I131" s="11"/>
      <c r="J131" s="99">
        <f>SUBTOTAL(9,J122:J130)</f>
        <v>0</v>
      </c>
      <c r="K131" s="11"/>
      <c r="L131" s="11"/>
      <c r="M131" s="11"/>
      <c r="N131" s="99">
        <f>SUBTOTAL(9,N122:N130)</f>
        <v>0</v>
      </c>
      <c r="O131" s="11"/>
    </row>
    <row r="132" spans="1:15" ht="15" customHeight="1" x14ac:dyDescent="0.25">
      <c r="A132" s="493" t="s">
        <v>631</v>
      </c>
      <c r="B132" s="91" t="s">
        <v>721</v>
      </c>
      <c r="C132" s="92"/>
      <c r="D132" s="207" t="s">
        <v>1004</v>
      </c>
      <c r="E132" s="208" t="s">
        <v>1747</v>
      </c>
      <c r="F132" s="94"/>
      <c r="G132" s="6"/>
      <c r="H132" s="7"/>
      <c r="I132" s="95">
        <f t="shared" ref="I132:I139" si="48">ROUND(H132*G132,2)</f>
        <v>0</v>
      </c>
      <c r="J132" s="95">
        <f t="shared" ref="J132:J139" si="49">ROUNDUP(I132,0)</f>
        <v>0</v>
      </c>
      <c r="K132" s="7"/>
      <c r="L132" s="9"/>
      <c r="M132" s="96">
        <f t="shared" ref="M132:M139" si="50">ROUND(L132*G132,2)</f>
        <v>0</v>
      </c>
      <c r="N132" s="96">
        <f t="shared" ref="N132:N139" si="51">ROUNDUP(M132,0)</f>
        <v>0</v>
      </c>
      <c r="O132" s="9"/>
    </row>
    <row r="133" spans="1:15" ht="15" customHeight="1" x14ac:dyDescent="0.25">
      <c r="A133" s="493" t="s">
        <v>631</v>
      </c>
      <c r="B133" s="91" t="s">
        <v>721</v>
      </c>
      <c r="C133" s="92"/>
      <c r="D133" s="207">
        <v>17</v>
      </c>
      <c r="E133" s="208" t="s">
        <v>1764</v>
      </c>
      <c r="F133" s="94"/>
      <c r="G133" s="6"/>
      <c r="H133" s="7"/>
      <c r="I133" s="95">
        <f t="shared" si="48"/>
        <v>0</v>
      </c>
      <c r="J133" s="95">
        <f t="shared" si="49"/>
        <v>0</v>
      </c>
      <c r="K133" s="7"/>
      <c r="L133" s="9"/>
      <c r="M133" s="96">
        <f t="shared" si="50"/>
        <v>0</v>
      </c>
      <c r="N133" s="96">
        <f t="shared" si="51"/>
        <v>0</v>
      </c>
      <c r="O133" s="9"/>
    </row>
    <row r="134" spans="1:15" ht="75" customHeight="1" x14ac:dyDescent="0.25">
      <c r="A134" s="493" t="s">
        <v>631</v>
      </c>
      <c r="B134" s="91" t="s">
        <v>721</v>
      </c>
      <c r="C134" s="92"/>
      <c r="D134" s="204"/>
      <c r="E134" s="209" t="s">
        <v>1769</v>
      </c>
      <c r="F134" s="94"/>
      <c r="G134" s="6"/>
      <c r="H134" s="7"/>
      <c r="I134" s="95">
        <f t="shared" si="48"/>
        <v>0</v>
      </c>
      <c r="J134" s="95">
        <f t="shared" si="49"/>
        <v>0</v>
      </c>
      <c r="K134" s="7"/>
      <c r="L134" s="9"/>
      <c r="M134" s="96">
        <f t="shared" si="50"/>
        <v>0</v>
      </c>
      <c r="N134" s="96">
        <f t="shared" si="51"/>
        <v>0</v>
      </c>
      <c r="O134" s="9"/>
    </row>
    <row r="135" spans="1:15" ht="15" customHeight="1" x14ac:dyDescent="0.25">
      <c r="A135" s="493" t="s">
        <v>631</v>
      </c>
      <c r="B135" s="91" t="s">
        <v>721</v>
      </c>
      <c r="C135" s="92"/>
      <c r="D135" s="204"/>
      <c r="E135" s="93" t="s">
        <v>722</v>
      </c>
      <c r="F135" s="94"/>
      <c r="G135" s="6"/>
      <c r="H135" s="7"/>
      <c r="I135" s="95">
        <f t="shared" si="48"/>
        <v>0</v>
      </c>
      <c r="J135" s="95">
        <f t="shared" si="49"/>
        <v>0</v>
      </c>
      <c r="K135" s="7"/>
      <c r="L135" s="9"/>
      <c r="M135" s="96">
        <f t="shared" si="50"/>
        <v>0</v>
      </c>
      <c r="N135" s="96">
        <f t="shared" si="51"/>
        <v>0</v>
      </c>
      <c r="O135" s="9"/>
    </row>
    <row r="136" spans="1:15" ht="150" customHeight="1" x14ac:dyDescent="0.25">
      <c r="A136" s="493" t="s">
        <v>631</v>
      </c>
      <c r="B136" s="91" t="s">
        <v>721</v>
      </c>
      <c r="C136" s="92"/>
      <c r="D136" s="204"/>
      <c r="E136" s="93" t="s">
        <v>723</v>
      </c>
      <c r="F136" s="94"/>
      <c r="G136" s="6"/>
      <c r="H136" s="7"/>
      <c r="I136" s="95">
        <f t="shared" si="48"/>
        <v>0</v>
      </c>
      <c r="J136" s="95">
        <f t="shared" si="49"/>
        <v>0</v>
      </c>
      <c r="K136" s="7"/>
      <c r="L136" s="9"/>
      <c r="M136" s="96">
        <f t="shared" si="50"/>
        <v>0</v>
      </c>
      <c r="N136" s="96">
        <f t="shared" si="51"/>
        <v>0</v>
      </c>
      <c r="O136" s="9"/>
    </row>
    <row r="137" spans="1:15" ht="75" customHeight="1" x14ac:dyDescent="0.25">
      <c r="A137" s="493" t="s">
        <v>631</v>
      </c>
      <c r="B137" s="91" t="s">
        <v>721</v>
      </c>
      <c r="C137" s="92"/>
      <c r="D137" s="204"/>
      <c r="E137" s="93" t="s">
        <v>724</v>
      </c>
      <c r="F137" s="94"/>
      <c r="G137" s="6"/>
      <c r="H137" s="7"/>
      <c r="I137" s="95">
        <f t="shared" si="48"/>
        <v>0</v>
      </c>
      <c r="J137" s="95">
        <f t="shared" si="49"/>
        <v>0</v>
      </c>
      <c r="K137" s="7"/>
      <c r="L137" s="9"/>
      <c r="M137" s="96">
        <f t="shared" si="50"/>
        <v>0</v>
      </c>
      <c r="N137" s="96">
        <f t="shared" si="51"/>
        <v>0</v>
      </c>
      <c r="O137" s="9"/>
    </row>
    <row r="138" spans="1:15" ht="15" customHeight="1" x14ac:dyDescent="0.25">
      <c r="A138" s="493" t="s">
        <v>631</v>
      </c>
      <c r="B138" s="91" t="s">
        <v>721</v>
      </c>
      <c r="C138" s="92"/>
      <c r="D138" s="207">
        <v>18</v>
      </c>
      <c r="E138" s="208" t="s">
        <v>1770</v>
      </c>
      <c r="F138" s="94"/>
      <c r="G138" s="6"/>
      <c r="H138" s="7"/>
      <c r="I138" s="95">
        <f t="shared" si="48"/>
        <v>0</v>
      </c>
      <c r="J138" s="95">
        <f t="shared" si="49"/>
        <v>0</v>
      </c>
      <c r="K138" s="7"/>
      <c r="L138" s="9"/>
      <c r="M138" s="96">
        <f t="shared" si="50"/>
        <v>0</v>
      </c>
      <c r="N138" s="96">
        <f t="shared" si="51"/>
        <v>0</v>
      </c>
      <c r="O138" s="9"/>
    </row>
    <row r="139" spans="1:15" ht="165" customHeight="1" x14ac:dyDescent="0.25">
      <c r="A139" s="493" t="s">
        <v>631</v>
      </c>
      <c r="B139" s="91" t="s">
        <v>721</v>
      </c>
      <c r="C139" s="92"/>
      <c r="D139" s="204"/>
      <c r="E139" s="93" t="s">
        <v>725</v>
      </c>
      <c r="F139" s="94"/>
      <c r="G139" s="6"/>
      <c r="H139" s="7"/>
      <c r="I139" s="95">
        <f t="shared" si="48"/>
        <v>0</v>
      </c>
      <c r="J139" s="95">
        <f t="shared" si="49"/>
        <v>0</v>
      </c>
      <c r="K139" s="7"/>
      <c r="L139" s="9"/>
      <c r="M139" s="96">
        <f t="shared" si="50"/>
        <v>0</v>
      </c>
      <c r="N139" s="96">
        <f t="shared" si="51"/>
        <v>0</v>
      </c>
      <c r="O139" s="9"/>
    </row>
    <row r="140" spans="1:15" ht="15" customHeight="1" x14ac:dyDescent="0.25">
      <c r="A140" s="493" t="s">
        <v>1022</v>
      </c>
      <c r="B140" s="205" t="str">
        <f>+B139</f>
        <v>Sec1/13</v>
      </c>
      <c r="C140" s="97"/>
      <c r="D140" s="205"/>
      <c r="E140" s="98" t="s">
        <v>640</v>
      </c>
      <c r="F140" s="97"/>
      <c r="G140" s="11"/>
      <c r="H140" s="11"/>
      <c r="I140" s="11"/>
      <c r="J140" s="99">
        <f>SUBTOTAL(9,J132:J139)</f>
        <v>0</v>
      </c>
      <c r="K140" s="11"/>
      <c r="L140" s="11"/>
      <c r="M140" s="11"/>
      <c r="N140" s="99">
        <f>SUBTOTAL(9,N132:N139)</f>
        <v>0</v>
      </c>
      <c r="O140" s="11"/>
    </row>
    <row r="141" spans="1:15" ht="15" customHeight="1" x14ac:dyDescent="0.25">
      <c r="A141" s="493" t="s">
        <v>631</v>
      </c>
      <c r="B141" s="91" t="s">
        <v>726</v>
      </c>
      <c r="C141" s="92"/>
      <c r="D141" s="207" t="s">
        <v>1004</v>
      </c>
      <c r="E141" s="208" t="s">
        <v>1747</v>
      </c>
      <c r="F141" s="94"/>
      <c r="G141" s="6"/>
      <c r="H141" s="7"/>
      <c r="I141" s="95">
        <f t="shared" ref="I141:I147" si="52">ROUND(H141*G141,2)</f>
        <v>0</v>
      </c>
      <c r="J141" s="95">
        <f t="shared" ref="J141:J147" si="53">ROUNDUP(I141,0)</f>
        <v>0</v>
      </c>
      <c r="K141" s="7"/>
      <c r="L141" s="9"/>
      <c r="M141" s="96">
        <f t="shared" ref="M141:M147" si="54">ROUND(L141*G141,2)</f>
        <v>0</v>
      </c>
      <c r="N141" s="96">
        <f t="shared" ref="N141:N147" si="55">ROUNDUP(M141,0)</f>
        <v>0</v>
      </c>
      <c r="O141" s="9"/>
    </row>
    <row r="142" spans="1:15" ht="15" customHeight="1" x14ac:dyDescent="0.25">
      <c r="A142" s="493" t="s">
        <v>631</v>
      </c>
      <c r="B142" s="91" t="s">
        <v>726</v>
      </c>
      <c r="C142" s="92"/>
      <c r="D142" s="207">
        <v>19</v>
      </c>
      <c r="E142" s="210" t="s">
        <v>1771</v>
      </c>
      <c r="F142" s="94"/>
      <c r="G142" s="6"/>
      <c r="H142" s="7"/>
      <c r="I142" s="95">
        <f t="shared" si="52"/>
        <v>0</v>
      </c>
      <c r="J142" s="95">
        <f t="shared" si="53"/>
        <v>0</v>
      </c>
      <c r="K142" s="7"/>
      <c r="L142" s="9"/>
      <c r="M142" s="96">
        <f t="shared" si="54"/>
        <v>0</v>
      </c>
      <c r="N142" s="96">
        <f t="shared" si="55"/>
        <v>0</v>
      </c>
      <c r="O142" s="9"/>
    </row>
    <row r="143" spans="1:15" ht="15" customHeight="1" x14ac:dyDescent="0.25">
      <c r="A143" s="493" t="s">
        <v>631</v>
      </c>
      <c r="B143" s="91" t="s">
        <v>726</v>
      </c>
      <c r="C143" s="92"/>
      <c r="D143" s="204"/>
      <c r="E143" s="208" t="s">
        <v>727</v>
      </c>
      <c r="F143" s="94"/>
      <c r="G143" s="6"/>
      <c r="H143" s="7"/>
      <c r="I143" s="95">
        <f t="shared" si="52"/>
        <v>0</v>
      </c>
      <c r="J143" s="95">
        <f t="shared" si="53"/>
        <v>0</v>
      </c>
      <c r="K143" s="7"/>
      <c r="L143" s="9"/>
      <c r="M143" s="96">
        <f t="shared" si="54"/>
        <v>0</v>
      </c>
      <c r="N143" s="96">
        <f t="shared" si="55"/>
        <v>0</v>
      </c>
      <c r="O143" s="9"/>
    </row>
    <row r="144" spans="1:15" ht="150" customHeight="1" x14ac:dyDescent="0.25">
      <c r="A144" s="493" t="s">
        <v>631</v>
      </c>
      <c r="B144" s="91" t="s">
        <v>726</v>
      </c>
      <c r="C144" s="92"/>
      <c r="D144" s="204"/>
      <c r="E144" s="93" t="s">
        <v>728</v>
      </c>
      <c r="F144" s="94"/>
      <c r="G144" s="6"/>
      <c r="H144" s="7"/>
      <c r="I144" s="95">
        <f t="shared" si="52"/>
        <v>0</v>
      </c>
      <c r="J144" s="95">
        <f t="shared" si="53"/>
        <v>0</v>
      </c>
      <c r="K144" s="7"/>
      <c r="L144" s="9"/>
      <c r="M144" s="96">
        <f t="shared" si="54"/>
        <v>0</v>
      </c>
      <c r="N144" s="96">
        <f t="shared" si="55"/>
        <v>0</v>
      </c>
      <c r="O144" s="9"/>
    </row>
    <row r="145" spans="1:15" ht="60" customHeight="1" x14ac:dyDescent="0.25">
      <c r="A145" s="493" t="s">
        <v>631</v>
      </c>
      <c r="B145" s="91" t="s">
        <v>726</v>
      </c>
      <c r="C145" s="92"/>
      <c r="D145" s="204"/>
      <c r="E145" s="93" t="s">
        <v>729</v>
      </c>
      <c r="F145" s="94"/>
      <c r="G145" s="6"/>
      <c r="H145" s="7"/>
      <c r="I145" s="95">
        <f t="shared" si="52"/>
        <v>0</v>
      </c>
      <c r="J145" s="95">
        <f t="shared" si="53"/>
        <v>0</v>
      </c>
      <c r="K145" s="7"/>
      <c r="L145" s="9"/>
      <c r="M145" s="96">
        <f t="shared" si="54"/>
        <v>0</v>
      </c>
      <c r="N145" s="96">
        <f t="shared" si="55"/>
        <v>0</v>
      </c>
      <c r="O145" s="9"/>
    </row>
    <row r="146" spans="1:15" ht="165" customHeight="1" x14ac:dyDescent="0.25">
      <c r="A146" s="493" t="s">
        <v>631</v>
      </c>
      <c r="B146" s="91" t="s">
        <v>726</v>
      </c>
      <c r="C146" s="92"/>
      <c r="D146" s="204"/>
      <c r="E146" s="93" t="s">
        <v>730</v>
      </c>
      <c r="F146" s="94"/>
      <c r="G146" s="6"/>
      <c r="H146" s="7"/>
      <c r="I146" s="95">
        <f t="shared" si="52"/>
        <v>0</v>
      </c>
      <c r="J146" s="95">
        <f t="shared" si="53"/>
        <v>0</v>
      </c>
      <c r="K146" s="7"/>
      <c r="L146" s="9"/>
      <c r="M146" s="96">
        <f t="shared" si="54"/>
        <v>0</v>
      </c>
      <c r="N146" s="96">
        <f t="shared" si="55"/>
        <v>0</v>
      </c>
      <c r="O146" s="9"/>
    </row>
    <row r="147" spans="1:15" ht="105" customHeight="1" x14ac:dyDescent="0.25">
      <c r="A147" s="493" t="s">
        <v>631</v>
      </c>
      <c r="B147" s="91" t="s">
        <v>726</v>
      </c>
      <c r="C147" s="92"/>
      <c r="D147" s="204"/>
      <c r="E147" s="93" t="s">
        <v>731</v>
      </c>
      <c r="F147" s="94"/>
      <c r="G147" s="6"/>
      <c r="H147" s="7"/>
      <c r="I147" s="95">
        <f t="shared" si="52"/>
        <v>0</v>
      </c>
      <c r="J147" s="95">
        <f t="shared" si="53"/>
        <v>0</v>
      </c>
      <c r="K147" s="7"/>
      <c r="L147" s="9"/>
      <c r="M147" s="96">
        <f t="shared" si="54"/>
        <v>0</v>
      </c>
      <c r="N147" s="96">
        <f t="shared" si="55"/>
        <v>0</v>
      </c>
      <c r="O147" s="9"/>
    </row>
    <row r="148" spans="1:15" ht="15" customHeight="1" x14ac:dyDescent="0.25">
      <c r="A148" s="493" t="s">
        <v>1022</v>
      </c>
      <c r="B148" s="205" t="str">
        <f>+B147</f>
        <v>Sec1/14</v>
      </c>
      <c r="C148" s="97"/>
      <c r="D148" s="205"/>
      <c r="E148" s="98" t="s">
        <v>640</v>
      </c>
      <c r="F148" s="97"/>
      <c r="G148" s="11"/>
      <c r="H148" s="11"/>
      <c r="I148" s="11"/>
      <c r="J148" s="99">
        <f>SUBTOTAL(9,J141:J147)</f>
        <v>0</v>
      </c>
      <c r="K148" s="11"/>
      <c r="L148" s="11"/>
      <c r="M148" s="11"/>
      <c r="N148" s="99">
        <f>SUBTOTAL(9,N141:N147)</f>
        <v>0</v>
      </c>
      <c r="O148" s="11"/>
    </row>
    <row r="149" spans="1:15" ht="15" customHeight="1" x14ac:dyDescent="0.25">
      <c r="A149" s="493" t="s">
        <v>631</v>
      </c>
      <c r="B149" s="91" t="s">
        <v>732</v>
      </c>
      <c r="C149" s="92"/>
      <c r="D149" s="207" t="s">
        <v>1004</v>
      </c>
      <c r="E149" s="208" t="s">
        <v>1747</v>
      </c>
      <c r="F149" s="94"/>
      <c r="G149" s="6"/>
      <c r="H149" s="7"/>
      <c r="I149" s="95">
        <f t="shared" ref="I149:I157" si="56">ROUND(H149*G149,2)</f>
        <v>0</v>
      </c>
      <c r="J149" s="95">
        <f t="shared" ref="J149:J157" si="57">ROUNDUP(I149,0)</f>
        <v>0</v>
      </c>
      <c r="K149" s="7"/>
      <c r="L149" s="9"/>
      <c r="M149" s="96">
        <f t="shared" ref="M149:M157" si="58">ROUND(L149*G149,2)</f>
        <v>0</v>
      </c>
      <c r="N149" s="96">
        <f t="shared" ref="N149:N157" si="59">ROUNDUP(M149,0)</f>
        <v>0</v>
      </c>
      <c r="O149" s="9"/>
    </row>
    <row r="150" spans="1:15" ht="15" customHeight="1" x14ac:dyDescent="0.25">
      <c r="A150" s="493" t="s">
        <v>631</v>
      </c>
      <c r="B150" s="91" t="s">
        <v>732</v>
      </c>
      <c r="C150" s="92"/>
      <c r="D150" s="207">
        <v>20</v>
      </c>
      <c r="E150" s="208" t="s">
        <v>1772</v>
      </c>
      <c r="F150" s="94"/>
      <c r="G150" s="6"/>
      <c r="H150" s="7"/>
      <c r="I150" s="95">
        <f t="shared" si="56"/>
        <v>0</v>
      </c>
      <c r="J150" s="95">
        <f t="shared" si="57"/>
        <v>0</v>
      </c>
      <c r="K150" s="7"/>
      <c r="L150" s="9"/>
      <c r="M150" s="96">
        <f t="shared" si="58"/>
        <v>0</v>
      </c>
      <c r="N150" s="96">
        <f t="shared" si="59"/>
        <v>0</v>
      </c>
      <c r="O150" s="9"/>
    </row>
    <row r="151" spans="1:15" ht="60" customHeight="1" x14ac:dyDescent="0.25">
      <c r="A151" s="493" t="s">
        <v>631</v>
      </c>
      <c r="B151" s="91" t="s">
        <v>732</v>
      </c>
      <c r="C151" s="92"/>
      <c r="D151" s="204"/>
      <c r="E151" s="93" t="s">
        <v>733</v>
      </c>
      <c r="F151" s="94"/>
      <c r="G151" s="6"/>
      <c r="H151" s="7"/>
      <c r="I151" s="95">
        <f t="shared" si="56"/>
        <v>0</v>
      </c>
      <c r="J151" s="95">
        <f t="shared" si="57"/>
        <v>0</v>
      </c>
      <c r="K151" s="7"/>
      <c r="L151" s="9"/>
      <c r="M151" s="96">
        <f t="shared" si="58"/>
        <v>0</v>
      </c>
      <c r="N151" s="96">
        <f t="shared" si="59"/>
        <v>0</v>
      </c>
      <c r="O151" s="9"/>
    </row>
    <row r="152" spans="1:15" ht="60" customHeight="1" x14ac:dyDescent="0.25">
      <c r="A152" s="493" t="s">
        <v>631</v>
      </c>
      <c r="B152" s="91" t="s">
        <v>732</v>
      </c>
      <c r="C152" s="92"/>
      <c r="D152" s="204"/>
      <c r="E152" s="93" t="s">
        <v>734</v>
      </c>
      <c r="F152" s="94"/>
      <c r="G152" s="6"/>
      <c r="H152" s="7"/>
      <c r="I152" s="95">
        <f t="shared" si="56"/>
        <v>0</v>
      </c>
      <c r="J152" s="95">
        <f t="shared" si="57"/>
        <v>0</v>
      </c>
      <c r="K152" s="7"/>
      <c r="L152" s="9"/>
      <c r="M152" s="96">
        <f t="shared" si="58"/>
        <v>0</v>
      </c>
      <c r="N152" s="96">
        <f t="shared" si="59"/>
        <v>0</v>
      </c>
      <c r="O152" s="9"/>
    </row>
    <row r="153" spans="1:15" ht="60" customHeight="1" x14ac:dyDescent="0.25">
      <c r="A153" s="493" t="s">
        <v>631</v>
      </c>
      <c r="B153" s="91" t="s">
        <v>732</v>
      </c>
      <c r="C153" s="92"/>
      <c r="D153" s="204"/>
      <c r="E153" s="93" t="s">
        <v>735</v>
      </c>
      <c r="F153" s="94"/>
      <c r="G153" s="6"/>
      <c r="H153" s="7"/>
      <c r="I153" s="95">
        <f t="shared" si="56"/>
        <v>0</v>
      </c>
      <c r="J153" s="95">
        <f t="shared" si="57"/>
        <v>0</v>
      </c>
      <c r="K153" s="7"/>
      <c r="L153" s="9"/>
      <c r="M153" s="96">
        <f t="shared" si="58"/>
        <v>0</v>
      </c>
      <c r="N153" s="96">
        <f t="shared" si="59"/>
        <v>0</v>
      </c>
      <c r="O153" s="9"/>
    </row>
    <row r="154" spans="1:15" ht="75" customHeight="1" x14ac:dyDescent="0.25">
      <c r="A154" s="493" t="s">
        <v>631</v>
      </c>
      <c r="B154" s="91" t="s">
        <v>732</v>
      </c>
      <c r="C154" s="92"/>
      <c r="D154" s="204"/>
      <c r="E154" s="93" t="s">
        <v>736</v>
      </c>
      <c r="F154" s="94"/>
      <c r="G154" s="6"/>
      <c r="H154" s="7"/>
      <c r="I154" s="95">
        <f t="shared" si="56"/>
        <v>0</v>
      </c>
      <c r="J154" s="95">
        <f t="shared" si="57"/>
        <v>0</v>
      </c>
      <c r="K154" s="7"/>
      <c r="L154" s="9"/>
      <c r="M154" s="96">
        <f t="shared" si="58"/>
        <v>0</v>
      </c>
      <c r="N154" s="96">
        <f t="shared" si="59"/>
        <v>0</v>
      </c>
      <c r="O154" s="9"/>
    </row>
    <row r="155" spans="1:15" ht="60" customHeight="1" x14ac:dyDescent="0.25">
      <c r="A155" s="493" t="s">
        <v>631</v>
      </c>
      <c r="B155" s="91" t="s">
        <v>732</v>
      </c>
      <c r="C155" s="92"/>
      <c r="D155" s="204"/>
      <c r="E155" s="93" t="s">
        <v>737</v>
      </c>
      <c r="F155" s="94"/>
      <c r="G155" s="6"/>
      <c r="H155" s="7"/>
      <c r="I155" s="95">
        <f t="shared" si="56"/>
        <v>0</v>
      </c>
      <c r="J155" s="95">
        <f t="shared" si="57"/>
        <v>0</v>
      </c>
      <c r="K155" s="7"/>
      <c r="L155" s="9"/>
      <c r="M155" s="96">
        <f t="shared" si="58"/>
        <v>0</v>
      </c>
      <c r="N155" s="96">
        <f t="shared" si="59"/>
        <v>0</v>
      </c>
      <c r="O155" s="9"/>
    </row>
    <row r="156" spans="1:15" ht="135" customHeight="1" x14ac:dyDescent="0.25">
      <c r="A156" s="493" t="s">
        <v>631</v>
      </c>
      <c r="B156" s="91" t="s">
        <v>732</v>
      </c>
      <c r="C156" s="92"/>
      <c r="D156" s="204"/>
      <c r="E156" s="93" t="s">
        <v>738</v>
      </c>
      <c r="F156" s="94"/>
      <c r="G156" s="6"/>
      <c r="H156" s="7"/>
      <c r="I156" s="95">
        <f t="shared" si="56"/>
        <v>0</v>
      </c>
      <c r="J156" s="95">
        <f t="shared" si="57"/>
        <v>0</v>
      </c>
      <c r="K156" s="7"/>
      <c r="L156" s="9"/>
      <c r="M156" s="96">
        <f t="shared" si="58"/>
        <v>0</v>
      </c>
      <c r="N156" s="96">
        <f t="shared" si="59"/>
        <v>0</v>
      </c>
      <c r="O156" s="9"/>
    </row>
    <row r="157" spans="1:15" ht="75" customHeight="1" x14ac:dyDescent="0.25">
      <c r="A157" s="493" t="s">
        <v>631</v>
      </c>
      <c r="B157" s="91" t="s">
        <v>732</v>
      </c>
      <c r="C157" s="92"/>
      <c r="D157" s="204"/>
      <c r="E157" s="93" t="s">
        <v>739</v>
      </c>
      <c r="F157" s="94"/>
      <c r="G157" s="6"/>
      <c r="H157" s="7"/>
      <c r="I157" s="95">
        <f t="shared" si="56"/>
        <v>0</v>
      </c>
      <c r="J157" s="95">
        <f t="shared" si="57"/>
        <v>0</v>
      </c>
      <c r="K157" s="7"/>
      <c r="L157" s="9"/>
      <c r="M157" s="96">
        <f t="shared" si="58"/>
        <v>0</v>
      </c>
      <c r="N157" s="96">
        <f t="shared" si="59"/>
        <v>0</v>
      </c>
      <c r="O157" s="9"/>
    </row>
    <row r="158" spans="1:15" ht="15" customHeight="1" x14ac:dyDescent="0.25">
      <c r="A158" s="493" t="s">
        <v>1022</v>
      </c>
      <c r="B158" s="205" t="str">
        <f>+B157</f>
        <v>Sec1/15</v>
      </c>
      <c r="C158" s="97"/>
      <c r="D158" s="205"/>
      <c r="E158" s="98" t="s">
        <v>640</v>
      </c>
      <c r="F158" s="97"/>
      <c r="G158" s="11"/>
      <c r="H158" s="11"/>
      <c r="I158" s="11"/>
      <c r="J158" s="99">
        <f>SUBTOTAL(9,J149:J157)</f>
        <v>0</v>
      </c>
      <c r="K158" s="11"/>
      <c r="L158" s="11"/>
      <c r="M158" s="11"/>
      <c r="N158" s="99">
        <f>SUBTOTAL(9,N149:N157)</f>
        <v>0</v>
      </c>
      <c r="O158" s="11"/>
    </row>
    <row r="159" spans="1:15" ht="15" customHeight="1" x14ac:dyDescent="0.25">
      <c r="A159" s="493" t="s">
        <v>631</v>
      </c>
      <c r="B159" s="91" t="s">
        <v>740</v>
      </c>
      <c r="C159" s="92"/>
      <c r="D159" s="207" t="s">
        <v>1004</v>
      </c>
      <c r="E159" s="208" t="s">
        <v>1747</v>
      </c>
      <c r="F159" s="94"/>
      <c r="G159" s="6"/>
      <c r="H159" s="7"/>
      <c r="I159" s="95">
        <f t="shared" ref="I159:I164" si="60">ROUND(H159*G159,2)</f>
        <v>0</v>
      </c>
      <c r="J159" s="95">
        <f t="shared" ref="J159:J164" si="61">ROUNDUP(I159,0)</f>
        <v>0</v>
      </c>
      <c r="K159" s="7"/>
      <c r="L159" s="9"/>
      <c r="M159" s="96">
        <f t="shared" ref="M159:M164" si="62">ROUND(L159*G159,2)</f>
        <v>0</v>
      </c>
      <c r="N159" s="96">
        <f t="shared" ref="N159:N164" si="63">ROUNDUP(M159,0)</f>
        <v>0</v>
      </c>
      <c r="O159" s="9"/>
    </row>
    <row r="160" spans="1:15" ht="15" customHeight="1" x14ac:dyDescent="0.25">
      <c r="A160" s="493" t="s">
        <v>631</v>
      </c>
      <c r="B160" s="91" t="s">
        <v>740</v>
      </c>
      <c r="C160" s="92"/>
      <c r="D160" s="207">
        <v>21</v>
      </c>
      <c r="E160" s="208" t="s">
        <v>1773</v>
      </c>
      <c r="F160" s="94"/>
      <c r="G160" s="6"/>
      <c r="H160" s="7"/>
      <c r="I160" s="95">
        <f t="shared" si="60"/>
        <v>0</v>
      </c>
      <c r="J160" s="95">
        <f t="shared" si="61"/>
        <v>0</v>
      </c>
      <c r="K160" s="7"/>
      <c r="L160" s="9"/>
      <c r="M160" s="96">
        <f t="shared" si="62"/>
        <v>0</v>
      </c>
      <c r="N160" s="96">
        <f t="shared" si="63"/>
        <v>0</v>
      </c>
      <c r="O160" s="9"/>
    </row>
    <row r="161" spans="1:15" ht="195" customHeight="1" x14ac:dyDescent="0.25">
      <c r="A161" s="493" t="s">
        <v>631</v>
      </c>
      <c r="B161" s="91" t="s">
        <v>740</v>
      </c>
      <c r="C161" s="92"/>
      <c r="D161" s="204"/>
      <c r="E161" s="93" t="s">
        <v>741</v>
      </c>
      <c r="F161" s="94"/>
      <c r="G161" s="6"/>
      <c r="H161" s="7"/>
      <c r="I161" s="95">
        <f t="shared" si="60"/>
        <v>0</v>
      </c>
      <c r="J161" s="95">
        <f t="shared" si="61"/>
        <v>0</v>
      </c>
      <c r="K161" s="7"/>
      <c r="L161" s="9"/>
      <c r="M161" s="96">
        <f t="shared" si="62"/>
        <v>0</v>
      </c>
      <c r="N161" s="96">
        <f t="shared" si="63"/>
        <v>0</v>
      </c>
      <c r="O161" s="9"/>
    </row>
    <row r="162" spans="1:15" ht="105" customHeight="1" x14ac:dyDescent="0.25">
      <c r="A162" s="493" t="s">
        <v>631</v>
      </c>
      <c r="B162" s="91" t="s">
        <v>740</v>
      </c>
      <c r="C162" s="92"/>
      <c r="D162" s="204"/>
      <c r="E162" s="93" t="s">
        <v>742</v>
      </c>
      <c r="F162" s="94"/>
      <c r="G162" s="6"/>
      <c r="H162" s="7"/>
      <c r="I162" s="95">
        <f t="shared" si="60"/>
        <v>0</v>
      </c>
      <c r="J162" s="95">
        <f t="shared" si="61"/>
        <v>0</v>
      </c>
      <c r="K162" s="7"/>
      <c r="L162" s="9"/>
      <c r="M162" s="96">
        <f t="shared" si="62"/>
        <v>0</v>
      </c>
      <c r="N162" s="96">
        <f t="shared" si="63"/>
        <v>0</v>
      </c>
      <c r="O162" s="9"/>
    </row>
    <row r="163" spans="1:15" ht="60" customHeight="1" x14ac:dyDescent="0.25">
      <c r="A163" s="493" t="s">
        <v>631</v>
      </c>
      <c r="B163" s="91" t="s">
        <v>740</v>
      </c>
      <c r="C163" s="92"/>
      <c r="D163" s="204"/>
      <c r="E163" s="93" t="s">
        <v>743</v>
      </c>
      <c r="F163" s="94"/>
      <c r="G163" s="6"/>
      <c r="H163" s="7"/>
      <c r="I163" s="95">
        <f t="shared" si="60"/>
        <v>0</v>
      </c>
      <c r="J163" s="95">
        <f t="shared" si="61"/>
        <v>0</v>
      </c>
      <c r="K163" s="7"/>
      <c r="L163" s="9"/>
      <c r="M163" s="96">
        <f t="shared" si="62"/>
        <v>0</v>
      </c>
      <c r="N163" s="96">
        <f t="shared" si="63"/>
        <v>0</v>
      </c>
      <c r="O163" s="9"/>
    </row>
    <row r="164" spans="1:15" ht="90" customHeight="1" x14ac:dyDescent="0.25">
      <c r="A164" s="493" t="s">
        <v>631</v>
      </c>
      <c r="B164" s="91" t="s">
        <v>740</v>
      </c>
      <c r="C164" s="92"/>
      <c r="D164" s="204"/>
      <c r="E164" s="93" t="s">
        <v>744</v>
      </c>
      <c r="F164" s="94"/>
      <c r="G164" s="6"/>
      <c r="H164" s="7"/>
      <c r="I164" s="95">
        <f t="shared" si="60"/>
        <v>0</v>
      </c>
      <c r="J164" s="95">
        <f t="shared" si="61"/>
        <v>0</v>
      </c>
      <c r="K164" s="7"/>
      <c r="L164" s="9"/>
      <c r="M164" s="96">
        <f t="shared" si="62"/>
        <v>0</v>
      </c>
      <c r="N164" s="96">
        <f t="shared" si="63"/>
        <v>0</v>
      </c>
      <c r="O164" s="9"/>
    </row>
    <row r="165" spans="1:15" ht="15" customHeight="1" x14ac:dyDescent="0.25">
      <c r="A165" s="493" t="s">
        <v>1022</v>
      </c>
      <c r="B165" s="205" t="str">
        <f>+B164</f>
        <v>Sec1/16</v>
      </c>
      <c r="C165" s="97"/>
      <c r="D165" s="205"/>
      <c r="E165" s="98" t="s">
        <v>640</v>
      </c>
      <c r="F165" s="97"/>
      <c r="G165" s="11"/>
      <c r="H165" s="11"/>
      <c r="I165" s="11"/>
      <c r="J165" s="99">
        <f>SUBTOTAL(9,J159:J164)</f>
        <v>0</v>
      </c>
      <c r="K165" s="11"/>
      <c r="L165" s="11"/>
      <c r="M165" s="11"/>
      <c r="N165" s="99">
        <f>SUBTOTAL(9,N159:N164)</f>
        <v>0</v>
      </c>
      <c r="O165" s="11"/>
    </row>
    <row r="166" spans="1:15" ht="15" customHeight="1" x14ac:dyDescent="0.25">
      <c r="A166" s="493" t="s">
        <v>631</v>
      </c>
      <c r="B166" s="91" t="s">
        <v>745</v>
      </c>
      <c r="C166" s="92"/>
      <c r="D166" s="207" t="s">
        <v>1004</v>
      </c>
      <c r="E166" s="208" t="s">
        <v>1747</v>
      </c>
      <c r="F166" s="94"/>
      <c r="G166" s="6"/>
      <c r="H166" s="7"/>
      <c r="I166" s="95">
        <f t="shared" ref="I166:I173" si="64">ROUND(H166*G166,2)</f>
        <v>0</v>
      </c>
      <c r="J166" s="95">
        <f t="shared" ref="J166:J173" si="65">ROUNDUP(I166,0)</f>
        <v>0</v>
      </c>
      <c r="K166" s="7"/>
      <c r="L166" s="9"/>
      <c r="M166" s="96">
        <f t="shared" ref="M166:M173" si="66">ROUND(L166*G166,2)</f>
        <v>0</v>
      </c>
      <c r="N166" s="96">
        <f t="shared" ref="N166:N173" si="67">ROUNDUP(M166,0)</f>
        <v>0</v>
      </c>
      <c r="O166" s="9"/>
    </row>
    <row r="167" spans="1:15" ht="15" customHeight="1" x14ac:dyDescent="0.25">
      <c r="A167" s="493" t="s">
        <v>631</v>
      </c>
      <c r="B167" s="91" t="s">
        <v>745</v>
      </c>
      <c r="C167" s="92"/>
      <c r="D167" s="207">
        <v>22</v>
      </c>
      <c r="E167" s="208" t="s">
        <v>1774</v>
      </c>
      <c r="F167" s="94"/>
      <c r="G167" s="6"/>
      <c r="H167" s="7"/>
      <c r="I167" s="95">
        <f t="shared" si="64"/>
        <v>0</v>
      </c>
      <c r="J167" s="95">
        <f t="shared" si="65"/>
        <v>0</v>
      </c>
      <c r="K167" s="7"/>
      <c r="L167" s="9"/>
      <c r="M167" s="96">
        <f t="shared" si="66"/>
        <v>0</v>
      </c>
      <c r="N167" s="96">
        <f t="shared" si="67"/>
        <v>0</v>
      </c>
      <c r="O167" s="9"/>
    </row>
    <row r="168" spans="1:15" ht="30" customHeight="1" x14ac:dyDescent="0.25">
      <c r="A168" s="493" t="s">
        <v>631</v>
      </c>
      <c r="B168" s="91" t="s">
        <v>745</v>
      </c>
      <c r="C168" s="92"/>
      <c r="D168" s="204"/>
      <c r="E168" s="93" t="s">
        <v>746</v>
      </c>
      <c r="F168" s="94"/>
      <c r="G168" s="6"/>
      <c r="H168" s="7"/>
      <c r="I168" s="95">
        <f t="shared" si="64"/>
        <v>0</v>
      </c>
      <c r="J168" s="95">
        <f t="shared" si="65"/>
        <v>0</v>
      </c>
      <c r="K168" s="7"/>
      <c r="L168" s="9"/>
      <c r="M168" s="96">
        <f t="shared" si="66"/>
        <v>0</v>
      </c>
      <c r="N168" s="96">
        <f t="shared" si="67"/>
        <v>0</v>
      </c>
      <c r="O168" s="9"/>
    </row>
    <row r="169" spans="1:15" ht="45" customHeight="1" x14ac:dyDescent="0.25">
      <c r="A169" s="493" t="s">
        <v>631</v>
      </c>
      <c r="B169" s="91" t="s">
        <v>745</v>
      </c>
      <c r="C169" s="92"/>
      <c r="D169" s="204"/>
      <c r="E169" s="93" t="s">
        <v>747</v>
      </c>
      <c r="F169" s="94"/>
      <c r="G169" s="6"/>
      <c r="H169" s="7"/>
      <c r="I169" s="95">
        <f t="shared" si="64"/>
        <v>0</v>
      </c>
      <c r="J169" s="95">
        <f t="shared" si="65"/>
        <v>0</v>
      </c>
      <c r="K169" s="7"/>
      <c r="L169" s="9"/>
      <c r="M169" s="96">
        <f t="shared" si="66"/>
        <v>0</v>
      </c>
      <c r="N169" s="96">
        <f t="shared" si="67"/>
        <v>0</v>
      </c>
      <c r="O169" s="9"/>
    </row>
    <row r="170" spans="1:15" ht="90" customHeight="1" x14ac:dyDescent="0.25">
      <c r="A170" s="493" t="s">
        <v>631</v>
      </c>
      <c r="B170" s="91" t="s">
        <v>745</v>
      </c>
      <c r="C170" s="92"/>
      <c r="D170" s="204"/>
      <c r="E170" s="93" t="s">
        <v>748</v>
      </c>
      <c r="F170" s="94"/>
      <c r="G170" s="6"/>
      <c r="H170" s="7"/>
      <c r="I170" s="95">
        <f t="shared" si="64"/>
        <v>0</v>
      </c>
      <c r="J170" s="95">
        <f t="shared" si="65"/>
        <v>0</v>
      </c>
      <c r="K170" s="7"/>
      <c r="L170" s="9"/>
      <c r="M170" s="96">
        <f t="shared" si="66"/>
        <v>0</v>
      </c>
      <c r="N170" s="96">
        <f t="shared" si="67"/>
        <v>0</v>
      </c>
      <c r="O170" s="9"/>
    </row>
    <row r="171" spans="1:15" ht="30" customHeight="1" x14ac:dyDescent="0.25">
      <c r="A171" s="493" t="s">
        <v>631</v>
      </c>
      <c r="B171" s="91" t="s">
        <v>745</v>
      </c>
      <c r="C171" s="92"/>
      <c r="D171" s="204"/>
      <c r="E171" s="93" t="s">
        <v>749</v>
      </c>
      <c r="F171" s="94"/>
      <c r="G171" s="6"/>
      <c r="H171" s="7"/>
      <c r="I171" s="95">
        <f t="shared" si="64"/>
        <v>0</v>
      </c>
      <c r="J171" s="95">
        <f t="shared" si="65"/>
        <v>0</v>
      </c>
      <c r="K171" s="7"/>
      <c r="L171" s="9"/>
      <c r="M171" s="96">
        <f t="shared" si="66"/>
        <v>0</v>
      </c>
      <c r="N171" s="96">
        <f t="shared" si="67"/>
        <v>0</v>
      </c>
      <c r="O171" s="9"/>
    </row>
    <row r="172" spans="1:15" ht="75" customHeight="1" x14ac:dyDescent="0.25">
      <c r="A172" s="493" t="s">
        <v>631</v>
      </c>
      <c r="B172" s="91" t="s">
        <v>745</v>
      </c>
      <c r="C172" s="92"/>
      <c r="D172" s="204"/>
      <c r="E172" s="93" t="s">
        <v>750</v>
      </c>
      <c r="F172" s="94"/>
      <c r="G172" s="6"/>
      <c r="H172" s="7"/>
      <c r="I172" s="95">
        <f t="shared" si="64"/>
        <v>0</v>
      </c>
      <c r="J172" s="95">
        <f t="shared" si="65"/>
        <v>0</v>
      </c>
      <c r="K172" s="7"/>
      <c r="L172" s="9"/>
      <c r="M172" s="96">
        <f t="shared" si="66"/>
        <v>0</v>
      </c>
      <c r="N172" s="96">
        <f t="shared" si="67"/>
        <v>0</v>
      </c>
      <c r="O172" s="9"/>
    </row>
    <row r="173" spans="1:15" ht="225" customHeight="1" x14ac:dyDescent="0.25">
      <c r="A173" s="493" t="s">
        <v>631</v>
      </c>
      <c r="B173" s="91" t="s">
        <v>745</v>
      </c>
      <c r="C173" s="92"/>
      <c r="D173" s="204"/>
      <c r="E173" s="93" t="s">
        <v>751</v>
      </c>
      <c r="F173" s="94"/>
      <c r="G173" s="6"/>
      <c r="H173" s="7"/>
      <c r="I173" s="95">
        <f t="shared" si="64"/>
        <v>0</v>
      </c>
      <c r="J173" s="95">
        <f t="shared" si="65"/>
        <v>0</v>
      </c>
      <c r="K173" s="7"/>
      <c r="L173" s="9"/>
      <c r="M173" s="96">
        <f t="shared" si="66"/>
        <v>0</v>
      </c>
      <c r="N173" s="96">
        <f t="shared" si="67"/>
        <v>0</v>
      </c>
      <c r="O173" s="9"/>
    </row>
    <row r="174" spans="1:15" ht="15" customHeight="1" x14ac:dyDescent="0.25">
      <c r="A174" s="493" t="s">
        <v>1022</v>
      </c>
      <c r="B174" s="205" t="str">
        <f>+B173</f>
        <v>Sec1/17</v>
      </c>
      <c r="C174" s="97"/>
      <c r="D174" s="205"/>
      <c r="E174" s="98" t="s">
        <v>640</v>
      </c>
      <c r="F174" s="97"/>
      <c r="G174" s="11"/>
      <c r="H174" s="11"/>
      <c r="I174" s="11"/>
      <c r="J174" s="99">
        <f>SUBTOTAL(9,J166:J173)</f>
        <v>0</v>
      </c>
      <c r="K174" s="11"/>
      <c r="L174" s="11"/>
      <c r="M174" s="11"/>
      <c r="N174" s="99">
        <f>SUBTOTAL(9,N166:N173)</f>
        <v>0</v>
      </c>
      <c r="O174" s="11"/>
    </row>
    <row r="175" spans="1:15" ht="15" customHeight="1" x14ac:dyDescent="0.25">
      <c r="A175" s="493" t="s">
        <v>631</v>
      </c>
      <c r="B175" s="91" t="s">
        <v>752</v>
      </c>
      <c r="C175" s="92"/>
      <c r="D175" s="207" t="s">
        <v>1004</v>
      </c>
      <c r="E175" s="208" t="s">
        <v>1747</v>
      </c>
      <c r="F175" s="94"/>
      <c r="G175" s="6"/>
      <c r="H175" s="7"/>
      <c r="I175" s="95">
        <f t="shared" ref="I175:I185" si="68">ROUND(H175*G175,2)</f>
        <v>0</v>
      </c>
      <c r="J175" s="95">
        <f t="shared" ref="J175:J185" si="69">ROUNDUP(I175,0)</f>
        <v>0</v>
      </c>
      <c r="K175" s="7"/>
      <c r="L175" s="9"/>
      <c r="M175" s="96">
        <f t="shared" ref="M175:M185" si="70">ROUND(L175*G175,2)</f>
        <v>0</v>
      </c>
      <c r="N175" s="96">
        <f t="shared" ref="N175:N185" si="71">ROUNDUP(M175,0)</f>
        <v>0</v>
      </c>
      <c r="O175" s="9"/>
    </row>
    <row r="176" spans="1:15" ht="15" customHeight="1" x14ac:dyDescent="0.25">
      <c r="A176" s="493" t="s">
        <v>631</v>
      </c>
      <c r="B176" s="91" t="s">
        <v>752</v>
      </c>
      <c r="C176" s="92"/>
      <c r="D176" s="207">
        <v>23</v>
      </c>
      <c r="E176" s="208" t="s">
        <v>1775</v>
      </c>
      <c r="F176" s="94"/>
      <c r="G176" s="6"/>
      <c r="H176" s="7"/>
      <c r="I176" s="95">
        <f t="shared" si="68"/>
        <v>0</v>
      </c>
      <c r="J176" s="95">
        <f t="shared" si="69"/>
        <v>0</v>
      </c>
      <c r="K176" s="7"/>
      <c r="L176" s="9"/>
      <c r="M176" s="96">
        <f t="shared" si="70"/>
        <v>0</v>
      </c>
      <c r="N176" s="96">
        <f t="shared" si="71"/>
        <v>0</v>
      </c>
      <c r="O176" s="9"/>
    </row>
    <row r="177" spans="1:15" ht="15" customHeight="1" x14ac:dyDescent="0.25">
      <c r="A177" s="493" t="s">
        <v>631</v>
      </c>
      <c r="B177" s="91" t="s">
        <v>752</v>
      </c>
      <c r="C177" s="92"/>
      <c r="D177" s="207">
        <v>24</v>
      </c>
      <c r="E177" s="208" t="s">
        <v>1775</v>
      </c>
      <c r="F177" s="94"/>
      <c r="G177" s="6"/>
      <c r="H177" s="7"/>
      <c r="I177" s="95">
        <f t="shared" si="68"/>
        <v>0</v>
      </c>
      <c r="J177" s="95">
        <f t="shared" si="69"/>
        <v>0</v>
      </c>
      <c r="K177" s="7"/>
      <c r="L177" s="9"/>
      <c r="M177" s="96">
        <f t="shared" si="70"/>
        <v>0</v>
      </c>
      <c r="N177" s="96">
        <f t="shared" si="71"/>
        <v>0</v>
      </c>
      <c r="O177" s="9"/>
    </row>
    <row r="178" spans="1:15" ht="15" customHeight="1" x14ac:dyDescent="0.25">
      <c r="A178" s="493" t="s">
        <v>631</v>
      </c>
      <c r="B178" s="91" t="s">
        <v>752</v>
      </c>
      <c r="C178" s="92"/>
      <c r="D178" s="207">
        <v>25</v>
      </c>
      <c r="E178" s="208" t="s">
        <v>1776</v>
      </c>
      <c r="F178" s="94"/>
      <c r="G178" s="6"/>
      <c r="H178" s="7"/>
      <c r="I178" s="95">
        <f t="shared" si="68"/>
        <v>0</v>
      </c>
      <c r="J178" s="95">
        <f t="shared" si="69"/>
        <v>0</v>
      </c>
      <c r="K178" s="7"/>
      <c r="L178" s="9"/>
      <c r="M178" s="96">
        <f t="shared" si="70"/>
        <v>0</v>
      </c>
      <c r="N178" s="96">
        <f t="shared" si="71"/>
        <v>0</v>
      </c>
      <c r="O178" s="9"/>
    </row>
    <row r="179" spans="1:15" ht="150" customHeight="1" x14ac:dyDescent="0.25">
      <c r="A179" s="493" t="s">
        <v>631</v>
      </c>
      <c r="B179" s="91" t="s">
        <v>752</v>
      </c>
      <c r="C179" s="92"/>
      <c r="D179" s="204"/>
      <c r="E179" s="93" t="s">
        <v>753</v>
      </c>
      <c r="F179" s="94"/>
      <c r="G179" s="6"/>
      <c r="H179" s="7"/>
      <c r="I179" s="95">
        <f t="shared" si="68"/>
        <v>0</v>
      </c>
      <c r="J179" s="95">
        <f t="shared" si="69"/>
        <v>0</v>
      </c>
      <c r="K179" s="7"/>
      <c r="L179" s="9"/>
      <c r="M179" s="96">
        <f t="shared" si="70"/>
        <v>0</v>
      </c>
      <c r="N179" s="96">
        <f t="shared" si="71"/>
        <v>0</v>
      </c>
      <c r="O179" s="9"/>
    </row>
    <row r="180" spans="1:15" ht="15" customHeight="1" x14ac:dyDescent="0.25">
      <c r="A180" s="493" t="s">
        <v>631</v>
      </c>
      <c r="B180" s="91" t="s">
        <v>752</v>
      </c>
      <c r="C180" s="92"/>
      <c r="D180" s="204"/>
      <c r="E180" s="93" t="s">
        <v>754</v>
      </c>
      <c r="F180" s="94"/>
      <c r="G180" s="6"/>
      <c r="H180" s="7"/>
      <c r="I180" s="95">
        <f t="shared" si="68"/>
        <v>0</v>
      </c>
      <c r="J180" s="95">
        <f t="shared" si="69"/>
        <v>0</v>
      </c>
      <c r="K180" s="7"/>
      <c r="L180" s="9"/>
      <c r="M180" s="96">
        <f t="shared" si="70"/>
        <v>0</v>
      </c>
      <c r="N180" s="96">
        <f t="shared" si="71"/>
        <v>0</v>
      </c>
      <c r="O180" s="9"/>
    </row>
    <row r="181" spans="1:15" ht="60" customHeight="1" x14ac:dyDescent="0.25">
      <c r="A181" s="493" t="s">
        <v>631</v>
      </c>
      <c r="B181" s="91" t="s">
        <v>752</v>
      </c>
      <c r="C181" s="92"/>
      <c r="D181" s="204"/>
      <c r="E181" s="93" t="s">
        <v>755</v>
      </c>
      <c r="F181" s="94"/>
      <c r="G181" s="6"/>
      <c r="H181" s="7"/>
      <c r="I181" s="95">
        <f t="shared" si="68"/>
        <v>0</v>
      </c>
      <c r="J181" s="95">
        <f t="shared" si="69"/>
        <v>0</v>
      </c>
      <c r="K181" s="7"/>
      <c r="L181" s="9"/>
      <c r="M181" s="96">
        <f t="shared" si="70"/>
        <v>0</v>
      </c>
      <c r="N181" s="96">
        <f t="shared" si="71"/>
        <v>0</v>
      </c>
      <c r="O181" s="9"/>
    </row>
    <row r="182" spans="1:15" ht="60" customHeight="1" x14ac:dyDescent="0.25">
      <c r="A182" s="493" t="s">
        <v>631</v>
      </c>
      <c r="B182" s="91" t="s">
        <v>752</v>
      </c>
      <c r="C182" s="92"/>
      <c r="D182" s="204"/>
      <c r="E182" s="93" t="s">
        <v>756</v>
      </c>
      <c r="F182" s="94"/>
      <c r="G182" s="6"/>
      <c r="H182" s="7"/>
      <c r="I182" s="95">
        <f t="shared" si="68"/>
        <v>0</v>
      </c>
      <c r="J182" s="95">
        <f t="shared" si="69"/>
        <v>0</v>
      </c>
      <c r="K182" s="7"/>
      <c r="L182" s="9"/>
      <c r="M182" s="96">
        <f t="shared" si="70"/>
        <v>0</v>
      </c>
      <c r="N182" s="96">
        <f t="shared" si="71"/>
        <v>0</v>
      </c>
      <c r="O182" s="9"/>
    </row>
    <row r="183" spans="1:15" ht="30" customHeight="1" x14ac:dyDescent="0.25">
      <c r="A183" s="493" t="s">
        <v>631</v>
      </c>
      <c r="B183" s="91" t="s">
        <v>752</v>
      </c>
      <c r="C183" s="92"/>
      <c r="D183" s="204"/>
      <c r="E183" s="93" t="s">
        <v>757</v>
      </c>
      <c r="F183" s="94"/>
      <c r="G183" s="6"/>
      <c r="H183" s="7"/>
      <c r="I183" s="95">
        <f t="shared" si="68"/>
        <v>0</v>
      </c>
      <c r="J183" s="95">
        <f t="shared" si="69"/>
        <v>0</v>
      </c>
      <c r="K183" s="7"/>
      <c r="L183" s="9"/>
      <c r="M183" s="96">
        <f t="shared" si="70"/>
        <v>0</v>
      </c>
      <c r="N183" s="96">
        <f t="shared" si="71"/>
        <v>0</v>
      </c>
      <c r="O183" s="9"/>
    </row>
    <row r="184" spans="1:15" ht="15" customHeight="1" x14ac:dyDescent="0.25">
      <c r="A184" s="493" t="s">
        <v>631</v>
      </c>
      <c r="B184" s="91" t="s">
        <v>752</v>
      </c>
      <c r="C184" s="92"/>
      <c r="D184" s="207">
        <v>26</v>
      </c>
      <c r="E184" s="208" t="s">
        <v>1775</v>
      </c>
      <c r="F184" s="94"/>
      <c r="G184" s="6"/>
      <c r="H184" s="7"/>
      <c r="I184" s="95">
        <f t="shared" si="68"/>
        <v>0</v>
      </c>
      <c r="J184" s="95">
        <f t="shared" si="69"/>
        <v>0</v>
      </c>
      <c r="K184" s="7"/>
      <c r="L184" s="9"/>
      <c r="M184" s="96">
        <f t="shared" si="70"/>
        <v>0</v>
      </c>
      <c r="N184" s="96">
        <f t="shared" si="71"/>
        <v>0</v>
      </c>
      <c r="O184" s="9"/>
    </row>
    <row r="185" spans="1:15" ht="15" customHeight="1" x14ac:dyDescent="0.25">
      <c r="A185" s="493" t="s">
        <v>631</v>
      </c>
      <c r="B185" s="91" t="s">
        <v>752</v>
      </c>
      <c r="C185" s="92"/>
      <c r="D185" s="207">
        <v>27</v>
      </c>
      <c r="E185" s="208" t="s">
        <v>1775</v>
      </c>
      <c r="F185" s="94"/>
      <c r="G185" s="6"/>
      <c r="H185" s="7"/>
      <c r="I185" s="95">
        <f t="shared" si="68"/>
        <v>0</v>
      </c>
      <c r="J185" s="95">
        <f t="shared" si="69"/>
        <v>0</v>
      </c>
      <c r="K185" s="7"/>
      <c r="L185" s="9"/>
      <c r="M185" s="96">
        <f t="shared" si="70"/>
        <v>0</v>
      </c>
      <c r="N185" s="96">
        <f t="shared" si="71"/>
        <v>0</v>
      </c>
      <c r="O185" s="9"/>
    </row>
    <row r="186" spans="1:15" ht="15" customHeight="1" x14ac:dyDescent="0.25">
      <c r="A186" s="493" t="s">
        <v>1022</v>
      </c>
      <c r="B186" s="205" t="str">
        <f>+B185</f>
        <v>Sec1/18</v>
      </c>
      <c r="C186" s="97"/>
      <c r="D186" s="205"/>
      <c r="E186" s="98" t="s">
        <v>640</v>
      </c>
      <c r="F186" s="97"/>
      <c r="G186" s="11"/>
      <c r="H186" s="11"/>
      <c r="I186" s="11"/>
      <c r="J186" s="99">
        <f>SUBTOTAL(9,J175:J185)</f>
        <v>0</v>
      </c>
      <c r="K186" s="11"/>
      <c r="L186" s="11"/>
      <c r="M186" s="11"/>
      <c r="N186" s="99">
        <f>SUBTOTAL(9,N175:N185)</f>
        <v>0</v>
      </c>
      <c r="O186" s="11"/>
    </row>
    <row r="187" spans="1:15" ht="15" customHeight="1" x14ac:dyDescent="0.25">
      <c r="A187" s="493" t="s">
        <v>631</v>
      </c>
      <c r="B187" s="91" t="s">
        <v>758</v>
      </c>
      <c r="C187" s="92"/>
      <c r="D187" s="207" t="s">
        <v>1004</v>
      </c>
      <c r="E187" s="208" t="s">
        <v>1747</v>
      </c>
      <c r="F187" s="94"/>
      <c r="G187" s="6"/>
      <c r="H187" s="7"/>
      <c r="I187" s="95">
        <f t="shared" ref="I187:I194" si="72">ROUND(H187*G187,2)</f>
        <v>0</v>
      </c>
      <c r="J187" s="95">
        <f t="shared" ref="J187:J194" si="73">ROUNDUP(I187,0)</f>
        <v>0</v>
      </c>
      <c r="K187" s="7"/>
      <c r="L187" s="9"/>
      <c r="M187" s="96">
        <f t="shared" ref="M187:M194" si="74">ROUND(L187*G187,2)</f>
        <v>0</v>
      </c>
      <c r="N187" s="96">
        <f t="shared" ref="N187:N194" si="75">ROUNDUP(M187,0)</f>
        <v>0</v>
      </c>
      <c r="O187" s="9"/>
    </row>
    <row r="188" spans="1:15" ht="15" customHeight="1" x14ac:dyDescent="0.25">
      <c r="A188" s="493" t="s">
        <v>631</v>
      </c>
      <c r="B188" s="91" t="s">
        <v>758</v>
      </c>
      <c r="C188" s="92"/>
      <c r="D188" s="207">
        <v>28</v>
      </c>
      <c r="E188" s="208" t="s">
        <v>1777</v>
      </c>
      <c r="F188" s="94"/>
      <c r="G188" s="6"/>
      <c r="H188" s="7"/>
      <c r="I188" s="95">
        <f t="shared" si="72"/>
        <v>0</v>
      </c>
      <c r="J188" s="95">
        <f t="shared" si="73"/>
        <v>0</v>
      </c>
      <c r="K188" s="7"/>
      <c r="L188" s="9"/>
      <c r="M188" s="96">
        <f t="shared" si="74"/>
        <v>0</v>
      </c>
      <c r="N188" s="96">
        <f t="shared" si="75"/>
        <v>0</v>
      </c>
      <c r="O188" s="9"/>
    </row>
    <row r="189" spans="1:15" ht="75" customHeight="1" x14ac:dyDescent="0.25">
      <c r="A189" s="493" t="s">
        <v>631</v>
      </c>
      <c r="B189" s="91" t="s">
        <v>758</v>
      </c>
      <c r="C189" s="92"/>
      <c r="D189" s="204"/>
      <c r="E189" s="93" t="s">
        <v>759</v>
      </c>
      <c r="F189" s="94"/>
      <c r="G189" s="6"/>
      <c r="H189" s="7"/>
      <c r="I189" s="95">
        <f t="shared" si="72"/>
        <v>0</v>
      </c>
      <c r="J189" s="95">
        <f t="shared" si="73"/>
        <v>0</v>
      </c>
      <c r="K189" s="7"/>
      <c r="L189" s="9"/>
      <c r="M189" s="96">
        <f t="shared" si="74"/>
        <v>0</v>
      </c>
      <c r="N189" s="96">
        <f t="shared" si="75"/>
        <v>0</v>
      </c>
      <c r="O189" s="9"/>
    </row>
    <row r="190" spans="1:15" ht="45" customHeight="1" x14ac:dyDescent="0.25">
      <c r="A190" s="493" t="s">
        <v>631</v>
      </c>
      <c r="B190" s="91" t="s">
        <v>758</v>
      </c>
      <c r="C190" s="92"/>
      <c r="D190" s="204"/>
      <c r="E190" s="93" t="s">
        <v>760</v>
      </c>
      <c r="F190" s="94"/>
      <c r="G190" s="6"/>
      <c r="H190" s="7"/>
      <c r="I190" s="95">
        <f t="shared" si="72"/>
        <v>0</v>
      </c>
      <c r="J190" s="95">
        <f t="shared" si="73"/>
        <v>0</v>
      </c>
      <c r="K190" s="7"/>
      <c r="L190" s="9"/>
      <c r="M190" s="96">
        <f t="shared" si="74"/>
        <v>0</v>
      </c>
      <c r="N190" s="96">
        <f t="shared" si="75"/>
        <v>0</v>
      </c>
      <c r="O190" s="9"/>
    </row>
    <row r="191" spans="1:15" ht="232.5" customHeight="1" x14ac:dyDescent="0.25">
      <c r="A191" s="493" t="s">
        <v>631</v>
      </c>
      <c r="B191" s="91" t="s">
        <v>758</v>
      </c>
      <c r="C191" s="92"/>
      <c r="D191" s="204"/>
      <c r="E191" s="93" t="s">
        <v>1778</v>
      </c>
      <c r="F191" s="94"/>
      <c r="G191" s="6"/>
      <c r="H191" s="7"/>
      <c r="I191" s="95">
        <f t="shared" si="72"/>
        <v>0</v>
      </c>
      <c r="J191" s="95">
        <f t="shared" si="73"/>
        <v>0</v>
      </c>
      <c r="K191" s="7"/>
      <c r="L191" s="9"/>
      <c r="M191" s="96">
        <f t="shared" si="74"/>
        <v>0</v>
      </c>
      <c r="N191" s="96">
        <f t="shared" si="75"/>
        <v>0</v>
      </c>
      <c r="O191" s="9"/>
    </row>
    <row r="192" spans="1:15" ht="15" customHeight="1" x14ac:dyDescent="0.25">
      <c r="A192" s="493" t="s">
        <v>631</v>
      </c>
      <c r="B192" s="91" t="s">
        <v>758</v>
      </c>
      <c r="C192" s="92"/>
      <c r="D192" s="204">
        <v>29</v>
      </c>
      <c r="E192" s="208" t="s">
        <v>1779</v>
      </c>
      <c r="F192" s="94"/>
      <c r="G192" s="6"/>
      <c r="H192" s="7"/>
      <c r="I192" s="95">
        <f t="shared" si="72"/>
        <v>0</v>
      </c>
      <c r="J192" s="95">
        <f t="shared" si="73"/>
        <v>0</v>
      </c>
      <c r="K192" s="7"/>
      <c r="L192" s="9"/>
      <c r="M192" s="96">
        <f t="shared" si="74"/>
        <v>0</v>
      </c>
      <c r="N192" s="96">
        <f t="shared" si="75"/>
        <v>0</v>
      </c>
      <c r="O192" s="9"/>
    </row>
    <row r="193" spans="1:15" ht="15" customHeight="1" x14ac:dyDescent="0.25">
      <c r="A193" s="493" t="s">
        <v>631</v>
      </c>
      <c r="B193" s="91" t="s">
        <v>758</v>
      </c>
      <c r="C193" s="92"/>
      <c r="D193" s="204"/>
      <c r="E193" s="208" t="s">
        <v>761</v>
      </c>
      <c r="F193" s="94"/>
      <c r="G193" s="6"/>
      <c r="H193" s="7"/>
      <c r="I193" s="95">
        <f t="shared" si="72"/>
        <v>0</v>
      </c>
      <c r="J193" s="95">
        <f t="shared" si="73"/>
        <v>0</v>
      </c>
      <c r="K193" s="7"/>
      <c r="L193" s="9"/>
      <c r="M193" s="96">
        <f t="shared" si="74"/>
        <v>0</v>
      </c>
      <c r="N193" s="96">
        <f t="shared" si="75"/>
        <v>0</v>
      </c>
      <c r="O193" s="9"/>
    </row>
    <row r="194" spans="1:15" ht="300" customHeight="1" x14ac:dyDescent="0.25">
      <c r="A194" s="493" t="s">
        <v>631</v>
      </c>
      <c r="B194" s="91" t="s">
        <v>758</v>
      </c>
      <c r="C194" s="92"/>
      <c r="D194" s="204"/>
      <c r="E194" s="93" t="s">
        <v>762</v>
      </c>
      <c r="F194" s="94"/>
      <c r="G194" s="6"/>
      <c r="H194" s="7"/>
      <c r="I194" s="95">
        <f t="shared" si="72"/>
        <v>0</v>
      </c>
      <c r="J194" s="95">
        <f t="shared" si="73"/>
        <v>0</v>
      </c>
      <c r="K194" s="7"/>
      <c r="L194" s="9"/>
      <c r="M194" s="96">
        <f t="shared" si="74"/>
        <v>0</v>
      </c>
      <c r="N194" s="96">
        <f t="shared" si="75"/>
        <v>0</v>
      </c>
      <c r="O194" s="9"/>
    </row>
    <row r="195" spans="1:15" ht="15" customHeight="1" x14ac:dyDescent="0.25">
      <c r="A195" s="493" t="s">
        <v>1022</v>
      </c>
      <c r="B195" s="205" t="str">
        <f>+B194</f>
        <v>Sec1/19</v>
      </c>
      <c r="C195" s="97"/>
      <c r="D195" s="205"/>
      <c r="E195" s="98" t="s">
        <v>640</v>
      </c>
      <c r="F195" s="97"/>
      <c r="G195" s="11"/>
      <c r="H195" s="11"/>
      <c r="I195" s="11"/>
      <c r="J195" s="99">
        <f>SUBTOTAL(9,J187:J194)</f>
        <v>0</v>
      </c>
      <c r="K195" s="11"/>
      <c r="L195" s="11"/>
      <c r="M195" s="11"/>
      <c r="N195" s="99">
        <f>SUBTOTAL(9,N187:N194)</f>
        <v>0</v>
      </c>
      <c r="O195" s="11"/>
    </row>
    <row r="196" spans="1:15" ht="15" customHeight="1" x14ac:dyDescent="0.25">
      <c r="A196" s="493" t="s">
        <v>631</v>
      </c>
      <c r="B196" s="91" t="s">
        <v>763</v>
      </c>
      <c r="C196" s="92"/>
      <c r="D196" s="207" t="s">
        <v>1004</v>
      </c>
      <c r="E196" s="208" t="s">
        <v>642</v>
      </c>
      <c r="F196" s="94"/>
      <c r="G196" s="6"/>
      <c r="H196" s="7"/>
      <c r="I196" s="95">
        <f t="shared" ref="I196:I203" si="76">ROUND(H196*G196,2)</f>
        <v>0</v>
      </c>
      <c r="J196" s="95">
        <f t="shared" ref="J196:J203" si="77">ROUNDUP(I196,0)</f>
        <v>0</v>
      </c>
      <c r="K196" s="7"/>
      <c r="L196" s="9"/>
      <c r="M196" s="96">
        <f t="shared" ref="M196:M203" si="78">ROUND(L196*G196,2)</f>
        <v>0</v>
      </c>
      <c r="N196" s="96">
        <f t="shared" ref="N196:N203" si="79">ROUNDUP(M196,0)</f>
        <v>0</v>
      </c>
      <c r="O196" s="9"/>
    </row>
    <row r="197" spans="1:15" ht="15" customHeight="1" x14ac:dyDescent="0.25">
      <c r="A197" s="493" t="s">
        <v>631</v>
      </c>
      <c r="B197" s="91" t="s">
        <v>763</v>
      </c>
      <c r="C197" s="92"/>
      <c r="D197" s="207">
        <v>29</v>
      </c>
      <c r="E197" s="208" t="s">
        <v>1779</v>
      </c>
      <c r="F197" s="94"/>
      <c r="G197" s="6"/>
      <c r="H197" s="7"/>
      <c r="I197" s="95">
        <f t="shared" si="76"/>
        <v>0</v>
      </c>
      <c r="J197" s="95">
        <f t="shared" si="77"/>
        <v>0</v>
      </c>
      <c r="K197" s="7"/>
      <c r="L197" s="9"/>
      <c r="M197" s="96">
        <f t="shared" si="78"/>
        <v>0</v>
      </c>
      <c r="N197" s="96">
        <f t="shared" si="79"/>
        <v>0</v>
      </c>
      <c r="O197" s="9"/>
    </row>
    <row r="198" spans="1:15" ht="15" customHeight="1" x14ac:dyDescent="0.25">
      <c r="A198" s="493" t="s">
        <v>631</v>
      </c>
      <c r="B198" s="91" t="s">
        <v>763</v>
      </c>
      <c r="C198" s="92"/>
      <c r="D198" s="204"/>
      <c r="E198" s="208" t="s">
        <v>764</v>
      </c>
      <c r="F198" s="94"/>
      <c r="G198" s="6"/>
      <c r="H198" s="7"/>
      <c r="I198" s="95">
        <f t="shared" si="76"/>
        <v>0</v>
      </c>
      <c r="J198" s="95">
        <f t="shared" si="77"/>
        <v>0</v>
      </c>
      <c r="K198" s="7"/>
      <c r="L198" s="9"/>
      <c r="M198" s="96">
        <f t="shared" si="78"/>
        <v>0</v>
      </c>
      <c r="N198" s="96">
        <f t="shared" si="79"/>
        <v>0</v>
      </c>
      <c r="O198" s="9"/>
    </row>
    <row r="199" spans="1:15" ht="105" customHeight="1" x14ac:dyDescent="0.25">
      <c r="A199" s="493" t="s">
        <v>631</v>
      </c>
      <c r="B199" s="91" t="s">
        <v>763</v>
      </c>
      <c r="C199" s="92"/>
      <c r="D199" s="204"/>
      <c r="E199" s="93" t="s">
        <v>765</v>
      </c>
      <c r="F199" s="94"/>
      <c r="G199" s="6"/>
      <c r="H199" s="7"/>
      <c r="I199" s="95">
        <f t="shared" si="76"/>
        <v>0</v>
      </c>
      <c r="J199" s="95">
        <f t="shared" si="77"/>
        <v>0</v>
      </c>
      <c r="K199" s="7"/>
      <c r="L199" s="9"/>
      <c r="M199" s="96">
        <f t="shared" si="78"/>
        <v>0</v>
      </c>
      <c r="N199" s="96">
        <f t="shared" si="79"/>
        <v>0</v>
      </c>
      <c r="O199" s="9"/>
    </row>
    <row r="200" spans="1:15" ht="15" customHeight="1" x14ac:dyDescent="0.25">
      <c r="A200" s="493" t="s">
        <v>631</v>
      </c>
      <c r="B200" s="91" t="s">
        <v>763</v>
      </c>
      <c r="C200" s="92"/>
      <c r="D200" s="204">
        <v>30</v>
      </c>
      <c r="E200" s="208" t="s">
        <v>1780</v>
      </c>
      <c r="F200" s="94"/>
      <c r="G200" s="6"/>
      <c r="H200" s="7"/>
      <c r="I200" s="95">
        <f t="shared" si="76"/>
        <v>0</v>
      </c>
      <c r="J200" s="95">
        <f t="shared" si="77"/>
        <v>0</v>
      </c>
      <c r="K200" s="7"/>
      <c r="L200" s="9"/>
      <c r="M200" s="96">
        <f t="shared" si="78"/>
        <v>0</v>
      </c>
      <c r="N200" s="96">
        <f t="shared" si="79"/>
        <v>0</v>
      </c>
      <c r="O200" s="9"/>
    </row>
    <row r="201" spans="1:15" ht="15" customHeight="1" x14ac:dyDescent="0.25">
      <c r="A201" s="493" t="s">
        <v>631</v>
      </c>
      <c r="B201" s="91" t="s">
        <v>763</v>
      </c>
      <c r="C201" s="92"/>
      <c r="D201" s="204"/>
      <c r="E201" s="208" t="s">
        <v>766</v>
      </c>
      <c r="F201" s="94"/>
      <c r="G201" s="6"/>
      <c r="H201" s="7"/>
      <c r="I201" s="95">
        <f t="shared" si="76"/>
        <v>0</v>
      </c>
      <c r="J201" s="95">
        <f t="shared" si="77"/>
        <v>0</v>
      </c>
      <c r="K201" s="7"/>
      <c r="L201" s="9"/>
      <c r="M201" s="96">
        <f t="shared" si="78"/>
        <v>0</v>
      </c>
      <c r="N201" s="96">
        <f t="shared" si="79"/>
        <v>0</v>
      </c>
      <c r="O201" s="9"/>
    </row>
    <row r="202" spans="1:15" ht="135" customHeight="1" x14ac:dyDescent="0.25">
      <c r="A202" s="493" t="s">
        <v>631</v>
      </c>
      <c r="B202" s="91" t="s">
        <v>763</v>
      </c>
      <c r="C202" s="92"/>
      <c r="D202" s="204"/>
      <c r="E202" s="93" t="s">
        <v>767</v>
      </c>
      <c r="F202" s="94"/>
      <c r="G202" s="6"/>
      <c r="H202" s="7"/>
      <c r="I202" s="95">
        <f t="shared" si="76"/>
        <v>0</v>
      </c>
      <c r="J202" s="95">
        <f t="shared" si="77"/>
        <v>0</v>
      </c>
      <c r="K202" s="7"/>
      <c r="L202" s="9"/>
      <c r="M202" s="96">
        <f t="shared" si="78"/>
        <v>0</v>
      </c>
      <c r="N202" s="96">
        <f t="shared" si="79"/>
        <v>0</v>
      </c>
      <c r="O202" s="9"/>
    </row>
    <row r="203" spans="1:15" ht="150" customHeight="1" x14ac:dyDescent="0.25">
      <c r="A203" s="493" t="s">
        <v>631</v>
      </c>
      <c r="B203" s="91" t="s">
        <v>763</v>
      </c>
      <c r="C203" s="92"/>
      <c r="D203" s="204"/>
      <c r="E203" s="93" t="s">
        <v>768</v>
      </c>
      <c r="F203" s="94"/>
      <c r="G203" s="6"/>
      <c r="H203" s="7"/>
      <c r="I203" s="95">
        <f t="shared" si="76"/>
        <v>0</v>
      </c>
      <c r="J203" s="95">
        <f t="shared" si="77"/>
        <v>0</v>
      </c>
      <c r="K203" s="7"/>
      <c r="L203" s="9"/>
      <c r="M203" s="96">
        <f t="shared" si="78"/>
        <v>0</v>
      </c>
      <c r="N203" s="96">
        <f t="shared" si="79"/>
        <v>0</v>
      </c>
      <c r="O203" s="9"/>
    </row>
    <row r="204" spans="1:15" ht="15" customHeight="1" x14ac:dyDescent="0.25">
      <c r="A204" s="493" t="s">
        <v>1022</v>
      </c>
      <c r="B204" s="205" t="str">
        <f>+B203</f>
        <v>Sec1/20</v>
      </c>
      <c r="C204" s="97"/>
      <c r="D204" s="205"/>
      <c r="E204" s="98" t="s">
        <v>640</v>
      </c>
      <c r="F204" s="97"/>
      <c r="G204" s="11"/>
      <c r="H204" s="11"/>
      <c r="I204" s="11"/>
      <c r="J204" s="99">
        <f>SUBTOTAL(9,J196:J203)</f>
        <v>0</v>
      </c>
      <c r="K204" s="11"/>
      <c r="L204" s="11"/>
      <c r="M204" s="11"/>
      <c r="N204" s="99">
        <f>SUBTOTAL(9,N196:N203)</f>
        <v>0</v>
      </c>
      <c r="O204" s="11"/>
    </row>
    <row r="205" spans="1:15" ht="15" customHeight="1" x14ac:dyDescent="0.25">
      <c r="A205" s="493" t="s">
        <v>631</v>
      </c>
      <c r="B205" s="91" t="s">
        <v>769</v>
      </c>
      <c r="C205" s="92"/>
      <c r="D205" s="207" t="s">
        <v>1004</v>
      </c>
      <c r="E205" s="208" t="s">
        <v>1747</v>
      </c>
      <c r="F205" s="94"/>
      <c r="G205" s="6"/>
      <c r="H205" s="7"/>
      <c r="I205" s="95">
        <f t="shared" ref="I205:I211" si="80">ROUND(H205*G205,2)</f>
        <v>0</v>
      </c>
      <c r="J205" s="95">
        <f t="shared" ref="J205:J211" si="81">ROUNDUP(I205,0)</f>
        <v>0</v>
      </c>
      <c r="K205" s="7"/>
      <c r="L205" s="9"/>
      <c r="M205" s="96">
        <f t="shared" ref="M205:M211" si="82">ROUND(L205*G205,2)</f>
        <v>0</v>
      </c>
      <c r="N205" s="96">
        <f t="shared" ref="N205:N211" si="83">ROUNDUP(M205,0)</f>
        <v>0</v>
      </c>
      <c r="O205" s="9"/>
    </row>
    <row r="206" spans="1:15" ht="15" customHeight="1" x14ac:dyDescent="0.25">
      <c r="A206" s="493" t="s">
        <v>631</v>
      </c>
      <c r="B206" s="91" t="s">
        <v>769</v>
      </c>
      <c r="C206" s="92"/>
      <c r="D206" s="207">
        <v>31</v>
      </c>
      <c r="E206" s="208" t="s">
        <v>1781</v>
      </c>
      <c r="F206" s="94"/>
      <c r="G206" s="6"/>
      <c r="H206" s="7"/>
      <c r="I206" s="95">
        <f t="shared" si="80"/>
        <v>0</v>
      </c>
      <c r="J206" s="95">
        <f t="shared" si="81"/>
        <v>0</v>
      </c>
      <c r="K206" s="7"/>
      <c r="L206" s="9"/>
      <c r="M206" s="96">
        <f t="shared" si="82"/>
        <v>0</v>
      </c>
      <c r="N206" s="96">
        <f t="shared" si="83"/>
        <v>0</v>
      </c>
      <c r="O206" s="9"/>
    </row>
    <row r="207" spans="1:15" ht="105" customHeight="1" x14ac:dyDescent="0.25">
      <c r="A207" s="493" t="s">
        <v>631</v>
      </c>
      <c r="B207" s="91" t="s">
        <v>769</v>
      </c>
      <c r="C207" s="92"/>
      <c r="D207" s="204"/>
      <c r="E207" s="209" t="s">
        <v>1782</v>
      </c>
      <c r="F207" s="94"/>
      <c r="G207" s="6"/>
      <c r="H207" s="7"/>
      <c r="I207" s="95">
        <f t="shared" si="80"/>
        <v>0</v>
      </c>
      <c r="J207" s="95">
        <f t="shared" si="81"/>
        <v>0</v>
      </c>
      <c r="K207" s="7"/>
      <c r="L207" s="9"/>
      <c r="M207" s="96">
        <f t="shared" si="82"/>
        <v>0</v>
      </c>
      <c r="N207" s="96">
        <f t="shared" si="83"/>
        <v>0</v>
      </c>
      <c r="O207" s="9"/>
    </row>
    <row r="208" spans="1:15" ht="60" customHeight="1" x14ac:dyDescent="0.25">
      <c r="A208" s="493" t="s">
        <v>631</v>
      </c>
      <c r="B208" s="91" t="s">
        <v>769</v>
      </c>
      <c r="C208" s="92"/>
      <c r="D208" s="204"/>
      <c r="E208" s="93" t="s">
        <v>770</v>
      </c>
      <c r="F208" s="94"/>
      <c r="G208" s="6"/>
      <c r="H208" s="7"/>
      <c r="I208" s="95">
        <f t="shared" si="80"/>
        <v>0</v>
      </c>
      <c r="J208" s="95">
        <f t="shared" si="81"/>
        <v>0</v>
      </c>
      <c r="K208" s="7"/>
      <c r="L208" s="9"/>
      <c r="M208" s="96">
        <f t="shared" si="82"/>
        <v>0</v>
      </c>
      <c r="N208" s="96">
        <f t="shared" si="83"/>
        <v>0</v>
      </c>
      <c r="O208" s="9"/>
    </row>
    <row r="209" spans="1:15" ht="90" customHeight="1" x14ac:dyDescent="0.25">
      <c r="A209" s="493" t="s">
        <v>631</v>
      </c>
      <c r="B209" s="91" t="s">
        <v>769</v>
      </c>
      <c r="C209" s="92"/>
      <c r="D209" s="204"/>
      <c r="E209" s="93" t="s">
        <v>771</v>
      </c>
      <c r="F209" s="94"/>
      <c r="G209" s="6"/>
      <c r="H209" s="7"/>
      <c r="I209" s="95">
        <f t="shared" si="80"/>
        <v>0</v>
      </c>
      <c r="J209" s="95">
        <f t="shared" si="81"/>
        <v>0</v>
      </c>
      <c r="K209" s="7"/>
      <c r="L209" s="9"/>
      <c r="M209" s="96">
        <f t="shared" si="82"/>
        <v>0</v>
      </c>
      <c r="N209" s="96">
        <f t="shared" si="83"/>
        <v>0</v>
      </c>
      <c r="O209" s="9"/>
    </row>
    <row r="210" spans="1:15" ht="180" customHeight="1" x14ac:dyDescent="0.25">
      <c r="A210" s="493" t="s">
        <v>631</v>
      </c>
      <c r="B210" s="91" t="s">
        <v>769</v>
      </c>
      <c r="C210" s="92"/>
      <c r="D210" s="204"/>
      <c r="E210" s="209" t="s">
        <v>1783</v>
      </c>
      <c r="F210" s="94"/>
      <c r="G210" s="6"/>
      <c r="H210" s="7"/>
      <c r="I210" s="95">
        <f t="shared" si="80"/>
        <v>0</v>
      </c>
      <c r="J210" s="95">
        <f t="shared" si="81"/>
        <v>0</v>
      </c>
      <c r="K210" s="7"/>
      <c r="L210" s="9"/>
      <c r="M210" s="96">
        <f t="shared" si="82"/>
        <v>0</v>
      </c>
      <c r="N210" s="96">
        <f t="shared" si="83"/>
        <v>0</v>
      </c>
      <c r="O210" s="9"/>
    </row>
    <row r="211" spans="1:15" ht="180" customHeight="1" x14ac:dyDescent="0.25">
      <c r="A211" s="493" t="s">
        <v>631</v>
      </c>
      <c r="B211" s="91" t="s">
        <v>769</v>
      </c>
      <c r="C211" s="92"/>
      <c r="D211" s="204"/>
      <c r="E211" s="209" t="s">
        <v>1784</v>
      </c>
      <c r="F211" s="94"/>
      <c r="G211" s="6"/>
      <c r="H211" s="7"/>
      <c r="I211" s="95">
        <f t="shared" si="80"/>
        <v>0</v>
      </c>
      <c r="J211" s="95">
        <f t="shared" si="81"/>
        <v>0</v>
      </c>
      <c r="K211" s="7"/>
      <c r="L211" s="9"/>
      <c r="M211" s="96">
        <f t="shared" si="82"/>
        <v>0</v>
      </c>
      <c r="N211" s="96">
        <f t="shared" si="83"/>
        <v>0</v>
      </c>
      <c r="O211" s="9"/>
    </row>
    <row r="212" spans="1:15" ht="15" customHeight="1" x14ac:dyDescent="0.25">
      <c r="A212" s="493" t="s">
        <v>1022</v>
      </c>
      <c r="B212" s="205" t="str">
        <f>+B211</f>
        <v>Sec1/21</v>
      </c>
      <c r="C212" s="97"/>
      <c r="D212" s="205"/>
      <c r="E212" s="98" t="s">
        <v>640</v>
      </c>
      <c r="F212" s="97"/>
      <c r="G212" s="11"/>
      <c r="H212" s="11"/>
      <c r="I212" s="11"/>
      <c r="J212" s="99">
        <f>SUBTOTAL(9,J205:J211)</f>
        <v>0</v>
      </c>
      <c r="K212" s="11"/>
      <c r="L212" s="11"/>
      <c r="M212" s="11"/>
      <c r="N212" s="99">
        <f>SUBTOTAL(9,N205:N211)</f>
        <v>0</v>
      </c>
      <c r="O212" s="11"/>
    </row>
    <row r="213" spans="1:15" ht="15" customHeight="1" x14ac:dyDescent="0.25">
      <c r="A213" s="493" t="s">
        <v>631</v>
      </c>
      <c r="B213" s="91" t="s">
        <v>772</v>
      </c>
      <c r="C213" s="92"/>
      <c r="D213" s="207" t="s">
        <v>1004</v>
      </c>
      <c r="E213" s="208" t="s">
        <v>1747</v>
      </c>
      <c r="F213" s="94"/>
      <c r="G213" s="6"/>
      <c r="H213" s="7"/>
      <c r="I213" s="95">
        <f t="shared" ref="I213:I220" si="84">ROUND(H213*G213,2)</f>
        <v>0</v>
      </c>
      <c r="J213" s="95">
        <f t="shared" ref="J213:J220" si="85">ROUNDUP(I213,0)</f>
        <v>0</v>
      </c>
      <c r="K213" s="7"/>
      <c r="L213" s="9"/>
      <c r="M213" s="96">
        <f t="shared" ref="M213:M220" si="86">ROUND(L213*G213,2)</f>
        <v>0</v>
      </c>
      <c r="N213" s="96">
        <f t="shared" ref="N213:N220" si="87">ROUNDUP(M213,0)</f>
        <v>0</v>
      </c>
      <c r="O213" s="9"/>
    </row>
    <row r="214" spans="1:15" ht="15" customHeight="1" x14ac:dyDescent="0.25">
      <c r="A214" s="493" t="s">
        <v>631</v>
      </c>
      <c r="B214" s="91" t="s">
        <v>772</v>
      </c>
      <c r="C214" s="92"/>
      <c r="D214" s="207">
        <v>31</v>
      </c>
      <c r="E214" s="208" t="s">
        <v>1781</v>
      </c>
      <c r="F214" s="94"/>
      <c r="G214" s="6"/>
      <c r="H214" s="7"/>
      <c r="I214" s="95">
        <f t="shared" si="84"/>
        <v>0</v>
      </c>
      <c r="J214" s="95">
        <f t="shared" si="85"/>
        <v>0</v>
      </c>
      <c r="K214" s="7"/>
      <c r="L214" s="9"/>
      <c r="M214" s="96">
        <f t="shared" si="86"/>
        <v>0</v>
      </c>
      <c r="N214" s="96">
        <f t="shared" si="87"/>
        <v>0</v>
      </c>
      <c r="O214" s="9"/>
    </row>
    <row r="215" spans="1:15" ht="180" customHeight="1" x14ac:dyDescent="0.25">
      <c r="A215" s="493" t="s">
        <v>631</v>
      </c>
      <c r="B215" s="91" t="s">
        <v>772</v>
      </c>
      <c r="C215" s="92"/>
      <c r="D215" s="204"/>
      <c r="E215" s="209" t="s">
        <v>1785</v>
      </c>
      <c r="F215" s="94"/>
      <c r="G215" s="6"/>
      <c r="H215" s="7"/>
      <c r="I215" s="95">
        <f t="shared" si="84"/>
        <v>0</v>
      </c>
      <c r="J215" s="95">
        <f t="shared" si="85"/>
        <v>0</v>
      </c>
      <c r="K215" s="7"/>
      <c r="L215" s="9"/>
      <c r="M215" s="96">
        <f t="shared" si="86"/>
        <v>0</v>
      </c>
      <c r="N215" s="96">
        <f t="shared" si="87"/>
        <v>0</v>
      </c>
      <c r="O215" s="9"/>
    </row>
    <row r="216" spans="1:15" ht="90" customHeight="1" x14ac:dyDescent="0.25">
      <c r="A216" s="493" t="s">
        <v>631</v>
      </c>
      <c r="B216" s="91" t="s">
        <v>772</v>
      </c>
      <c r="C216" s="92"/>
      <c r="D216" s="204"/>
      <c r="E216" s="93" t="s">
        <v>773</v>
      </c>
      <c r="F216" s="94"/>
      <c r="G216" s="6"/>
      <c r="H216" s="7"/>
      <c r="I216" s="95">
        <f t="shared" si="84"/>
        <v>0</v>
      </c>
      <c r="J216" s="95">
        <f t="shared" si="85"/>
        <v>0</v>
      </c>
      <c r="K216" s="7"/>
      <c r="L216" s="9"/>
      <c r="M216" s="96">
        <f t="shared" si="86"/>
        <v>0</v>
      </c>
      <c r="N216" s="96">
        <f t="shared" si="87"/>
        <v>0</v>
      </c>
      <c r="O216" s="9"/>
    </row>
    <row r="217" spans="1:15" ht="75" customHeight="1" x14ac:dyDescent="0.25">
      <c r="A217" s="493" t="s">
        <v>631</v>
      </c>
      <c r="B217" s="91" t="s">
        <v>772</v>
      </c>
      <c r="C217" s="92"/>
      <c r="D217" s="204"/>
      <c r="E217" s="93" t="s">
        <v>774</v>
      </c>
      <c r="F217" s="94"/>
      <c r="G217" s="6"/>
      <c r="H217" s="7"/>
      <c r="I217" s="95">
        <f t="shared" si="84"/>
        <v>0</v>
      </c>
      <c r="J217" s="95">
        <f t="shared" si="85"/>
        <v>0</v>
      </c>
      <c r="K217" s="7"/>
      <c r="L217" s="9"/>
      <c r="M217" s="96">
        <f t="shared" si="86"/>
        <v>0</v>
      </c>
      <c r="N217" s="96">
        <f t="shared" si="87"/>
        <v>0</v>
      </c>
      <c r="O217" s="9"/>
    </row>
    <row r="218" spans="1:15" ht="15" customHeight="1" x14ac:dyDescent="0.25">
      <c r="A218" s="493" t="s">
        <v>631</v>
      </c>
      <c r="B218" s="91" t="s">
        <v>772</v>
      </c>
      <c r="C218" s="92"/>
      <c r="D218" s="207">
        <v>32</v>
      </c>
      <c r="E218" s="208" t="s">
        <v>1786</v>
      </c>
      <c r="F218" s="94"/>
      <c r="G218" s="6"/>
      <c r="H218" s="7"/>
      <c r="I218" s="95">
        <f t="shared" si="84"/>
        <v>0</v>
      </c>
      <c r="J218" s="95">
        <f t="shared" si="85"/>
        <v>0</v>
      </c>
      <c r="K218" s="7"/>
      <c r="L218" s="9"/>
      <c r="M218" s="96">
        <f t="shared" si="86"/>
        <v>0</v>
      </c>
      <c r="N218" s="96">
        <f t="shared" si="87"/>
        <v>0</v>
      </c>
      <c r="O218" s="9"/>
    </row>
    <row r="219" spans="1:15" ht="15" customHeight="1" x14ac:dyDescent="0.25">
      <c r="A219" s="493" t="s">
        <v>631</v>
      </c>
      <c r="B219" s="91" t="s">
        <v>772</v>
      </c>
      <c r="C219" s="92"/>
      <c r="D219" s="207"/>
      <c r="E219" s="208" t="s">
        <v>775</v>
      </c>
      <c r="F219" s="94"/>
      <c r="G219" s="6"/>
      <c r="H219" s="7"/>
      <c r="I219" s="95">
        <f t="shared" si="84"/>
        <v>0</v>
      </c>
      <c r="J219" s="95">
        <f t="shared" si="85"/>
        <v>0</v>
      </c>
      <c r="K219" s="7"/>
      <c r="L219" s="9"/>
      <c r="M219" s="96">
        <f t="shared" si="86"/>
        <v>0</v>
      </c>
      <c r="N219" s="96">
        <f t="shared" si="87"/>
        <v>0</v>
      </c>
      <c r="O219" s="9"/>
    </row>
    <row r="220" spans="1:15" ht="180" customHeight="1" x14ac:dyDescent="0.25">
      <c r="A220" s="493" t="s">
        <v>631</v>
      </c>
      <c r="B220" s="91" t="s">
        <v>772</v>
      </c>
      <c r="C220" s="92"/>
      <c r="D220" s="204"/>
      <c r="E220" s="93" t="s">
        <v>776</v>
      </c>
      <c r="F220" s="94"/>
      <c r="G220" s="6"/>
      <c r="H220" s="7"/>
      <c r="I220" s="95">
        <f t="shared" si="84"/>
        <v>0</v>
      </c>
      <c r="J220" s="95">
        <f t="shared" si="85"/>
        <v>0</v>
      </c>
      <c r="K220" s="7"/>
      <c r="L220" s="9"/>
      <c r="M220" s="96">
        <f t="shared" si="86"/>
        <v>0</v>
      </c>
      <c r="N220" s="96">
        <f t="shared" si="87"/>
        <v>0</v>
      </c>
      <c r="O220" s="9"/>
    </row>
    <row r="221" spans="1:15" ht="15" customHeight="1" x14ac:dyDescent="0.25">
      <c r="A221" s="493" t="s">
        <v>1022</v>
      </c>
      <c r="B221" s="205" t="str">
        <f>+B220</f>
        <v>Sec1/22</v>
      </c>
      <c r="C221" s="97"/>
      <c r="D221" s="205"/>
      <c r="E221" s="98" t="s">
        <v>640</v>
      </c>
      <c r="F221" s="97"/>
      <c r="G221" s="11"/>
      <c r="H221" s="11"/>
      <c r="I221" s="11"/>
      <c r="J221" s="99">
        <f>SUBTOTAL(9,J213:J220)</f>
        <v>0</v>
      </c>
      <c r="K221" s="11"/>
      <c r="L221" s="11"/>
      <c r="M221" s="11"/>
      <c r="N221" s="99">
        <f>SUBTOTAL(9,N213:N220)</f>
        <v>0</v>
      </c>
      <c r="O221" s="11"/>
    </row>
    <row r="222" spans="1:15" ht="15" customHeight="1" x14ac:dyDescent="0.25">
      <c r="A222" s="493" t="s">
        <v>631</v>
      </c>
      <c r="B222" s="91" t="s">
        <v>777</v>
      </c>
      <c r="C222" s="92"/>
      <c r="D222" s="207" t="s">
        <v>1004</v>
      </c>
      <c r="E222" s="208" t="s">
        <v>1747</v>
      </c>
      <c r="F222" s="94"/>
      <c r="G222" s="6"/>
      <c r="H222" s="7"/>
      <c r="I222" s="95">
        <f t="shared" ref="I222:I228" si="88">ROUND(H222*G222,2)</f>
        <v>0</v>
      </c>
      <c r="J222" s="95">
        <f t="shared" ref="J222:J228" si="89">ROUNDUP(I222,0)</f>
        <v>0</v>
      </c>
      <c r="K222" s="7"/>
      <c r="L222" s="9"/>
      <c r="M222" s="96">
        <f t="shared" ref="M222:M228" si="90">ROUND(L222*G222,2)</f>
        <v>0</v>
      </c>
      <c r="N222" s="96">
        <f t="shared" ref="N222:N228" si="91">ROUNDUP(M222,0)</f>
        <v>0</v>
      </c>
      <c r="O222" s="9"/>
    </row>
    <row r="223" spans="1:15" ht="15" customHeight="1" x14ac:dyDescent="0.25">
      <c r="A223" s="493" t="s">
        <v>631</v>
      </c>
      <c r="B223" s="91" t="s">
        <v>777</v>
      </c>
      <c r="C223" s="92"/>
      <c r="D223" s="207">
        <v>33</v>
      </c>
      <c r="E223" s="208" t="s">
        <v>1787</v>
      </c>
      <c r="F223" s="94"/>
      <c r="G223" s="6"/>
      <c r="H223" s="7"/>
      <c r="I223" s="95">
        <f t="shared" si="88"/>
        <v>0</v>
      </c>
      <c r="J223" s="95">
        <f t="shared" si="89"/>
        <v>0</v>
      </c>
      <c r="K223" s="7"/>
      <c r="L223" s="9"/>
      <c r="M223" s="96">
        <f t="shared" si="90"/>
        <v>0</v>
      </c>
      <c r="N223" s="96">
        <f t="shared" si="91"/>
        <v>0</v>
      </c>
      <c r="O223" s="9"/>
    </row>
    <row r="224" spans="1:15" ht="15" customHeight="1" x14ac:dyDescent="0.25">
      <c r="A224" s="493" t="s">
        <v>631</v>
      </c>
      <c r="B224" s="91" t="s">
        <v>777</v>
      </c>
      <c r="C224" s="92"/>
      <c r="D224" s="204"/>
      <c r="E224" s="208" t="s">
        <v>778</v>
      </c>
      <c r="F224" s="94"/>
      <c r="G224" s="6"/>
      <c r="H224" s="7"/>
      <c r="I224" s="95">
        <f t="shared" si="88"/>
        <v>0</v>
      </c>
      <c r="J224" s="95">
        <f t="shared" si="89"/>
        <v>0</v>
      </c>
      <c r="K224" s="7"/>
      <c r="L224" s="9"/>
      <c r="M224" s="96">
        <f t="shared" si="90"/>
        <v>0</v>
      </c>
      <c r="N224" s="96">
        <f t="shared" si="91"/>
        <v>0</v>
      </c>
      <c r="O224" s="9"/>
    </row>
    <row r="225" spans="1:15" ht="225" customHeight="1" x14ac:dyDescent="0.25">
      <c r="A225" s="493" t="s">
        <v>631</v>
      </c>
      <c r="B225" s="91" t="s">
        <v>777</v>
      </c>
      <c r="C225" s="92"/>
      <c r="D225" s="204"/>
      <c r="E225" s="93" t="s">
        <v>779</v>
      </c>
      <c r="F225" s="94"/>
      <c r="G225" s="6"/>
      <c r="H225" s="7"/>
      <c r="I225" s="95">
        <f t="shared" si="88"/>
        <v>0</v>
      </c>
      <c r="J225" s="95">
        <f t="shared" si="89"/>
        <v>0</v>
      </c>
      <c r="K225" s="7"/>
      <c r="L225" s="9"/>
      <c r="M225" s="96">
        <f t="shared" si="90"/>
        <v>0</v>
      </c>
      <c r="N225" s="96">
        <f t="shared" si="91"/>
        <v>0</v>
      </c>
      <c r="O225" s="9"/>
    </row>
    <row r="226" spans="1:15" ht="240" customHeight="1" x14ac:dyDescent="0.25">
      <c r="A226" s="493" t="s">
        <v>631</v>
      </c>
      <c r="B226" s="91" t="s">
        <v>777</v>
      </c>
      <c r="C226" s="92"/>
      <c r="D226" s="204"/>
      <c r="E226" s="93" t="s">
        <v>780</v>
      </c>
      <c r="F226" s="94"/>
      <c r="G226" s="6"/>
      <c r="H226" s="7"/>
      <c r="I226" s="95">
        <f t="shared" si="88"/>
        <v>0</v>
      </c>
      <c r="J226" s="95">
        <f t="shared" si="89"/>
        <v>0</v>
      </c>
      <c r="K226" s="7"/>
      <c r="L226" s="9"/>
      <c r="M226" s="96">
        <f t="shared" si="90"/>
        <v>0</v>
      </c>
      <c r="N226" s="96">
        <f t="shared" si="91"/>
        <v>0</v>
      </c>
      <c r="O226" s="9"/>
    </row>
    <row r="227" spans="1:15" ht="75" customHeight="1" x14ac:dyDescent="0.25">
      <c r="A227" s="493" t="s">
        <v>631</v>
      </c>
      <c r="B227" s="91" t="s">
        <v>777</v>
      </c>
      <c r="C227" s="92"/>
      <c r="D227" s="204"/>
      <c r="E227" s="93" t="s">
        <v>781</v>
      </c>
      <c r="F227" s="94"/>
      <c r="G227" s="6"/>
      <c r="H227" s="7"/>
      <c r="I227" s="95">
        <f t="shared" si="88"/>
        <v>0</v>
      </c>
      <c r="J227" s="95">
        <f t="shared" si="89"/>
        <v>0</v>
      </c>
      <c r="K227" s="7"/>
      <c r="L227" s="9"/>
      <c r="M227" s="96">
        <f t="shared" si="90"/>
        <v>0</v>
      </c>
      <c r="N227" s="96">
        <f t="shared" si="91"/>
        <v>0</v>
      </c>
      <c r="O227" s="9"/>
    </row>
    <row r="228" spans="1:15" ht="120" customHeight="1" x14ac:dyDescent="0.25">
      <c r="A228" s="493" t="s">
        <v>631</v>
      </c>
      <c r="B228" s="91" t="s">
        <v>777</v>
      </c>
      <c r="C228" s="92"/>
      <c r="D228" s="204"/>
      <c r="E228" s="93" t="s">
        <v>782</v>
      </c>
      <c r="F228" s="94"/>
      <c r="G228" s="6"/>
      <c r="H228" s="7"/>
      <c r="I228" s="95">
        <f t="shared" si="88"/>
        <v>0</v>
      </c>
      <c r="J228" s="95">
        <f t="shared" si="89"/>
        <v>0</v>
      </c>
      <c r="K228" s="7"/>
      <c r="L228" s="9"/>
      <c r="M228" s="96">
        <f t="shared" si="90"/>
        <v>0</v>
      </c>
      <c r="N228" s="96">
        <f t="shared" si="91"/>
        <v>0</v>
      </c>
      <c r="O228" s="9"/>
    </row>
    <row r="229" spans="1:15" ht="15" customHeight="1" x14ac:dyDescent="0.25">
      <c r="A229" s="493" t="s">
        <v>1022</v>
      </c>
      <c r="B229" s="205" t="str">
        <f>+B228</f>
        <v>Sec1/23</v>
      </c>
      <c r="C229" s="97"/>
      <c r="D229" s="205"/>
      <c r="E229" s="98" t="s">
        <v>640</v>
      </c>
      <c r="F229" s="97"/>
      <c r="G229" s="11"/>
      <c r="H229" s="11"/>
      <c r="I229" s="11"/>
      <c r="J229" s="99">
        <f>SUBTOTAL(9,J222:J228)</f>
        <v>0</v>
      </c>
      <c r="K229" s="11"/>
      <c r="L229" s="11"/>
      <c r="M229" s="11"/>
      <c r="N229" s="99">
        <f>SUBTOTAL(9,N222:N228)</f>
        <v>0</v>
      </c>
      <c r="O229" s="11"/>
    </row>
    <row r="230" spans="1:15" ht="15" customHeight="1" x14ac:dyDescent="0.25">
      <c r="A230" s="493" t="s">
        <v>631</v>
      </c>
      <c r="B230" s="91" t="s">
        <v>783</v>
      </c>
      <c r="C230" s="92"/>
      <c r="D230" s="207" t="s">
        <v>1004</v>
      </c>
      <c r="E230" s="208" t="s">
        <v>1747</v>
      </c>
      <c r="F230" s="94"/>
      <c r="G230" s="6"/>
      <c r="H230" s="7"/>
      <c r="I230" s="95">
        <f t="shared" ref="I230:I238" si="92">ROUND(H230*G230,2)</f>
        <v>0</v>
      </c>
      <c r="J230" s="95">
        <f t="shared" ref="J230:J238" si="93">ROUNDUP(I230,0)</f>
        <v>0</v>
      </c>
      <c r="K230" s="7"/>
      <c r="L230" s="9"/>
      <c r="M230" s="96">
        <f t="shared" ref="M230:M238" si="94">ROUND(L230*G230,2)</f>
        <v>0</v>
      </c>
      <c r="N230" s="96">
        <f t="shared" ref="N230:N238" si="95">ROUNDUP(M230,0)</f>
        <v>0</v>
      </c>
      <c r="O230" s="9"/>
    </row>
    <row r="231" spans="1:15" ht="15" customHeight="1" x14ac:dyDescent="0.25">
      <c r="A231" s="493" t="s">
        <v>631</v>
      </c>
      <c r="B231" s="91" t="s">
        <v>783</v>
      </c>
      <c r="C231" s="92"/>
      <c r="D231" s="207">
        <v>33</v>
      </c>
      <c r="E231" s="208" t="s">
        <v>1787</v>
      </c>
      <c r="F231" s="94"/>
      <c r="G231" s="6"/>
      <c r="H231" s="7"/>
      <c r="I231" s="95">
        <f t="shared" si="92"/>
        <v>0</v>
      </c>
      <c r="J231" s="95">
        <f t="shared" si="93"/>
        <v>0</v>
      </c>
      <c r="K231" s="7"/>
      <c r="L231" s="9"/>
      <c r="M231" s="96">
        <f t="shared" si="94"/>
        <v>0</v>
      </c>
      <c r="N231" s="96">
        <f t="shared" si="95"/>
        <v>0</v>
      </c>
      <c r="O231" s="9"/>
    </row>
    <row r="232" spans="1:15" ht="15" customHeight="1" x14ac:dyDescent="0.25">
      <c r="A232" s="493" t="s">
        <v>631</v>
      </c>
      <c r="B232" s="91" t="s">
        <v>783</v>
      </c>
      <c r="C232" s="92"/>
      <c r="D232" s="207"/>
      <c r="E232" s="208" t="s">
        <v>784</v>
      </c>
      <c r="F232" s="94"/>
      <c r="G232" s="6"/>
      <c r="H232" s="7"/>
      <c r="I232" s="95">
        <f t="shared" si="92"/>
        <v>0</v>
      </c>
      <c r="J232" s="95">
        <f t="shared" si="93"/>
        <v>0</v>
      </c>
      <c r="K232" s="7"/>
      <c r="L232" s="9"/>
      <c r="M232" s="96">
        <f t="shared" si="94"/>
        <v>0</v>
      </c>
      <c r="N232" s="96">
        <f t="shared" si="95"/>
        <v>0</v>
      </c>
      <c r="O232" s="9"/>
    </row>
    <row r="233" spans="1:15" ht="180" customHeight="1" x14ac:dyDescent="0.25">
      <c r="A233" s="493" t="s">
        <v>631</v>
      </c>
      <c r="B233" s="91" t="s">
        <v>783</v>
      </c>
      <c r="C233" s="92"/>
      <c r="D233" s="204"/>
      <c r="E233" s="93" t="s">
        <v>785</v>
      </c>
      <c r="F233" s="94"/>
      <c r="G233" s="6"/>
      <c r="H233" s="7"/>
      <c r="I233" s="95">
        <f t="shared" si="92"/>
        <v>0</v>
      </c>
      <c r="J233" s="95">
        <f t="shared" si="93"/>
        <v>0</v>
      </c>
      <c r="K233" s="7"/>
      <c r="L233" s="9"/>
      <c r="M233" s="96">
        <f t="shared" si="94"/>
        <v>0</v>
      </c>
      <c r="N233" s="96">
        <f t="shared" si="95"/>
        <v>0</v>
      </c>
      <c r="O233" s="9"/>
    </row>
    <row r="234" spans="1:15" ht="75" customHeight="1" x14ac:dyDescent="0.25">
      <c r="A234" s="493" t="s">
        <v>631</v>
      </c>
      <c r="B234" s="91" t="s">
        <v>783</v>
      </c>
      <c r="C234" s="92"/>
      <c r="D234" s="204"/>
      <c r="E234" s="93" t="s">
        <v>786</v>
      </c>
      <c r="F234" s="94"/>
      <c r="G234" s="6"/>
      <c r="H234" s="7"/>
      <c r="I234" s="95">
        <f t="shared" si="92"/>
        <v>0</v>
      </c>
      <c r="J234" s="95">
        <f t="shared" si="93"/>
        <v>0</v>
      </c>
      <c r="K234" s="7"/>
      <c r="L234" s="9"/>
      <c r="M234" s="96">
        <f t="shared" si="94"/>
        <v>0</v>
      </c>
      <c r="N234" s="96">
        <f t="shared" si="95"/>
        <v>0</v>
      </c>
      <c r="O234" s="9"/>
    </row>
    <row r="235" spans="1:15" ht="15" customHeight="1" x14ac:dyDescent="0.25">
      <c r="A235" s="493" t="s">
        <v>631</v>
      </c>
      <c r="B235" s="91" t="s">
        <v>783</v>
      </c>
      <c r="C235" s="92"/>
      <c r="D235" s="207">
        <v>34</v>
      </c>
      <c r="E235" s="208" t="s">
        <v>1788</v>
      </c>
      <c r="F235" s="94"/>
      <c r="G235" s="6"/>
      <c r="H235" s="7"/>
      <c r="I235" s="95">
        <f t="shared" si="92"/>
        <v>0</v>
      </c>
      <c r="J235" s="95">
        <f t="shared" si="93"/>
        <v>0</v>
      </c>
      <c r="K235" s="7"/>
      <c r="L235" s="9"/>
      <c r="M235" s="96">
        <f t="shared" si="94"/>
        <v>0</v>
      </c>
      <c r="N235" s="96">
        <f t="shared" si="95"/>
        <v>0</v>
      </c>
      <c r="O235" s="9"/>
    </row>
    <row r="236" spans="1:15" ht="15" customHeight="1" x14ac:dyDescent="0.25">
      <c r="A236" s="493" t="s">
        <v>631</v>
      </c>
      <c r="B236" s="91" t="s">
        <v>783</v>
      </c>
      <c r="C236" s="92"/>
      <c r="D236" s="207"/>
      <c r="E236" s="208" t="s">
        <v>787</v>
      </c>
      <c r="F236" s="94"/>
      <c r="G236" s="6"/>
      <c r="H236" s="7"/>
      <c r="I236" s="95">
        <f t="shared" si="92"/>
        <v>0</v>
      </c>
      <c r="J236" s="95">
        <f t="shared" si="93"/>
        <v>0</v>
      </c>
      <c r="K236" s="7"/>
      <c r="L236" s="9"/>
      <c r="M236" s="96">
        <f t="shared" si="94"/>
        <v>0</v>
      </c>
      <c r="N236" s="96">
        <f t="shared" si="95"/>
        <v>0</v>
      </c>
      <c r="O236" s="9"/>
    </row>
    <row r="237" spans="1:15" ht="180" customHeight="1" x14ac:dyDescent="0.25">
      <c r="A237" s="493" t="s">
        <v>631</v>
      </c>
      <c r="B237" s="91" t="s">
        <v>783</v>
      </c>
      <c r="C237" s="92"/>
      <c r="D237" s="204"/>
      <c r="E237" s="93" t="s">
        <v>788</v>
      </c>
      <c r="F237" s="94"/>
      <c r="G237" s="6"/>
      <c r="H237" s="7"/>
      <c r="I237" s="95">
        <f t="shared" si="92"/>
        <v>0</v>
      </c>
      <c r="J237" s="95">
        <f t="shared" si="93"/>
        <v>0</v>
      </c>
      <c r="K237" s="7"/>
      <c r="L237" s="9"/>
      <c r="M237" s="96">
        <f t="shared" si="94"/>
        <v>0</v>
      </c>
      <c r="N237" s="96">
        <f t="shared" si="95"/>
        <v>0</v>
      </c>
      <c r="O237" s="9"/>
    </row>
    <row r="238" spans="1:15" ht="150" customHeight="1" x14ac:dyDescent="0.25">
      <c r="A238" s="493" t="s">
        <v>631</v>
      </c>
      <c r="B238" s="91" t="s">
        <v>783</v>
      </c>
      <c r="C238" s="92"/>
      <c r="D238" s="204"/>
      <c r="E238" s="93" t="s">
        <v>789</v>
      </c>
      <c r="F238" s="94"/>
      <c r="G238" s="6"/>
      <c r="H238" s="7"/>
      <c r="I238" s="95">
        <f t="shared" si="92"/>
        <v>0</v>
      </c>
      <c r="J238" s="95">
        <f t="shared" si="93"/>
        <v>0</v>
      </c>
      <c r="K238" s="7"/>
      <c r="L238" s="9"/>
      <c r="M238" s="96">
        <f t="shared" si="94"/>
        <v>0</v>
      </c>
      <c r="N238" s="96">
        <f t="shared" si="95"/>
        <v>0</v>
      </c>
      <c r="O238" s="9"/>
    </row>
    <row r="239" spans="1:15" ht="15" customHeight="1" x14ac:dyDescent="0.25">
      <c r="A239" s="493" t="s">
        <v>1022</v>
      </c>
      <c r="B239" s="205" t="str">
        <f>+B238</f>
        <v>Sec1/24</v>
      </c>
      <c r="C239" s="97"/>
      <c r="D239" s="205"/>
      <c r="E239" s="98" t="s">
        <v>640</v>
      </c>
      <c r="F239" s="97"/>
      <c r="G239" s="11"/>
      <c r="H239" s="11"/>
      <c r="I239" s="11"/>
      <c r="J239" s="99">
        <f>SUBTOTAL(9,J230:J238)</f>
        <v>0</v>
      </c>
      <c r="K239" s="11"/>
      <c r="L239" s="11"/>
      <c r="M239" s="11"/>
      <c r="N239" s="99">
        <f>SUBTOTAL(9,N230:N238)</f>
        <v>0</v>
      </c>
      <c r="O239" s="11"/>
    </row>
    <row r="240" spans="1:15" ht="15" customHeight="1" x14ac:dyDescent="0.25">
      <c r="A240" s="493" t="s">
        <v>631</v>
      </c>
      <c r="B240" s="91" t="s">
        <v>790</v>
      </c>
      <c r="C240" s="92"/>
      <c r="D240" s="207" t="s">
        <v>1004</v>
      </c>
      <c r="E240" s="208" t="s">
        <v>1747</v>
      </c>
      <c r="F240" s="94"/>
      <c r="G240" s="6"/>
      <c r="H240" s="7"/>
      <c r="I240" s="95">
        <f t="shared" ref="I240:I245" si="96">ROUND(H240*G240,2)</f>
        <v>0</v>
      </c>
      <c r="J240" s="95">
        <f t="shared" ref="J240:J245" si="97">ROUNDUP(I240,0)</f>
        <v>0</v>
      </c>
      <c r="K240" s="7"/>
      <c r="L240" s="9"/>
      <c r="M240" s="96">
        <f t="shared" ref="M240:M245" si="98">ROUND(L240*G240,2)</f>
        <v>0</v>
      </c>
      <c r="N240" s="96">
        <f t="shared" ref="N240:N245" si="99">ROUNDUP(M240,0)</f>
        <v>0</v>
      </c>
      <c r="O240" s="9"/>
    </row>
    <row r="241" spans="1:15" ht="15" customHeight="1" x14ac:dyDescent="0.25">
      <c r="A241" s="493" t="s">
        <v>631</v>
      </c>
      <c r="B241" s="91" t="s">
        <v>790</v>
      </c>
      <c r="C241" s="92"/>
      <c r="D241" s="207">
        <v>34</v>
      </c>
      <c r="E241" s="208" t="s">
        <v>1788</v>
      </c>
      <c r="F241" s="94"/>
      <c r="G241" s="6"/>
      <c r="H241" s="7"/>
      <c r="I241" s="95">
        <f t="shared" si="96"/>
        <v>0</v>
      </c>
      <c r="J241" s="95">
        <f t="shared" si="97"/>
        <v>0</v>
      </c>
      <c r="K241" s="7"/>
      <c r="L241" s="9"/>
      <c r="M241" s="96">
        <f t="shared" si="98"/>
        <v>0</v>
      </c>
      <c r="N241" s="96">
        <f t="shared" si="99"/>
        <v>0</v>
      </c>
      <c r="O241" s="9"/>
    </row>
    <row r="242" spans="1:15" ht="15" customHeight="1" x14ac:dyDescent="0.25">
      <c r="A242" s="493" t="s">
        <v>631</v>
      </c>
      <c r="B242" s="91" t="s">
        <v>790</v>
      </c>
      <c r="C242" s="92"/>
      <c r="D242" s="204"/>
      <c r="E242" s="208" t="s">
        <v>791</v>
      </c>
      <c r="F242" s="94"/>
      <c r="G242" s="6"/>
      <c r="H242" s="7"/>
      <c r="I242" s="95">
        <f t="shared" si="96"/>
        <v>0</v>
      </c>
      <c r="J242" s="95">
        <f t="shared" si="97"/>
        <v>0</v>
      </c>
      <c r="K242" s="7"/>
      <c r="L242" s="9"/>
      <c r="M242" s="96">
        <f t="shared" si="98"/>
        <v>0</v>
      </c>
      <c r="N242" s="96">
        <f t="shared" si="99"/>
        <v>0</v>
      </c>
      <c r="O242" s="9"/>
    </row>
    <row r="243" spans="1:15" ht="75" customHeight="1" x14ac:dyDescent="0.25">
      <c r="A243" s="493" t="s">
        <v>631</v>
      </c>
      <c r="B243" s="91" t="s">
        <v>790</v>
      </c>
      <c r="C243" s="92"/>
      <c r="D243" s="204"/>
      <c r="E243" s="209" t="s">
        <v>1789</v>
      </c>
      <c r="F243" s="94"/>
      <c r="G243" s="6"/>
      <c r="H243" s="7"/>
      <c r="I243" s="95">
        <f t="shared" si="96"/>
        <v>0</v>
      </c>
      <c r="J243" s="95">
        <f t="shared" si="97"/>
        <v>0</v>
      </c>
      <c r="K243" s="7"/>
      <c r="L243" s="9"/>
      <c r="M243" s="96">
        <f t="shared" si="98"/>
        <v>0</v>
      </c>
      <c r="N243" s="96">
        <f t="shared" si="99"/>
        <v>0</v>
      </c>
      <c r="O243" s="9"/>
    </row>
    <row r="244" spans="1:15" ht="255" customHeight="1" x14ac:dyDescent="0.25">
      <c r="A244" s="493" t="s">
        <v>631</v>
      </c>
      <c r="B244" s="91" t="s">
        <v>790</v>
      </c>
      <c r="C244" s="92"/>
      <c r="D244" s="204"/>
      <c r="E244" s="93" t="s">
        <v>792</v>
      </c>
      <c r="F244" s="94"/>
      <c r="G244" s="6"/>
      <c r="H244" s="7"/>
      <c r="I244" s="95">
        <f t="shared" si="96"/>
        <v>0</v>
      </c>
      <c r="J244" s="95">
        <f t="shared" si="97"/>
        <v>0</v>
      </c>
      <c r="K244" s="7"/>
      <c r="L244" s="9"/>
      <c r="M244" s="96">
        <f t="shared" si="98"/>
        <v>0</v>
      </c>
      <c r="N244" s="96">
        <f t="shared" si="99"/>
        <v>0</v>
      </c>
      <c r="O244" s="9"/>
    </row>
    <row r="245" spans="1:15" ht="210" customHeight="1" x14ac:dyDescent="0.25">
      <c r="A245" s="493" t="s">
        <v>631</v>
      </c>
      <c r="B245" s="91" t="s">
        <v>790</v>
      </c>
      <c r="C245" s="92"/>
      <c r="D245" s="204"/>
      <c r="E245" s="209" t="s">
        <v>1790</v>
      </c>
      <c r="F245" s="94"/>
      <c r="G245" s="6"/>
      <c r="H245" s="7"/>
      <c r="I245" s="95">
        <f t="shared" si="96"/>
        <v>0</v>
      </c>
      <c r="J245" s="95">
        <f t="shared" si="97"/>
        <v>0</v>
      </c>
      <c r="K245" s="7"/>
      <c r="L245" s="9"/>
      <c r="M245" s="96">
        <f t="shared" si="98"/>
        <v>0</v>
      </c>
      <c r="N245" s="96">
        <f t="shared" si="99"/>
        <v>0</v>
      </c>
      <c r="O245" s="9"/>
    </row>
    <row r="246" spans="1:15" ht="15" customHeight="1" x14ac:dyDescent="0.25">
      <c r="A246" s="493" t="s">
        <v>1022</v>
      </c>
      <c r="B246" s="205" t="str">
        <f>+B245</f>
        <v>Sec1/25</v>
      </c>
      <c r="C246" s="97"/>
      <c r="D246" s="205"/>
      <c r="E246" s="98" t="s">
        <v>640</v>
      </c>
      <c r="F246" s="97"/>
      <c r="G246" s="11"/>
      <c r="H246" s="11"/>
      <c r="I246" s="11"/>
      <c r="J246" s="99">
        <f>SUBTOTAL(9,J240:J245)</f>
        <v>0</v>
      </c>
      <c r="K246" s="11"/>
      <c r="L246" s="11"/>
      <c r="M246" s="11"/>
      <c r="N246" s="99">
        <f>SUBTOTAL(9,N240:N245)</f>
        <v>0</v>
      </c>
      <c r="O246" s="11"/>
    </row>
    <row r="247" spans="1:15" ht="15" customHeight="1" x14ac:dyDescent="0.25">
      <c r="A247" s="493" t="s">
        <v>631</v>
      </c>
      <c r="B247" s="91" t="s">
        <v>793</v>
      </c>
      <c r="C247" s="92"/>
      <c r="D247" s="207" t="s">
        <v>1004</v>
      </c>
      <c r="E247" s="208" t="s">
        <v>1747</v>
      </c>
      <c r="F247" s="94"/>
      <c r="G247" s="6"/>
      <c r="H247" s="7"/>
      <c r="I247" s="95">
        <f t="shared" ref="I247:I254" si="100">ROUND(H247*G247,2)</f>
        <v>0</v>
      </c>
      <c r="J247" s="95">
        <f t="shared" ref="J247:J254" si="101">ROUNDUP(I247,0)</f>
        <v>0</v>
      </c>
      <c r="K247" s="7"/>
      <c r="L247" s="9"/>
      <c r="M247" s="96">
        <f t="shared" ref="M247:M254" si="102">ROUND(L247*G247,2)</f>
        <v>0</v>
      </c>
      <c r="N247" s="96">
        <f t="shared" ref="N247:N254" si="103">ROUNDUP(M247,0)</f>
        <v>0</v>
      </c>
      <c r="O247" s="9"/>
    </row>
    <row r="248" spans="1:15" ht="15" customHeight="1" x14ac:dyDescent="0.25">
      <c r="A248" s="493" t="s">
        <v>631</v>
      </c>
      <c r="B248" s="91" t="s">
        <v>793</v>
      </c>
      <c r="C248" s="92"/>
      <c r="D248" s="207">
        <v>34</v>
      </c>
      <c r="E248" s="208" t="s">
        <v>1788</v>
      </c>
      <c r="F248" s="94"/>
      <c r="G248" s="6"/>
      <c r="H248" s="7"/>
      <c r="I248" s="95">
        <f t="shared" si="100"/>
        <v>0</v>
      </c>
      <c r="J248" s="95">
        <f t="shared" si="101"/>
        <v>0</v>
      </c>
      <c r="K248" s="7"/>
      <c r="L248" s="9"/>
      <c r="M248" s="96">
        <f t="shared" si="102"/>
        <v>0</v>
      </c>
      <c r="N248" s="96">
        <f t="shared" si="103"/>
        <v>0</v>
      </c>
      <c r="O248" s="9"/>
    </row>
    <row r="249" spans="1:15" ht="15" customHeight="1" x14ac:dyDescent="0.25">
      <c r="A249" s="493" t="s">
        <v>631</v>
      </c>
      <c r="B249" s="91" t="s">
        <v>793</v>
      </c>
      <c r="C249" s="92"/>
      <c r="D249" s="207"/>
      <c r="E249" s="208" t="s">
        <v>791</v>
      </c>
      <c r="F249" s="94"/>
      <c r="G249" s="6"/>
      <c r="H249" s="7"/>
      <c r="I249" s="95">
        <f t="shared" si="100"/>
        <v>0</v>
      </c>
      <c r="J249" s="95">
        <f t="shared" si="101"/>
        <v>0</v>
      </c>
      <c r="K249" s="7"/>
      <c r="L249" s="9"/>
      <c r="M249" s="96">
        <f t="shared" si="102"/>
        <v>0</v>
      </c>
      <c r="N249" s="96">
        <f t="shared" si="103"/>
        <v>0</v>
      </c>
      <c r="O249" s="9"/>
    </row>
    <row r="250" spans="1:15" ht="90" customHeight="1" x14ac:dyDescent="0.25">
      <c r="A250" s="493" t="s">
        <v>631</v>
      </c>
      <c r="B250" s="91" t="s">
        <v>793</v>
      </c>
      <c r="C250" s="92"/>
      <c r="D250" s="204"/>
      <c r="E250" s="93" t="s">
        <v>794</v>
      </c>
      <c r="F250" s="94"/>
      <c r="G250" s="6"/>
      <c r="H250" s="7"/>
      <c r="I250" s="95">
        <f t="shared" si="100"/>
        <v>0</v>
      </c>
      <c r="J250" s="95">
        <f t="shared" si="101"/>
        <v>0</v>
      </c>
      <c r="K250" s="7"/>
      <c r="L250" s="9"/>
      <c r="M250" s="96">
        <f t="shared" si="102"/>
        <v>0</v>
      </c>
      <c r="N250" s="96">
        <f t="shared" si="103"/>
        <v>0</v>
      </c>
      <c r="O250" s="9"/>
    </row>
    <row r="251" spans="1:15" ht="45" customHeight="1" x14ac:dyDescent="0.25">
      <c r="A251" s="493" t="s">
        <v>631</v>
      </c>
      <c r="B251" s="91" t="s">
        <v>793</v>
      </c>
      <c r="C251" s="92"/>
      <c r="D251" s="204"/>
      <c r="E251" s="93" t="s">
        <v>795</v>
      </c>
      <c r="F251" s="94"/>
      <c r="G251" s="6"/>
      <c r="H251" s="7"/>
      <c r="I251" s="95">
        <f t="shared" si="100"/>
        <v>0</v>
      </c>
      <c r="J251" s="95">
        <f t="shared" si="101"/>
        <v>0</v>
      </c>
      <c r="K251" s="7"/>
      <c r="L251" s="9"/>
      <c r="M251" s="96">
        <f t="shared" si="102"/>
        <v>0</v>
      </c>
      <c r="N251" s="96">
        <f t="shared" si="103"/>
        <v>0</v>
      </c>
      <c r="O251" s="9"/>
    </row>
    <row r="252" spans="1:15" ht="75" customHeight="1" x14ac:dyDescent="0.25">
      <c r="A252" s="493" t="s">
        <v>631</v>
      </c>
      <c r="B252" s="91" t="s">
        <v>793</v>
      </c>
      <c r="C252" s="92"/>
      <c r="D252" s="204"/>
      <c r="E252" s="93" t="s">
        <v>796</v>
      </c>
      <c r="F252" s="94"/>
      <c r="G252" s="6"/>
      <c r="H252" s="7"/>
      <c r="I252" s="95">
        <f t="shared" si="100"/>
        <v>0</v>
      </c>
      <c r="J252" s="95">
        <f t="shared" si="101"/>
        <v>0</v>
      </c>
      <c r="K252" s="7"/>
      <c r="L252" s="9"/>
      <c r="M252" s="96">
        <f t="shared" si="102"/>
        <v>0</v>
      </c>
      <c r="N252" s="96">
        <f t="shared" si="103"/>
        <v>0</v>
      </c>
      <c r="O252" s="9"/>
    </row>
    <row r="253" spans="1:15" ht="165" customHeight="1" x14ac:dyDescent="0.25">
      <c r="A253" s="493" t="s">
        <v>631</v>
      </c>
      <c r="B253" s="91" t="s">
        <v>793</v>
      </c>
      <c r="C253" s="92"/>
      <c r="D253" s="204"/>
      <c r="E253" s="93" t="s">
        <v>797</v>
      </c>
      <c r="F253" s="94"/>
      <c r="G253" s="6"/>
      <c r="H253" s="7"/>
      <c r="I253" s="95">
        <f t="shared" si="100"/>
        <v>0</v>
      </c>
      <c r="J253" s="95">
        <f t="shared" si="101"/>
        <v>0</v>
      </c>
      <c r="K253" s="7"/>
      <c r="L253" s="9"/>
      <c r="M253" s="96">
        <f t="shared" si="102"/>
        <v>0</v>
      </c>
      <c r="N253" s="96">
        <f t="shared" si="103"/>
        <v>0</v>
      </c>
      <c r="O253" s="9"/>
    </row>
    <row r="254" spans="1:15" ht="105" customHeight="1" x14ac:dyDescent="0.25">
      <c r="A254" s="493" t="s">
        <v>631</v>
      </c>
      <c r="B254" s="91" t="s">
        <v>793</v>
      </c>
      <c r="C254" s="92"/>
      <c r="D254" s="204"/>
      <c r="E254" s="93" t="s">
        <v>798</v>
      </c>
      <c r="F254" s="94"/>
      <c r="G254" s="6"/>
      <c r="H254" s="7"/>
      <c r="I254" s="95">
        <f t="shared" si="100"/>
        <v>0</v>
      </c>
      <c r="J254" s="95">
        <f t="shared" si="101"/>
        <v>0</v>
      </c>
      <c r="K254" s="7"/>
      <c r="L254" s="9"/>
      <c r="M254" s="96">
        <f t="shared" si="102"/>
        <v>0</v>
      </c>
      <c r="N254" s="96">
        <f t="shared" si="103"/>
        <v>0</v>
      </c>
      <c r="O254" s="9"/>
    </row>
    <row r="255" spans="1:15" ht="15" customHeight="1" x14ac:dyDescent="0.25">
      <c r="A255" s="493" t="s">
        <v>1022</v>
      </c>
      <c r="B255" s="205" t="str">
        <f>+B254</f>
        <v>Sec1/26</v>
      </c>
      <c r="C255" s="97"/>
      <c r="D255" s="205"/>
      <c r="E255" s="98" t="s">
        <v>640</v>
      </c>
      <c r="F255" s="97"/>
      <c r="G255" s="11"/>
      <c r="H255" s="11"/>
      <c r="I255" s="11"/>
      <c r="J255" s="99">
        <f>SUBTOTAL(9,J247:J254)</f>
        <v>0</v>
      </c>
      <c r="K255" s="11"/>
      <c r="L255" s="11"/>
      <c r="M255" s="11"/>
      <c r="N255" s="99">
        <f>SUBTOTAL(9,N247:N254)</f>
        <v>0</v>
      </c>
      <c r="O255" s="11"/>
    </row>
    <row r="256" spans="1:15" ht="15" customHeight="1" x14ac:dyDescent="0.25">
      <c r="A256" s="493" t="s">
        <v>631</v>
      </c>
      <c r="B256" s="91" t="s">
        <v>799</v>
      </c>
      <c r="C256" s="92"/>
      <c r="D256" s="207" t="s">
        <v>1004</v>
      </c>
      <c r="E256" s="208" t="s">
        <v>1747</v>
      </c>
      <c r="F256" s="94"/>
      <c r="G256" s="6"/>
      <c r="H256" s="7"/>
      <c r="I256" s="95">
        <f t="shared" ref="I256:I264" si="104">ROUND(H256*G256,2)</f>
        <v>0</v>
      </c>
      <c r="J256" s="95">
        <f t="shared" ref="J256:J264" si="105">ROUNDUP(I256,0)</f>
        <v>0</v>
      </c>
      <c r="K256" s="7"/>
      <c r="L256" s="9"/>
      <c r="M256" s="96">
        <f t="shared" ref="M256:M264" si="106">ROUND(L256*G256,2)</f>
        <v>0</v>
      </c>
      <c r="N256" s="96">
        <f t="shared" ref="N256:N264" si="107">ROUNDUP(M256,0)</f>
        <v>0</v>
      </c>
      <c r="O256" s="9"/>
    </row>
    <row r="257" spans="1:15" ht="15" customHeight="1" x14ac:dyDescent="0.25">
      <c r="A257" s="493" t="s">
        <v>631</v>
      </c>
      <c r="B257" s="91" t="s">
        <v>799</v>
      </c>
      <c r="C257" s="92"/>
      <c r="D257" s="207">
        <v>35</v>
      </c>
      <c r="E257" s="208" t="s">
        <v>1791</v>
      </c>
      <c r="F257" s="94"/>
      <c r="G257" s="6"/>
      <c r="H257" s="7"/>
      <c r="I257" s="95">
        <f t="shared" si="104"/>
        <v>0</v>
      </c>
      <c r="J257" s="95">
        <f t="shared" si="105"/>
        <v>0</v>
      </c>
      <c r="K257" s="7"/>
      <c r="L257" s="9"/>
      <c r="M257" s="96">
        <f t="shared" si="106"/>
        <v>0</v>
      </c>
      <c r="N257" s="96">
        <f t="shared" si="107"/>
        <v>0</v>
      </c>
      <c r="O257" s="9"/>
    </row>
    <row r="258" spans="1:15" ht="60" customHeight="1" x14ac:dyDescent="0.25">
      <c r="A258" s="493" t="s">
        <v>631</v>
      </c>
      <c r="B258" s="91" t="s">
        <v>799</v>
      </c>
      <c r="C258" s="92"/>
      <c r="D258" s="204"/>
      <c r="E258" s="93" t="s">
        <v>800</v>
      </c>
      <c r="F258" s="94"/>
      <c r="G258" s="6"/>
      <c r="H258" s="7"/>
      <c r="I258" s="95">
        <f t="shared" si="104"/>
        <v>0</v>
      </c>
      <c r="J258" s="95">
        <f t="shared" si="105"/>
        <v>0</v>
      </c>
      <c r="K258" s="7"/>
      <c r="L258" s="9"/>
      <c r="M258" s="96">
        <f t="shared" si="106"/>
        <v>0</v>
      </c>
      <c r="N258" s="96">
        <f t="shared" si="107"/>
        <v>0</v>
      </c>
      <c r="O258" s="9"/>
    </row>
    <row r="259" spans="1:15" ht="75" customHeight="1" x14ac:dyDescent="0.25">
      <c r="A259" s="493" t="s">
        <v>631</v>
      </c>
      <c r="B259" s="91" t="s">
        <v>799</v>
      </c>
      <c r="C259" s="92"/>
      <c r="D259" s="204"/>
      <c r="E259" s="93" t="s">
        <v>801</v>
      </c>
      <c r="F259" s="94"/>
      <c r="G259" s="6"/>
      <c r="H259" s="7"/>
      <c r="I259" s="95">
        <f t="shared" si="104"/>
        <v>0</v>
      </c>
      <c r="J259" s="95">
        <f t="shared" si="105"/>
        <v>0</v>
      </c>
      <c r="K259" s="7"/>
      <c r="L259" s="9"/>
      <c r="M259" s="96">
        <f t="shared" si="106"/>
        <v>0</v>
      </c>
      <c r="N259" s="96">
        <f t="shared" si="107"/>
        <v>0</v>
      </c>
      <c r="O259" s="9"/>
    </row>
    <row r="260" spans="1:15" ht="45" customHeight="1" x14ac:dyDescent="0.25">
      <c r="A260" s="493" t="s">
        <v>631</v>
      </c>
      <c r="B260" s="91" t="s">
        <v>799</v>
      </c>
      <c r="C260" s="92"/>
      <c r="D260" s="204"/>
      <c r="E260" s="93" t="s">
        <v>802</v>
      </c>
      <c r="F260" s="94"/>
      <c r="G260" s="6"/>
      <c r="H260" s="7"/>
      <c r="I260" s="95">
        <f t="shared" si="104"/>
        <v>0</v>
      </c>
      <c r="J260" s="95">
        <f t="shared" si="105"/>
        <v>0</v>
      </c>
      <c r="K260" s="7"/>
      <c r="L260" s="9"/>
      <c r="M260" s="96">
        <f t="shared" si="106"/>
        <v>0</v>
      </c>
      <c r="N260" s="96">
        <f t="shared" si="107"/>
        <v>0</v>
      </c>
      <c r="O260" s="9"/>
    </row>
    <row r="261" spans="1:15" ht="45" customHeight="1" x14ac:dyDescent="0.25">
      <c r="A261" s="493" t="s">
        <v>631</v>
      </c>
      <c r="B261" s="91" t="s">
        <v>799</v>
      </c>
      <c r="C261" s="92"/>
      <c r="D261" s="204"/>
      <c r="E261" s="93" t="s">
        <v>803</v>
      </c>
      <c r="F261" s="94"/>
      <c r="G261" s="6"/>
      <c r="H261" s="7"/>
      <c r="I261" s="95">
        <f t="shared" si="104"/>
        <v>0</v>
      </c>
      <c r="J261" s="95">
        <f t="shared" si="105"/>
        <v>0</v>
      </c>
      <c r="K261" s="7"/>
      <c r="L261" s="9"/>
      <c r="M261" s="96">
        <f t="shared" si="106"/>
        <v>0</v>
      </c>
      <c r="N261" s="96">
        <f t="shared" si="107"/>
        <v>0</v>
      </c>
      <c r="O261" s="9"/>
    </row>
    <row r="262" spans="1:15" ht="15" customHeight="1" x14ac:dyDescent="0.25">
      <c r="A262" s="493" t="s">
        <v>631</v>
      </c>
      <c r="B262" s="91" t="s">
        <v>799</v>
      </c>
      <c r="C262" s="92"/>
      <c r="D262" s="207">
        <v>36</v>
      </c>
      <c r="E262" s="208" t="s">
        <v>1792</v>
      </c>
      <c r="F262" s="94"/>
      <c r="G262" s="6"/>
      <c r="H262" s="7"/>
      <c r="I262" s="95">
        <f t="shared" si="104"/>
        <v>0</v>
      </c>
      <c r="J262" s="95">
        <f t="shared" si="105"/>
        <v>0</v>
      </c>
      <c r="K262" s="7"/>
      <c r="L262" s="9"/>
      <c r="M262" s="96">
        <f t="shared" si="106"/>
        <v>0</v>
      </c>
      <c r="N262" s="96">
        <f t="shared" si="107"/>
        <v>0</v>
      </c>
      <c r="O262" s="9"/>
    </row>
    <row r="263" spans="1:15" ht="165" customHeight="1" x14ac:dyDescent="0.25">
      <c r="A263" s="493" t="s">
        <v>631</v>
      </c>
      <c r="B263" s="91" t="s">
        <v>799</v>
      </c>
      <c r="C263" s="92"/>
      <c r="D263" s="204"/>
      <c r="E263" s="93" t="s">
        <v>804</v>
      </c>
      <c r="F263" s="94"/>
      <c r="G263" s="6"/>
      <c r="H263" s="7"/>
      <c r="I263" s="95">
        <f t="shared" si="104"/>
        <v>0</v>
      </c>
      <c r="J263" s="95">
        <f t="shared" si="105"/>
        <v>0</v>
      </c>
      <c r="K263" s="7"/>
      <c r="L263" s="9"/>
      <c r="M263" s="96">
        <f t="shared" si="106"/>
        <v>0</v>
      </c>
      <c r="N263" s="96">
        <f t="shared" si="107"/>
        <v>0</v>
      </c>
      <c r="O263" s="9"/>
    </row>
    <row r="264" spans="1:15" ht="45" customHeight="1" x14ac:dyDescent="0.25">
      <c r="A264" s="493" t="s">
        <v>631</v>
      </c>
      <c r="B264" s="91" t="s">
        <v>799</v>
      </c>
      <c r="C264" s="92"/>
      <c r="D264" s="204"/>
      <c r="E264" s="93" t="s">
        <v>805</v>
      </c>
      <c r="F264" s="94"/>
      <c r="G264" s="6"/>
      <c r="H264" s="7"/>
      <c r="I264" s="95">
        <f t="shared" si="104"/>
        <v>0</v>
      </c>
      <c r="J264" s="95">
        <f t="shared" si="105"/>
        <v>0</v>
      </c>
      <c r="K264" s="7"/>
      <c r="L264" s="9"/>
      <c r="M264" s="96">
        <f t="shared" si="106"/>
        <v>0</v>
      </c>
      <c r="N264" s="96">
        <f t="shared" si="107"/>
        <v>0</v>
      </c>
      <c r="O264" s="9"/>
    </row>
    <row r="265" spans="1:15" ht="15" customHeight="1" x14ac:dyDescent="0.25">
      <c r="A265" s="493" t="s">
        <v>1022</v>
      </c>
      <c r="B265" s="205" t="str">
        <f>+B264</f>
        <v>Sec1/27</v>
      </c>
      <c r="C265" s="97"/>
      <c r="D265" s="205"/>
      <c r="E265" s="98" t="s">
        <v>640</v>
      </c>
      <c r="F265" s="97"/>
      <c r="G265" s="11"/>
      <c r="H265" s="11"/>
      <c r="I265" s="11"/>
      <c r="J265" s="99">
        <f>SUBTOTAL(9,J256:J264)</f>
        <v>0</v>
      </c>
      <c r="K265" s="11"/>
      <c r="L265" s="11"/>
      <c r="M265" s="11"/>
      <c r="N265" s="99">
        <f>SUBTOTAL(9,N256:N264)</f>
        <v>0</v>
      </c>
      <c r="O265" s="11"/>
    </row>
    <row r="266" spans="1:15" ht="15" customHeight="1" x14ac:dyDescent="0.25">
      <c r="A266" s="493" t="s">
        <v>631</v>
      </c>
      <c r="B266" s="91" t="s">
        <v>806</v>
      </c>
      <c r="C266" s="92"/>
      <c r="D266" s="207" t="s">
        <v>1004</v>
      </c>
      <c r="E266" s="208" t="s">
        <v>1747</v>
      </c>
      <c r="F266" s="94"/>
      <c r="G266" s="6"/>
      <c r="H266" s="7"/>
      <c r="I266" s="95">
        <f t="shared" ref="I266:I274" si="108">ROUND(H266*G266,2)</f>
        <v>0</v>
      </c>
      <c r="J266" s="95">
        <f t="shared" ref="J266:J274" si="109">ROUNDUP(I266,0)</f>
        <v>0</v>
      </c>
      <c r="K266" s="7"/>
      <c r="L266" s="9"/>
      <c r="M266" s="96">
        <f t="shared" ref="M266:M274" si="110">ROUND(L266*G266,2)</f>
        <v>0</v>
      </c>
      <c r="N266" s="96">
        <f t="shared" ref="N266:N274" si="111">ROUNDUP(M266,0)</f>
        <v>0</v>
      </c>
      <c r="O266" s="9"/>
    </row>
    <row r="267" spans="1:15" ht="15" customHeight="1" x14ac:dyDescent="0.25">
      <c r="A267" s="493" t="s">
        <v>631</v>
      </c>
      <c r="B267" s="91" t="s">
        <v>806</v>
      </c>
      <c r="C267" s="92"/>
      <c r="D267" s="207">
        <v>37</v>
      </c>
      <c r="E267" s="208" t="s">
        <v>1793</v>
      </c>
      <c r="F267" s="94"/>
      <c r="G267" s="6"/>
      <c r="H267" s="7"/>
      <c r="I267" s="95">
        <f t="shared" si="108"/>
        <v>0</v>
      </c>
      <c r="J267" s="95">
        <f t="shared" si="109"/>
        <v>0</v>
      </c>
      <c r="K267" s="7"/>
      <c r="L267" s="9"/>
      <c r="M267" s="96">
        <f t="shared" si="110"/>
        <v>0</v>
      </c>
      <c r="N267" s="96">
        <f t="shared" si="111"/>
        <v>0</v>
      </c>
      <c r="O267" s="9"/>
    </row>
    <row r="268" spans="1:15" ht="75" customHeight="1" x14ac:dyDescent="0.25">
      <c r="A268" s="493" t="s">
        <v>631</v>
      </c>
      <c r="B268" s="91" t="s">
        <v>806</v>
      </c>
      <c r="C268" s="92"/>
      <c r="D268" s="204"/>
      <c r="E268" s="93" t="s">
        <v>807</v>
      </c>
      <c r="F268" s="94"/>
      <c r="G268" s="6"/>
      <c r="H268" s="7"/>
      <c r="I268" s="95">
        <f t="shared" si="108"/>
        <v>0</v>
      </c>
      <c r="J268" s="95">
        <f t="shared" si="109"/>
        <v>0</v>
      </c>
      <c r="K268" s="7"/>
      <c r="L268" s="9"/>
      <c r="M268" s="96">
        <f t="shared" si="110"/>
        <v>0</v>
      </c>
      <c r="N268" s="96">
        <f t="shared" si="111"/>
        <v>0</v>
      </c>
      <c r="O268" s="9"/>
    </row>
    <row r="269" spans="1:15" ht="135" customHeight="1" x14ac:dyDescent="0.25">
      <c r="A269" s="493" t="s">
        <v>631</v>
      </c>
      <c r="B269" s="91" t="s">
        <v>806</v>
      </c>
      <c r="C269" s="92"/>
      <c r="D269" s="204"/>
      <c r="E269" s="93" t="s">
        <v>808</v>
      </c>
      <c r="F269" s="94"/>
      <c r="G269" s="6"/>
      <c r="H269" s="7"/>
      <c r="I269" s="95">
        <f t="shared" si="108"/>
        <v>0</v>
      </c>
      <c r="J269" s="95">
        <f t="shared" si="109"/>
        <v>0</v>
      </c>
      <c r="K269" s="7"/>
      <c r="L269" s="9"/>
      <c r="M269" s="96">
        <f t="shared" si="110"/>
        <v>0</v>
      </c>
      <c r="N269" s="96">
        <f t="shared" si="111"/>
        <v>0</v>
      </c>
      <c r="O269" s="9"/>
    </row>
    <row r="270" spans="1:15" ht="75" customHeight="1" x14ac:dyDescent="0.25">
      <c r="A270" s="493" t="s">
        <v>631</v>
      </c>
      <c r="B270" s="91" t="s">
        <v>806</v>
      </c>
      <c r="C270" s="92"/>
      <c r="D270" s="204"/>
      <c r="E270" s="93" t="s">
        <v>809</v>
      </c>
      <c r="F270" s="94"/>
      <c r="G270" s="6"/>
      <c r="H270" s="7"/>
      <c r="I270" s="95">
        <f t="shared" si="108"/>
        <v>0</v>
      </c>
      <c r="J270" s="95">
        <f t="shared" si="109"/>
        <v>0</v>
      </c>
      <c r="K270" s="7"/>
      <c r="L270" s="9"/>
      <c r="M270" s="96">
        <f t="shared" si="110"/>
        <v>0</v>
      </c>
      <c r="N270" s="96">
        <f t="shared" si="111"/>
        <v>0</v>
      </c>
      <c r="O270" s="9"/>
    </row>
    <row r="271" spans="1:15" ht="75" customHeight="1" x14ac:dyDescent="0.25">
      <c r="A271" s="493" t="s">
        <v>631</v>
      </c>
      <c r="B271" s="91" t="s">
        <v>806</v>
      </c>
      <c r="C271" s="92"/>
      <c r="D271" s="204"/>
      <c r="E271" s="93" t="s">
        <v>810</v>
      </c>
      <c r="F271" s="94"/>
      <c r="G271" s="6"/>
      <c r="H271" s="7"/>
      <c r="I271" s="95">
        <f t="shared" si="108"/>
        <v>0</v>
      </c>
      <c r="J271" s="95">
        <f t="shared" si="109"/>
        <v>0</v>
      </c>
      <c r="K271" s="7"/>
      <c r="L271" s="9"/>
      <c r="M271" s="96">
        <f t="shared" si="110"/>
        <v>0</v>
      </c>
      <c r="N271" s="96">
        <f t="shared" si="111"/>
        <v>0</v>
      </c>
      <c r="O271" s="9"/>
    </row>
    <row r="272" spans="1:15" ht="45" customHeight="1" x14ac:dyDescent="0.25">
      <c r="A272" s="493" t="s">
        <v>631</v>
      </c>
      <c r="B272" s="91" t="s">
        <v>806</v>
      </c>
      <c r="C272" s="92"/>
      <c r="D272" s="204"/>
      <c r="E272" s="93" t="s">
        <v>811</v>
      </c>
      <c r="F272" s="94"/>
      <c r="G272" s="6"/>
      <c r="H272" s="7"/>
      <c r="I272" s="95">
        <f t="shared" si="108"/>
        <v>0</v>
      </c>
      <c r="J272" s="95">
        <f t="shared" si="109"/>
        <v>0</v>
      </c>
      <c r="K272" s="7"/>
      <c r="L272" s="9"/>
      <c r="M272" s="96">
        <f t="shared" si="110"/>
        <v>0</v>
      </c>
      <c r="N272" s="96">
        <f t="shared" si="111"/>
        <v>0</v>
      </c>
      <c r="O272" s="9"/>
    </row>
    <row r="273" spans="1:15" ht="210" customHeight="1" x14ac:dyDescent="0.25">
      <c r="A273" s="493" t="s">
        <v>631</v>
      </c>
      <c r="B273" s="91" t="s">
        <v>806</v>
      </c>
      <c r="C273" s="92"/>
      <c r="D273" s="204"/>
      <c r="E273" s="93" t="s">
        <v>812</v>
      </c>
      <c r="F273" s="94"/>
      <c r="G273" s="6"/>
      <c r="H273" s="7"/>
      <c r="I273" s="95">
        <f t="shared" si="108"/>
        <v>0</v>
      </c>
      <c r="J273" s="95">
        <f t="shared" si="109"/>
        <v>0</v>
      </c>
      <c r="K273" s="7"/>
      <c r="L273" s="9"/>
      <c r="M273" s="96">
        <f t="shared" si="110"/>
        <v>0</v>
      </c>
      <c r="N273" s="96">
        <f t="shared" si="111"/>
        <v>0</v>
      </c>
      <c r="O273" s="9"/>
    </row>
    <row r="274" spans="1:15" ht="45" customHeight="1" x14ac:dyDescent="0.25">
      <c r="A274" s="493" t="s">
        <v>631</v>
      </c>
      <c r="B274" s="91" t="s">
        <v>806</v>
      </c>
      <c r="C274" s="92"/>
      <c r="D274" s="204"/>
      <c r="E274" s="93" t="s">
        <v>813</v>
      </c>
      <c r="F274" s="94"/>
      <c r="G274" s="6"/>
      <c r="H274" s="7"/>
      <c r="I274" s="95">
        <f t="shared" si="108"/>
        <v>0</v>
      </c>
      <c r="J274" s="95">
        <f t="shared" si="109"/>
        <v>0</v>
      </c>
      <c r="K274" s="7"/>
      <c r="L274" s="9"/>
      <c r="M274" s="96">
        <f t="shared" si="110"/>
        <v>0</v>
      </c>
      <c r="N274" s="96">
        <f t="shared" si="111"/>
        <v>0</v>
      </c>
      <c r="O274" s="9"/>
    </row>
    <row r="275" spans="1:15" ht="15" customHeight="1" x14ac:dyDescent="0.25">
      <c r="A275" s="493" t="s">
        <v>1022</v>
      </c>
      <c r="B275" s="205" t="str">
        <f>+B274</f>
        <v>Sec1/28</v>
      </c>
      <c r="C275" s="97"/>
      <c r="D275" s="205"/>
      <c r="E275" s="98" t="s">
        <v>640</v>
      </c>
      <c r="F275" s="97"/>
      <c r="G275" s="11"/>
      <c r="H275" s="11"/>
      <c r="I275" s="11"/>
      <c r="J275" s="99">
        <f>SUBTOTAL(9,J266:J274)</f>
        <v>0</v>
      </c>
      <c r="K275" s="11"/>
      <c r="L275" s="11"/>
      <c r="M275" s="11"/>
      <c r="N275" s="99">
        <f>SUBTOTAL(9,N266:N274)</f>
        <v>0</v>
      </c>
      <c r="O275" s="11"/>
    </row>
    <row r="276" spans="1:15" ht="15" customHeight="1" x14ac:dyDescent="0.25">
      <c r="A276" s="493" t="s">
        <v>631</v>
      </c>
      <c r="B276" s="91" t="s">
        <v>814</v>
      </c>
      <c r="C276" s="92"/>
      <c r="D276" s="207" t="s">
        <v>1004</v>
      </c>
      <c r="E276" s="208" t="s">
        <v>1747</v>
      </c>
      <c r="F276" s="94"/>
      <c r="G276" s="6"/>
      <c r="H276" s="7"/>
      <c r="I276" s="95">
        <f t="shared" ref="I276:I285" si="112">ROUND(H276*G276,2)</f>
        <v>0</v>
      </c>
      <c r="J276" s="95">
        <f t="shared" ref="J276:J285" si="113">ROUNDUP(I276,0)</f>
        <v>0</v>
      </c>
      <c r="K276" s="7"/>
      <c r="L276" s="9"/>
      <c r="M276" s="96">
        <f t="shared" ref="M276:M285" si="114">ROUND(L276*G276,2)</f>
        <v>0</v>
      </c>
      <c r="N276" s="96">
        <f t="shared" ref="N276:N285" si="115">ROUNDUP(M276,0)</f>
        <v>0</v>
      </c>
      <c r="O276" s="9"/>
    </row>
    <row r="277" spans="1:15" ht="15" customHeight="1" x14ac:dyDescent="0.25">
      <c r="A277" s="493" t="s">
        <v>631</v>
      </c>
      <c r="B277" s="91" t="s">
        <v>814</v>
      </c>
      <c r="C277" s="92"/>
      <c r="D277" s="207">
        <v>38</v>
      </c>
      <c r="E277" s="208" t="s">
        <v>1794</v>
      </c>
      <c r="F277" s="94"/>
      <c r="G277" s="6"/>
      <c r="H277" s="7"/>
      <c r="I277" s="95">
        <f t="shared" si="112"/>
        <v>0</v>
      </c>
      <c r="J277" s="95">
        <f t="shared" si="113"/>
        <v>0</v>
      </c>
      <c r="K277" s="7"/>
      <c r="L277" s="9"/>
      <c r="M277" s="96">
        <f t="shared" si="114"/>
        <v>0</v>
      </c>
      <c r="N277" s="96">
        <f t="shared" si="115"/>
        <v>0</v>
      </c>
      <c r="O277" s="9"/>
    </row>
    <row r="278" spans="1:15" ht="45" customHeight="1" x14ac:dyDescent="0.25">
      <c r="A278" s="493" t="s">
        <v>631</v>
      </c>
      <c r="B278" s="91" t="s">
        <v>814</v>
      </c>
      <c r="C278" s="92"/>
      <c r="D278" s="204"/>
      <c r="E278" s="93" t="s">
        <v>815</v>
      </c>
      <c r="F278" s="94"/>
      <c r="G278" s="6"/>
      <c r="H278" s="7"/>
      <c r="I278" s="95">
        <f t="shared" si="112"/>
        <v>0</v>
      </c>
      <c r="J278" s="95">
        <f t="shared" si="113"/>
        <v>0</v>
      </c>
      <c r="K278" s="7"/>
      <c r="L278" s="9"/>
      <c r="M278" s="96">
        <f t="shared" si="114"/>
        <v>0</v>
      </c>
      <c r="N278" s="96">
        <f t="shared" si="115"/>
        <v>0</v>
      </c>
      <c r="O278" s="9"/>
    </row>
    <row r="279" spans="1:15" ht="15" customHeight="1" x14ac:dyDescent="0.25">
      <c r="A279" s="493" t="s">
        <v>631</v>
      </c>
      <c r="B279" s="91" t="s">
        <v>814</v>
      </c>
      <c r="C279" s="92"/>
      <c r="D279" s="207">
        <v>39</v>
      </c>
      <c r="E279" s="208" t="s">
        <v>1795</v>
      </c>
      <c r="F279" s="94"/>
      <c r="G279" s="6"/>
      <c r="H279" s="7"/>
      <c r="I279" s="95">
        <f t="shared" si="112"/>
        <v>0</v>
      </c>
      <c r="J279" s="95">
        <f t="shared" si="113"/>
        <v>0</v>
      </c>
      <c r="K279" s="7"/>
      <c r="L279" s="9"/>
      <c r="M279" s="96">
        <f t="shared" si="114"/>
        <v>0</v>
      </c>
      <c r="N279" s="96">
        <f t="shared" si="115"/>
        <v>0</v>
      </c>
      <c r="O279" s="9"/>
    </row>
    <row r="280" spans="1:15" ht="45" customHeight="1" x14ac:dyDescent="0.25">
      <c r="A280" s="493" t="s">
        <v>631</v>
      </c>
      <c r="B280" s="91" t="s">
        <v>814</v>
      </c>
      <c r="C280" s="92"/>
      <c r="D280" s="204"/>
      <c r="E280" s="93" t="s">
        <v>816</v>
      </c>
      <c r="F280" s="94"/>
      <c r="G280" s="6"/>
      <c r="H280" s="7"/>
      <c r="I280" s="95">
        <f t="shared" si="112"/>
        <v>0</v>
      </c>
      <c r="J280" s="95">
        <f t="shared" si="113"/>
        <v>0</v>
      </c>
      <c r="K280" s="7"/>
      <c r="L280" s="9"/>
      <c r="M280" s="96">
        <f t="shared" si="114"/>
        <v>0</v>
      </c>
      <c r="N280" s="96">
        <f t="shared" si="115"/>
        <v>0</v>
      </c>
      <c r="O280" s="9"/>
    </row>
    <row r="281" spans="1:15" ht="90" customHeight="1" x14ac:dyDescent="0.25">
      <c r="A281" s="493" t="s">
        <v>631</v>
      </c>
      <c r="B281" s="91" t="s">
        <v>814</v>
      </c>
      <c r="C281" s="92"/>
      <c r="D281" s="204"/>
      <c r="E281" s="93" t="s">
        <v>817</v>
      </c>
      <c r="F281" s="94"/>
      <c r="G281" s="6"/>
      <c r="H281" s="7"/>
      <c r="I281" s="95">
        <f t="shared" si="112"/>
        <v>0</v>
      </c>
      <c r="J281" s="95">
        <f t="shared" si="113"/>
        <v>0</v>
      </c>
      <c r="K281" s="7"/>
      <c r="L281" s="9"/>
      <c r="M281" s="96">
        <f t="shared" si="114"/>
        <v>0</v>
      </c>
      <c r="N281" s="96">
        <f t="shared" si="115"/>
        <v>0</v>
      </c>
      <c r="O281" s="9"/>
    </row>
    <row r="282" spans="1:15" ht="15" customHeight="1" x14ac:dyDescent="0.25">
      <c r="A282" s="493" t="s">
        <v>631</v>
      </c>
      <c r="B282" s="91" t="s">
        <v>814</v>
      </c>
      <c r="C282" s="92"/>
      <c r="D282" s="204">
        <v>40</v>
      </c>
      <c r="E282" s="208" t="s">
        <v>1796</v>
      </c>
      <c r="F282" s="94"/>
      <c r="G282" s="6"/>
      <c r="H282" s="7"/>
      <c r="I282" s="95">
        <f t="shared" si="112"/>
        <v>0</v>
      </c>
      <c r="J282" s="95">
        <f t="shared" si="113"/>
        <v>0</v>
      </c>
      <c r="K282" s="7"/>
      <c r="L282" s="9"/>
      <c r="M282" s="96">
        <f t="shared" si="114"/>
        <v>0</v>
      </c>
      <c r="N282" s="96">
        <f t="shared" si="115"/>
        <v>0</v>
      </c>
      <c r="O282" s="9"/>
    </row>
    <row r="283" spans="1:15" ht="15" customHeight="1" x14ac:dyDescent="0.25">
      <c r="A283" s="493" t="s">
        <v>631</v>
      </c>
      <c r="B283" s="91" t="s">
        <v>814</v>
      </c>
      <c r="C283" s="92"/>
      <c r="D283" s="204"/>
      <c r="E283" s="208" t="s">
        <v>818</v>
      </c>
      <c r="F283" s="94"/>
      <c r="G283" s="6"/>
      <c r="H283" s="7"/>
      <c r="I283" s="95">
        <f t="shared" si="112"/>
        <v>0</v>
      </c>
      <c r="J283" s="95">
        <f t="shared" si="113"/>
        <v>0</v>
      </c>
      <c r="K283" s="7"/>
      <c r="L283" s="9"/>
      <c r="M283" s="96">
        <f t="shared" si="114"/>
        <v>0</v>
      </c>
      <c r="N283" s="96">
        <f t="shared" si="115"/>
        <v>0</v>
      </c>
      <c r="O283" s="9"/>
    </row>
    <row r="284" spans="1:15" ht="60" customHeight="1" x14ac:dyDescent="0.25">
      <c r="A284" s="493" t="s">
        <v>631</v>
      </c>
      <c r="B284" s="91" t="s">
        <v>814</v>
      </c>
      <c r="C284" s="92"/>
      <c r="D284" s="204"/>
      <c r="E284" s="93" t="s">
        <v>819</v>
      </c>
      <c r="F284" s="94"/>
      <c r="G284" s="6"/>
      <c r="H284" s="7"/>
      <c r="I284" s="95">
        <f t="shared" si="112"/>
        <v>0</v>
      </c>
      <c r="J284" s="95">
        <f t="shared" si="113"/>
        <v>0</v>
      </c>
      <c r="K284" s="7"/>
      <c r="L284" s="9"/>
      <c r="M284" s="96">
        <f t="shared" si="114"/>
        <v>0</v>
      </c>
      <c r="N284" s="96">
        <f t="shared" si="115"/>
        <v>0</v>
      </c>
      <c r="O284" s="9"/>
    </row>
    <row r="285" spans="1:15" ht="165" customHeight="1" x14ac:dyDescent="0.25">
      <c r="A285" s="493" t="s">
        <v>631</v>
      </c>
      <c r="B285" s="91" t="s">
        <v>814</v>
      </c>
      <c r="C285" s="92"/>
      <c r="D285" s="204"/>
      <c r="E285" s="93" t="s">
        <v>820</v>
      </c>
      <c r="F285" s="94"/>
      <c r="G285" s="6"/>
      <c r="H285" s="7"/>
      <c r="I285" s="95">
        <f t="shared" si="112"/>
        <v>0</v>
      </c>
      <c r="J285" s="95">
        <f t="shared" si="113"/>
        <v>0</v>
      </c>
      <c r="K285" s="7"/>
      <c r="L285" s="9"/>
      <c r="M285" s="96">
        <f t="shared" si="114"/>
        <v>0</v>
      </c>
      <c r="N285" s="96">
        <f t="shared" si="115"/>
        <v>0</v>
      </c>
      <c r="O285" s="9"/>
    </row>
    <row r="286" spans="1:15" ht="15" customHeight="1" x14ac:dyDescent="0.25">
      <c r="A286" s="493" t="s">
        <v>1022</v>
      </c>
      <c r="B286" s="205" t="str">
        <f>+B285</f>
        <v>Sec1/29</v>
      </c>
      <c r="C286" s="97"/>
      <c r="D286" s="205"/>
      <c r="E286" s="98" t="s">
        <v>640</v>
      </c>
      <c r="F286" s="97"/>
      <c r="G286" s="11"/>
      <c r="H286" s="11"/>
      <c r="I286" s="11"/>
      <c r="J286" s="99">
        <f>SUBTOTAL(9,J276:J285)</f>
        <v>0</v>
      </c>
      <c r="K286" s="11"/>
      <c r="L286" s="11"/>
      <c r="M286" s="11"/>
      <c r="N286" s="99">
        <f>SUBTOTAL(9,N276:N285)</f>
        <v>0</v>
      </c>
      <c r="O286" s="11"/>
    </row>
    <row r="287" spans="1:15" ht="15" customHeight="1" x14ac:dyDescent="0.25">
      <c r="A287" s="493" t="s">
        <v>631</v>
      </c>
      <c r="B287" s="91" t="s">
        <v>821</v>
      </c>
      <c r="C287" s="92"/>
      <c r="D287" s="207" t="s">
        <v>1004</v>
      </c>
      <c r="E287" s="208" t="s">
        <v>1747</v>
      </c>
      <c r="F287" s="94"/>
      <c r="G287" s="6"/>
      <c r="H287" s="7"/>
      <c r="I287" s="95">
        <f t="shared" ref="I287:I293" si="116">ROUND(H287*G287,2)</f>
        <v>0</v>
      </c>
      <c r="J287" s="95">
        <f t="shared" ref="J287:J293" si="117">ROUNDUP(I287,0)</f>
        <v>0</v>
      </c>
      <c r="K287" s="7"/>
      <c r="L287" s="9"/>
      <c r="M287" s="96">
        <f t="shared" ref="M287:M293" si="118">ROUND(L287*G287,2)</f>
        <v>0</v>
      </c>
      <c r="N287" s="96">
        <f t="shared" ref="N287:N293" si="119">ROUNDUP(M287,0)</f>
        <v>0</v>
      </c>
      <c r="O287" s="9"/>
    </row>
    <row r="288" spans="1:15" ht="15" customHeight="1" x14ac:dyDescent="0.25">
      <c r="A288" s="493" t="s">
        <v>631</v>
      </c>
      <c r="B288" s="91" t="s">
        <v>821</v>
      </c>
      <c r="C288" s="92"/>
      <c r="D288" s="207">
        <v>41</v>
      </c>
      <c r="E288" s="208" t="s">
        <v>1797</v>
      </c>
      <c r="F288" s="94"/>
      <c r="G288" s="6"/>
      <c r="H288" s="7"/>
      <c r="I288" s="95">
        <f t="shared" si="116"/>
        <v>0</v>
      </c>
      <c r="J288" s="95">
        <f t="shared" si="117"/>
        <v>0</v>
      </c>
      <c r="K288" s="7"/>
      <c r="L288" s="9"/>
      <c r="M288" s="96">
        <f t="shared" si="118"/>
        <v>0</v>
      </c>
      <c r="N288" s="96">
        <f t="shared" si="119"/>
        <v>0</v>
      </c>
      <c r="O288" s="9"/>
    </row>
    <row r="289" spans="1:15" ht="165" customHeight="1" x14ac:dyDescent="0.25">
      <c r="A289" s="493" t="s">
        <v>631</v>
      </c>
      <c r="B289" s="91" t="s">
        <v>821</v>
      </c>
      <c r="C289" s="92"/>
      <c r="D289" s="204"/>
      <c r="E289" s="93" t="s">
        <v>822</v>
      </c>
      <c r="F289" s="94"/>
      <c r="G289" s="6"/>
      <c r="H289" s="7"/>
      <c r="I289" s="95">
        <f t="shared" si="116"/>
        <v>0</v>
      </c>
      <c r="J289" s="95">
        <f t="shared" si="117"/>
        <v>0</v>
      </c>
      <c r="K289" s="7"/>
      <c r="L289" s="9"/>
      <c r="M289" s="96">
        <f t="shared" si="118"/>
        <v>0</v>
      </c>
      <c r="N289" s="96">
        <f t="shared" si="119"/>
        <v>0</v>
      </c>
      <c r="O289" s="9"/>
    </row>
    <row r="290" spans="1:15" ht="135" customHeight="1" x14ac:dyDescent="0.25">
      <c r="A290" s="493" t="s">
        <v>631</v>
      </c>
      <c r="B290" s="91" t="s">
        <v>821</v>
      </c>
      <c r="C290" s="92"/>
      <c r="D290" s="204"/>
      <c r="E290" s="93" t="s">
        <v>823</v>
      </c>
      <c r="F290" s="94"/>
      <c r="G290" s="6"/>
      <c r="H290" s="7"/>
      <c r="I290" s="95">
        <f t="shared" si="116"/>
        <v>0</v>
      </c>
      <c r="J290" s="95">
        <f t="shared" si="117"/>
        <v>0</v>
      </c>
      <c r="K290" s="7"/>
      <c r="L290" s="9"/>
      <c r="M290" s="96">
        <f t="shared" si="118"/>
        <v>0</v>
      </c>
      <c r="N290" s="96">
        <f t="shared" si="119"/>
        <v>0</v>
      </c>
      <c r="O290" s="9"/>
    </row>
    <row r="291" spans="1:15" ht="150" customHeight="1" x14ac:dyDescent="0.25">
      <c r="A291" s="493" t="s">
        <v>631</v>
      </c>
      <c r="B291" s="91" t="s">
        <v>821</v>
      </c>
      <c r="C291" s="92"/>
      <c r="D291" s="204"/>
      <c r="E291" s="93" t="s">
        <v>824</v>
      </c>
      <c r="F291" s="94"/>
      <c r="G291" s="6"/>
      <c r="H291" s="7"/>
      <c r="I291" s="95">
        <f t="shared" si="116"/>
        <v>0</v>
      </c>
      <c r="J291" s="95">
        <f t="shared" si="117"/>
        <v>0</v>
      </c>
      <c r="K291" s="7"/>
      <c r="L291" s="9"/>
      <c r="M291" s="96">
        <f t="shared" si="118"/>
        <v>0</v>
      </c>
      <c r="N291" s="96">
        <f t="shared" si="119"/>
        <v>0</v>
      </c>
      <c r="O291" s="9"/>
    </row>
    <row r="292" spans="1:15" ht="45" customHeight="1" x14ac:dyDescent="0.25">
      <c r="A292" s="493" t="s">
        <v>631</v>
      </c>
      <c r="B292" s="91" t="s">
        <v>821</v>
      </c>
      <c r="C292" s="92"/>
      <c r="D292" s="204"/>
      <c r="E292" s="93" t="s">
        <v>825</v>
      </c>
      <c r="F292" s="94"/>
      <c r="G292" s="6"/>
      <c r="H292" s="7"/>
      <c r="I292" s="95">
        <f t="shared" si="116"/>
        <v>0</v>
      </c>
      <c r="J292" s="95">
        <f t="shared" si="117"/>
        <v>0</v>
      </c>
      <c r="K292" s="7"/>
      <c r="L292" s="9"/>
      <c r="M292" s="96">
        <f t="shared" si="118"/>
        <v>0</v>
      </c>
      <c r="N292" s="96">
        <f t="shared" si="119"/>
        <v>0</v>
      </c>
      <c r="O292" s="9"/>
    </row>
    <row r="293" spans="1:15" ht="60" customHeight="1" x14ac:dyDescent="0.25">
      <c r="A293" s="493" t="s">
        <v>631</v>
      </c>
      <c r="B293" s="91" t="s">
        <v>821</v>
      </c>
      <c r="C293" s="92"/>
      <c r="D293" s="204"/>
      <c r="E293" s="93" t="s">
        <v>826</v>
      </c>
      <c r="F293" s="94"/>
      <c r="G293" s="6"/>
      <c r="H293" s="7"/>
      <c r="I293" s="95">
        <f t="shared" si="116"/>
        <v>0</v>
      </c>
      <c r="J293" s="95">
        <f t="shared" si="117"/>
        <v>0</v>
      </c>
      <c r="K293" s="7"/>
      <c r="L293" s="9"/>
      <c r="M293" s="96">
        <f t="shared" si="118"/>
        <v>0</v>
      </c>
      <c r="N293" s="96">
        <f t="shared" si="119"/>
        <v>0</v>
      </c>
      <c r="O293" s="9"/>
    </row>
    <row r="294" spans="1:15" ht="15" customHeight="1" x14ac:dyDescent="0.25">
      <c r="A294" s="493" t="s">
        <v>1022</v>
      </c>
      <c r="B294" s="205" t="str">
        <f>+B293</f>
        <v>Sec1/30</v>
      </c>
      <c r="C294" s="97"/>
      <c r="D294" s="205"/>
      <c r="E294" s="98" t="s">
        <v>640</v>
      </c>
      <c r="F294" s="97"/>
      <c r="G294" s="11"/>
      <c r="H294" s="11"/>
      <c r="I294" s="11"/>
      <c r="J294" s="99">
        <f>SUBTOTAL(9,J287:J293)</f>
        <v>0</v>
      </c>
      <c r="K294" s="11"/>
      <c r="L294" s="11"/>
      <c r="M294" s="11"/>
      <c r="N294" s="99">
        <f>SUBTOTAL(9,N287:N293)</f>
        <v>0</v>
      </c>
      <c r="O294" s="11"/>
    </row>
    <row r="295" spans="1:15" ht="15" customHeight="1" x14ac:dyDescent="0.25">
      <c r="A295" s="493" t="s">
        <v>631</v>
      </c>
      <c r="B295" s="91" t="s">
        <v>827</v>
      </c>
      <c r="C295" s="92"/>
      <c r="D295" s="207" t="s">
        <v>1004</v>
      </c>
      <c r="E295" s="208" t="s">
        <v>1747</v>
      </c>
      <c r="F295" s="94"/>
      <c r="G295" s="6"/>
      <c r="H295" s="7"/>
      <c r="I295" s="95">
        <f t="shared" ref="I295:I302" si="120">ROUND(H295*G295,2)</f>
        <v>0</v>
      </c>
      <c r="J295" s="95">
        <f t="shared" ref="J295:J302" si="121">ROUNDUP(I295,0)</f>
        <v>0</v>
      </c>
      <c r="K295" s="7"/>
      <c r="L295" s="9"/>
      <c r="M295" s="96">
        <f t="shared" ref="M295:M302" si="122">ROUND(L295*G295,2)</f>
        <v>0</v>
      </c>
      <c r="N295" s="96">
        <f t="shared" ref="N295:N302" si="123">ROUNDUP(M295,0)</f>
        <v>0</v>
      </c>
      <c r="O295" s="9"/>
    </row>
    <row r="296" spans="1:15" ht="15" customHeight="1" x14ac:dyDescent="0.25">
      <c r="A296" s="493" t="s">
        <v>631</v>
      </c>
      <c r="B296" s="91" t="s">
        <v>827</v>
      </c>
      <c r="C296" s="92"/>
      <c r="D296" s="207">
        <v>41</v>
      </c>
      <c r="E296" s="208" t="s">
        <v>1798</v>
      </c>
      <c r="F296" s="94"/>
      <c r="G296" s="6"/>
      <c r="H296" s="7"/>
      <c r="I296" s="95">
        <f t="shared" si="120"/>
        <v>0</v>
      </c>
      <c r="J296" s="95">
        <f t="shared" si="121"/>
        <v>0</v>
      </c>
      <c r="K296" s="7"/>
      <c r="L296" s="9"/>
      <c r="M296" s="96">
        <f t="shared" si="122"/>
        <v>0</v>
      </c>
      <c r="N296" s="96">
        <f t="shared" si="123"/>
        <v>0</v>
      </c>
      <c r="O296" s="9"/>
    </row>
    <row r="297" spans="1:15" ht="30" customHeight="1" x14ac:dyDescent="0.25">
      <c r="A297" s="493" t="s">
        <v>631</v>
      </c>
      <c r="B297" s="91" t="s">
        <v>827</v>
      </c>
      <c r="C297" s="92"/>
      <c r="D297" s="204"/>
      <c r="E297" s="93" t="s">
        <v>828</v>
      </c>
      <c r="F297" s="94"/>
      <c r="G297" s="6"/>
      <c r="H297" s="7"/>
      <c r="I297" s="95">
        <f t="shared" si="120"/>
        <v>0</v>
      </c>
      <c r="J297" s="95">
        <f t="shared" si="121"/>
        <v>0</v>
      </c>
      <c r="K297" s="7"/>
      <c r="L297" s="9"/>
      <c r="M297" s="96">
        <f t="shared" si="122"/>
        <v>0</v>
      </c>
      <c r="N297" s="96">
        <f t="shared" si="123"/>
        <v>0</v>
      </c>
      <c r="O297" s="9"/>
    </row>
    <row r="298" spans="1:15" ht="105" customHeight="1" x14ac:dyDescent="0.25">
      <c r="A298" s="493" t="s">
        <v>631</v>
      </c>
      <c r="B298" s="91" t="s">
        <v>827</v>
      </c>
      <c r="C298" s="92"/>
      <c r="D298" s="204"/>
      <c r="E298" s="93" t="s">
        <v>829</v>
      </c>
      <c r="F298" s="94"/>
      <c r="G298" s="6"/>
      <c r="H298" s="7"/>
      <c r="I298" s="95">
        <f t="shared" si="120"/>
        <v>0</v>
      </c>
      <c r="J298" s="95">
        <f t="shared" si="121"/>
        <v>0</v>
      </c>
      <c r="K298" s="7"/>
      <c r="L298" s="9"/>
      <c r="M298" s="96">
        <f t="shared" si="122"/>
        <v>0</v>
      </c>
      <c r="N298" s="96">
        <f t="shared" si="123"/>
        <v>0</v>
      </c>
      <c r="O298" s="9"/>
    </row>
    <row r="299" spans="1:15" ht="15" customHeight="1" x14ac:dyDescent="0.25">
      <c r="A299" s="493" t="s">
        <v>631</v>
      </c>
      <c r="B299" s="91" t="s">
        <v>827</v>
      </c>
      <c r="C299" s="92"/>
      <c r="D299" s="207">
        <v>42</v>
      </c>
      <c r="E299" s="208" t="s">
        <v>1799</v>
      </c>
      <c r="F299" s="94"/>
      <c r="G299" s="6"/>
      <c r="H299" s="7"/>
      <c r="I299" s="95">
        <f t="shared" si="120"/>
        <v>0</v>
      </c>
      <c r="J299" s="95">
        <f t="shared" si="121"/>
        <v>0</v>
      </c>
      <c r="K299" s="7"/>
      <c r="L299" s="9"/>
      <c r="M299" s="96">
        <f t="shared" si="122"/>
        <v>0</v>
      </c>
      <c r="N299" s="96">
        <f t="shared" si="123"/>
        <v>0</v>
      </c>
      <c r="O299" s="9"/>
    </row>
    <row r="300" spans="1:15" ht="75" customHeight="1" x14ac:dyDescent="0.25">
      <c r="A300" s="493" t="s">
        <v>631</v>
      </c>
      <c r="B300" s="91" t="s">
        <v>827</v>
      </c>
      <c r="C300" s="92"/>
      <c r="D300" s="204"/>
      <c r="E300" s="93" t="s">
        <v>830</v>
      </c>
      <c r="F300" s="94"/>
      <c r="G300" s="6"/>
      <c r="H300" s="7"/>
      <c r="I300" s="95">
        <f t="shared" si="120"/>
        <v>0</v>
      </c>
      <c r="J300" s="95">
        <f t="shared" si="121"/>
        <v>0</v>
      </c>
      <c r="K300" s="7"/>
      <c r="L300" s="9"/>
      <c r="M300" s="96">
        <f t="shared" si="122"/>
        <v>0</v>
      </c>
      <c r="N300" s="96">
        <f t="shared" si="123"/>
        <v>0</v>
      </c>
      <c r="O300" s="9"/>
    </row>
    <row r="301" spans="1:15" ht="15" customHeight="1" x14ac:dyDescent="0.25">
      <c r="A301" s="493" t="s">
        <v>631</v>
      </c>
      <c r="B301" s="91" t="s">
        <v>827</v>
      </c>
      <c r="C301" s="92"/>
      <c r="D301" s="207">
        <v>43</v>
      </c>
      <c r="E301" s="208" t="s">
        <v>1800</v>
      </c>
      <c r="F301" s="94"/>
      <c r="G301" s="6"/>
      <c r="H301" s="7"/>
      <c r="I301" s="95">
        <f t="shared" si="120"/>
        <v>0</v>
      </c>
      <c r="J301" s="95">
        <f t="shared" si="121"/>
        <v>0</v>
      </c>
      <c r="K301" s="7"/>
      <c r="L301" s="9"/>
      <c r="M301" s="96">
        <f t="shared" si="122"/>
        <v>0</v>
      </c>
      <c r="N301" s="96">
        <f t="shared" si="123"/>
        <v>0</v>
      </c>
      <c r="O301" s="9"/>
    </row>
    <row r="302" spans="1:15" ht="180" customHeight="1" x14ac:dyDescent="0.25">
      <c r="A302" s="493" t="s">
        <v>631</v>
      </c>
      <c r="B302" s="91" t="s">
        <v>827</v>
      </c>
      <c r="C302" s="92"/>
      <c r="D302" s="204"/>
      <c r="E302" s="93" t="s">
        <v>831</v>
      </c>
      <c r="F302" s="94"/>
      <c r="G302" s="6"/>
      <c r="H302" s="7"/>
      <c r="I302" s="95">
        <f t="shared" si="120"/>
        <v>0</v>
      </c>
      <c r="J302" s="95">
        <f t="shared" si="121"/>
        <v>0</v>
      </c>
      <c r="K302" s="7"/>
      <c r="L302" s="9"/>
      <c r="M302" s="96">
        <f t="shared" si="122"/>
        <v>0</v>
      </c>
      <c r="N302" s="96">
        <f t="shared" si="123"/>
        <v>0</v>
      </c>
      <c r="O302" s="9"/>
    </row>
    <row r="303" spans="1:15" ht="15" customHeight="1" x14ac:dyDescent="0.25">
      <c r="A303" s="493" t="s">
        <v>1022</v>
      </c>
      <c r="B303" s="205" t="str">
        <f>+B302</f>
        <v>Sec1/31</v>
      </c>
      <c r="C303" s="97"/>
      <c r="D303" s="205"/>
      <c r="E303" s="98" t="s">
        <v>640</v>
      </c>
      <c r="F303" s="97"/>
      <c r="G303" s="11"/>
      <c r="H303" s="11"/>
      <c r="I303" s="11"/>
      <c r="J303" s="99">
        <f>SUBTOTAL(9,J295:J302)</f>
        <v>0</v>
      </c>
      <c r="K303" s="11"/>
      <c r="L303" s="11"/>
      <c r="M303" s="11"/>
      <c r="N303" s="99">
        <f>SUBTOTAL(9,N295:N302)</f>
        <v>0</v>
      </c>
      <c r="O303" s="11"/>
    </row>
    <row r="304" spans="1:15" ht="15" customHeight="1" x14ac:dyDescent="0.25">
      <c r="A304" s="493" t="s">
        <v>631</v>
      </c>
      <c r="B304" s="91" t="s">
        <v>832</v>
      </c>
      <c r="C304" s="92"/>
      <c r="D304" s="207" t="s">
        <v>1004</v>
      </c>
      <c r="E304" s="208" t="s">
        <v>1747</v>
      </c>
      <c r="F304" s="94"/>
      <c r="G304" s="6"/>
      <c r="H304" s="7"/>
      <c r="I304" s="95">
        <f t="shared" ref="I304:I310" si="124">ROUND(H304*G304,2)</f>
        <v>0</v>
      </c>
      <c r="J304" s="95">
        <f t="shared" ref="J304:J310" si="125">ROUNDUP(I304,0)</f>
        <v>0</v>
      </c>
      <c r="K304" s="7"/>
      <c r="L304" s="9"/>
      <c r="M304" s="96">
        <f t="shared" ref="M304:M310" si="126">ROUND(L304*G304,2)</f>
        <v>0</v>
      </c>
      <c r="N304" s="96">
        <f t="shared" ref="N304:N310" si="127">ROUNDUP(M304,0)</f>
        <v>0</v>
      </c>
      <c r="O304" s="9"/>
    </row>
    <row r="305" spans="1:15" ht="15" customHeight="1" x14ac:dyDescent="0.25">
      <c r="A305" s="493" t="s">
        <v>631</v>
      </c>
      <c r="B305" s="91" t="s">
        <v>832</v>
      </c>
      <c r="C305" s="92"/>
      <c r="D305" s="207">
        <v>44</v>
      </c>
      <c r="E305" s="208" t="s">
        <v>1775</v>
      </c>
      <c r="F305" s="94"/>
      <c r="G305" s="6"/>
      <c r="H305" s="7"/>
      <c r="I305" s="95">
        <f t="shared" si="124"/>
        <v>0</v>
      </c>
      <c r="J305" s="95">
        <f t="shared" si="125"/>
        <v>0</v>
      </c>
      <c r="K305" s="7"/>
      <c r="L305" s="9"/>
      <c r="M305" s="96">
        <f t="shared" si="126"/>
        <v>0</v>
      </c>
      <c r="N305" s="96">
        <f t="shared" si="127"/>
        <v>0</v>
      </c>
      <c r="O305" s="9"/>
    </row>
    <row r="306" spans="1:15" ht="15" customHeight="1" x14ac:dyDescent="0.25">
      <c r="A306" s="493" t="s">
        <v>631</v>
      </c>
      <c r="B306" s="91" t="s">
        <v>832</v>
      </c>
      <c r="C306" s="92"/>
      <c r="D306" s="207">
        <v>45</v>
      </c>
      <c r="E306" s="208" t="s">
        <v>1775</v>
      </c>
      <c r="F306" s="94"/>
      <c r="G306" s="6"/>
      <c r="H306" s="7"/>
      <c r="I306" s="95">
        <f t="shared" si="124"/>
        <v>0</v>
      </c>
      <c r="J306" s="95">
        <f t="shared" si="125"/>
        <v>0</v>
      </c>
      <c r="K306" s="7"/>
      <c r="L306" s="9"/>
      <c r="M306" s="96">
        <f t="shared" si="126"/>
        <v>0</v>
      </c>
      <c r="N306" s="96">
        <f t="shared" si="127"/>
        <v>0</v>
      </c>
      <c r="O306" s="9"/>
    </row>
    <row r="307" spans="1:15" ht="15" customHeight="1" x14ac:dyDescent="0.25">
      <c r="A307" s="493" t="s">
        <v>631</v>
      </c>
      <c r="B307" s="91" t="s">
        <v>832</v>
      </c>
      <c r="C307" s="92"/>
      <c r="D307" s="207">
        <v>46</v>
      </c>
      <c r="E307" s="208" t="s">
        <v>1801</v>
      </c>
      <c r="F307" s="94"/>
      <c r="G307" s="6"/>
      <c r="H307" s="7"/>
      <c r="I307" s="95">
        <f t="shared" si="124"/>
        <v>0</v>
      </c>
      <c r="J307" s="95">
        <f t="shared" si="125"/>
        <v>0</v>
      </c>
      <c r="K307" s="7"/>
      <c r="L307" s="9"/>
      <c r="M307" s="96">
        <f t="shared" si="126"/>
        <v>0</v>
      </c>
      <c r="N307" s="96">
        <f t="shared" si="127"/>
        <v>0</v>
      </c>
      <c r="O307" s="9"/>
    </row>
    <row r="308" spans="1:15" ht="15" customHeight="1" x14ac:dyDescent="0.25">
      <c r="A308" s="493" t="s">
        <v>631</v>
      </c>
      <c r="B308" s="91" t="s">
        <v>832</v>
      </c>
      <c r="C308" s="92"/>
      <c r="D308" s="207"/>
      <c r="E308" s="208" t="s">
        <v>833</v>
      </c>
      <c r="F308" s="94"/>
      <c r="G308" s="6"/>
      <c r="H308" s="7"/>
      <c r="I308" s="95">
        <f t="shared" si="124"/>
        <v>0</v>
      </c>
      <c r="J308" s="95">
        <f t="shared" si="125"/>
        <v>0</v>
      </c>
      <c r="K308" s="7"/>
      <c r="L308" s="9"/>
      <c r="M308" s="96">
        <f t="shared" si="126"/>
        <v>0</v>
      </c>
      <c r="N308" s="96">
        <f t="shared" si="127"/>
        <v>0</v>
      </c>
      <c r="O308" s="9"/>
    </row>
    <row r="309" spans="1:15" ht="60" customHeight="1" x14ac:dyDescent="0.25">
      <c r="A309" s="493" t="s">
        <v>631</v>
      </c>
      <c r="B309" s="91" t="s">
        <v>832</v>
      </c>
      <c r="C309" s="92"/>
      <c r="D309" s="204"/>
      <c r="E309" s="93" t="s">
        <v>834</v>
      </c>
      <c r="F309" s="94"/>
      <c r="G309" s="6"/>
      <c r="H309" s="7"/>
      <c r="I309" s="95">
        <f t="shared" si="124"/>
        <v>0</v>
      </c>
      <c r="J309" s="95">
        <f t="shared" si="125"/>
        <v>0</v>
      </c>
      <c r="K309" s="7"/>
      <c r="L309" s="9"/>
      <c r="M309" s="96">
        <f t="shared" si="126"/>
        <v>0</v>
      </c>
      <c r="N309" s="96">
        <f t="shared" si="127"/>
        <v>0</v>
      </c>
      <c r="O309" s="9"/>
    </row>
    <row r="310" spans="1:15" ht="90" customHeight="1" x14ac:dyDescent="0.25">
      <c r="A310" s="493" t="s">
        <v>631</v>
      </c>
      <c r="B310" s="91" t="s">
        <v>832</v>
      </c>
      <c r="C310" s="92"/>
      <c r="D310" s="204"/>
      <c r="E310" s="93" t="s">
        <v>835</v>
      </c>
      <c r="F310" s="94"/>
      <c r="G310" s="6"/>
      <c r="H310" s="7"/>
      <c r="I310" s="95">
        <f t="shared" si="124"/>
        <v>0</v>
      </c>
      <c r="J310" s="95">
        <f t="shared" si="125"/>
        <v>0</v>
      </c>
      <c r="K310" s="7"/>
      <c r="L310" s="9"/>
      <c r="M310" s="96">
        <f t="shared" si="126"/>
        <v>0</v>
      </c>
      <c r="N310" s="96">
        <f t="shared" si="127"/>
        <v>0</v>
      </c>
      <c r="O310" s="9"/>
    </row>
    <row r="311" spans="1:15" ht="15" customHeight="1" x14ac:dyDescent="0.25">
      <c r="A311" s="493" t="s">
        <v>1022</v>
      </c>
      <c r="B311" s="205" t="str">
        <f>+B310</f>
        <v>Sec1/32</v>
      </c>
      <c r="C311" s="97"/>
      <c r="D311" s="205"/>
      <c r="E311" s="98" t="s">
        <v>640</v>
      </c>
      <c r="F311" s="97"/>
      <c r="G311" s="11"/>
      <c r="H311" s="11"/>
      <c r="I311" s="11"/>
      <c r="J311" s="99">
        <f>SUBTOTAL(9,J304:J310)</f>
        <v>0</v>
      </c>
      <c r="K311" s="11"/>
      <c r="L311" s="11"/>
      <c r="M311" s="11"/>
      <c r="N311" s="99">
        <f>SUBTOTAL(9,N304:N310)</f>
        <v>0</v>
      </c>
      <c r="O311" s="11"/>
    </row>
    <row r="312" spans="1:15" ht="15" customHeight="1" x14ac:dyDescent="0.25">
      <c r="A312" s="493" t="s">
        <v>631</v>
      </c>
      <c r="B312" s="91" t="s">
        <v>836</v>
      </c>
      <c r="C312" s="92"/>
      <c r="D312" s="207" t="s">
        <v>1006</v>
      </c>
      <c r="E312" s="208" t="s">
        <v>1802</v>
      </c>
      <c r="F312" s="94"/>
      <c r="G312" s="6"/>
      <c r="H312" s="7"/>
      <c r="I312" s="95">
        <f t="shared" ref="I312:I319" si="128">ROUND(H312*G312,2)</f>
        <v>0</v>
      </c>
      <c r="J312" s="95">
        <f t="shared" ref="J312:J319" si="129">ROUNDUP(I312,0)</f>
        <v>0</v>
      </c>
      <c r="K312" s="7"/>
      <c r="L312" s="9"/>
      <c r="M312" s="96">
        <f t="shared" ref="M312:M319" si="130">ROUND(L312*G312,2)</f>
        <v>0</v>
      </c>
      <c r="N312" s="96">
        <f t="shared" ref="N312:N319" si="131">ROUNDUP(M312,0)</f>
        <v>0</v>
      </c>
      <c r="O312" s="9"/>
    </row>
    <row r="313" spans="1:15" ht="15" customHeight="1" x14ac:dyDescent="0.25">
      <c r="A313" s="493" t="s">
        <v>631</v>
      </c>
      <c r="B313" s="91" t="s">
        <v>836</v>
      </c>
      <c r="C313" s="92"/>
      <c r="D313" s="207">
        <v>1</v>
      </c>
      <c r="E313" s="208" t="s">
        <v>1803</v>
      </c>
      <c r="F313" s="94"/>
      <c r="G313" s="6"/>
      <c r="H313" s="7"/>
      <c r="I313" s="95">
        <f t="shared" si="128"/>
        <v>0</v>
      </c>
      <c r="J313" s="95">
        <f t="shared" si="129"/>
        <v>0</v>
      </c>
      <c r="K313" s="7"/>
      <c r="L313" s="9"/>
      <c r="M313" s="96">
        <f t="shared" si="130"/>
        <v>0</v>
      </c>
      <c r="N313" s="96">
        <f t="shared" si="131"/>
        <v>0</v>
      </c>
      <c r="O313" s="9"/>
    </row>
    <row r="314" spans="1:15" ht="15" customHeight="1" x14ac:dyDescent="0.25">
      <c r="A314" s="493" t="s">
        <v>631</v>
      </c>
      <c r="B314" s="91" t="s">
        <v>836</v>
      </c>
      <c r="C314" s="92"/>
      <c r="D314" s="204"/>
      <c r="E314" s="93" t="s">
        <v>837</v>
      </c>
      <c r="F314" s="94"/>
      <c r="G314" s="6"/>
      <c r="H314" s="7"/>
      <c r="I314" s="95">
        <f t="shared" si="128"/>
        <v>0</v>
      </c>
      <c r="J314" s="95">
        <f t="shared" si="129"/>
        <v>0</v>
      </c>
      <c r="K314" s="7"/>
      <c r="L314" s="9"/>
      <c r="M314" s="96">
        <f t="shared" si="130"/>
        <v>0</v>
      </c>
      <c r="N314" s="96">
        <f t="shared" si="131"/>
        <v>0</v>
      </c>
      <c r="O314" s="9"/>
    </row>
    <row r="315" spans="1:15" ht="195" customHeight="1" x14ac:dyDescent="0.25">
      <c r="A315" s="493" t="s">
        <v>631</v>
      </c>
      <c r="B315" s="91" t="s">
        <v>836</v>
      </c>
      <c r="C315" s="92"/>
      <c r="D315" s="204"/>
      <c r="E315" s="93" t="s">
        <v>838</v>
      </c>
      <c r="F315" s="94"/>
      <c r="G315" s="6"/>
      <c r="H315" s="7"/>
      <c r="I315" s="95">
        <f t="shared" si="128"/>
        <v>0</v>
      </c>
      <c r="J315" s="95">
        <f t="shared" si="129"/>
        <v>0</v>
      </c>
      <c r="K315" s="7"/>
      <c r="L315" s="9"/>
      <c r="M315" s="96">
        <f t="shared" si="130"/>
        <v>0</v>
      </c>
      <c r="N315" s="96">
        <f t="shared" si="131"/>
        <v>0</v>
      </c>
      <c r="O315" s="9"/>
    </row>
    <row r="316" spans="1:15" ht="15" customHeight="1" x14ac:dyDescent="0.25">
      <c r="A316" s="493" t="s">
        <v>631</v>
      </c>
      <c r="B316" s="91" t="s">
        <v>836</v>
      </c>
      <c r="C316" s="92"/>
      <c r="D316" s="204"/>
      <c r="E316" s="93" t="s">
        <v>839</v>
      </c>
      <c r="F316" s="94"/>
      <c r="G316" s="6"/>
      <c r="H316" s="7"/>
      <c r="I316" s="95">
        <f t="shared" si="128"/>
        <v>0</v>
      </c>
      <c r="J316" s="95">
        <f t="shared" si="129"/>
        <v>0</v>
      </c>
      <c r="K316" s="7"/>
      <c r="L316" s="9"/>
      <c r="M316" s="96">
        <f t="shared" si="130"/>
        <v>0</v>
      </c>
      <c r="N316" s="96">
        <f t="shared" si="131"/>
        <v>0</v>
      </c>
      <c r="O316" s="9"/>
    </row>
    <row r="317" spans="1:15" ht="60" customHeight="1" x14ac:dyDescent="0.25">
      <c r="A317" s="493" t="s">
        <v>631</v>
      </c>
      <c r="B317" s="91" t="s">
        <v>836</v>
      </c>
      <c r="C317" s="92"/>
      <c r="D317" s="204"/>
      <c r="E317" s="93" t="s">
        <v>840</v>
      </c>
      <c r="F317" s="94"/>
      <c r="G317" s="6"/>
      <c r="H317" s="7"/>
      <c r="I317" s="95">
        <f t="shared" si="128"/>
        <v>0</v>
      </c>
      <c r="J317" s="95">
        <f t="shared" si="129"/>
        <v>0</v>
      </c>
      <c r="K317" s="7"/>
      <c r="L317" s="9"/>
      <c r="M317" s="96">
        <f t="shared" si="130"/>
        <v>0</v>
      </c>
      <c r="N317" s="96">
        <f t="shared" si="131"/>
        <v>0</v>
      </c>
      <c r="O317" s="9"/>
    </row>
    <row r="318" spans="1:15" ht="15" customHeight="1" x14ac:dyDescent="0.25">
      <c r="A318" s="493" t="s">
        <v>631</v>
      </c>
      <c r="B318" s="91" t="s">
        <v>836</v>
      </c>
      <c r="C318" s="92"/>
      <c r="D318" s="204"/>
      <c r="E318" s="93" t="s">
        <v>841</v>
      </c>
      <c r="F318" s="94"/>
      <c r="G318" s="6"/>
      <c r="H318" s="7"/>
      <c r="I318" s="95">
        <f t="shared" si="128"/>
        <v>0</v>
      </c>
      <c r="J318" s="95">
        <f t="shared" si="129"/>
        <v>0</v>
      </c>
      <c r="K318" s="7"/>
      <c r="L318" s="9"/>
      <c r="M318" s="96">
        <f t="shared" si="130"/>
        <v>0</v>
      </c>
      <c r="N318" s="96">
        <f t="shared" si="131"/>
        <v>0</v>
      </c>
      <c r="O318" s="9"/>
    </row>
    <row r="319" spans="1:15" ht="315" customHeight="1" x14ac:dyDescent="0.25">
      <c r="A319" s="493" t="s">
        <v>631</v>
      </c>
      <c r="B319" s="91" t="s">
        <v>836</v>
      </c>
      <c r="C319" s="92"/>
      <c r="D319" s="204"/>
      <c r="E319" s="209" t="s">
        <v>1804</v>
      </c>
      <c r="F319" s="94"/>
      <c r="G319" s="6"/>
      <c r="H319" s="7"/>
      <c r="I319" s="95">
        <f t="shared" si="128"/>
        <v>0</v>
      </c>
      <c r="J319" s="95">
        <f t="shared" si="129"/>
        <v>0</v>
      </c>
      <c r="K319" s="7"/>
      <c r="L319" s="9"/>
      <c r="M319" s="96">
        <f t="shared" si="130"/>
        <v>0</v>
      </c>
      <c r="N319" s="96">
        <f t="shared" si="131"/>
        <v>0</v>
      </c>
      <c r="O319" s="9"/>
    </row>
    <row r="320" spans="1:15" ht="15" customHeight="1" x14ac:dyDescent="0.25">
      <c r="A320" s="493" t="s">
        <v>1022</v>
      </c>
      <c r="B320" s="205" t="str">
        <f>+B319</f>
        <v>Sec1/33</v>
      </c>
      <c r="C320" s="97"/>
      <c r="D320" s="205"/>
      <c r="E320" s="98" t="s">
        <v>640</v>
      </c>
      <c r="F320" s="97"/>
      <c r="G320" s="11"/>
      <c r="H320" s="11"/>
      <c r="I320" s="11"/>
      <c r="J320" s="99">
        <f>SUBTOTAL(9,J312:J319)</f>
        <v>0</v>
      </c>
      <c r="K320" s="11"/>
      <c r="L320" s="11"/>
      <c r="M320" s="11"/>
      <c r="N320" s="99">
        <f>SUBTOTAL(9,N312:N319)</f>
        <v>0</v>
      </c>
      <c r="O320" s="11"/>
    </row>
    <row r="321" spans="1:15" ht="15" customHeight="1" x14ac:dyDescent="0.25">
      <c r="A321" s="493" t="s">
        <v>631</v>
      </c>
      <c r="B321" s="91" t="s">
        <v>842</v>
      </c>
      <c r="C321" s="92"/>
      <c r="D321" s="207" t="s">
        <v>1006</v>
      </c>
      <c r="E321" s="208" t="s">
        <v>1805</v>
      </c>
      <c r="F321" s="94"/>
      <c r="G321" s="6"/>
      <c r="H321" s="7"/>
      <c r="I321" s="95">
        <f>ROUND(H321*G321,2)</f>
        <v>0</v>
      </c>
      <c r="J321" s="95">
        <f>ROUNDUP(I321,0)</f>
        <v>0</v>
      </c>
      <c r="K321" s="7"/>
      <c r="L321" s="9"/>
      <c r="M321" s="96">
        <f>ROUND(L321*G321,2)</f>
        <v>0</v>
      </c>
      <c r="N321" s="96">
        <f>ROUNDUP(M321,0)</f>
        <v>0</v>
      </c>
      <c r="O321" s="9"/>
    </row>
    <row r="322" spans="1:15" ht="15" customHeight="1" x14ac:dyDescent="0.25">
      <c r="A322" s="493" t="s">
        <v>631</v>
      </c>
      <c r="B322" s="91" t="s">
        <v>842</v>
      </c>
      <c r="C322" s="92"/>
      <c r="D322" s="207">
        <v>1</v>
      </c>
      <c r="E322" s="208" t="s">
        <v>1806</v>
      </c>
      <c r="F322" s="94"/>
      <c r="G322" s="6"/>
      <c r="H322" s="7"/>
      <c r="I322" s="95">
        <f>ROUND(H322*G322,2)</f>
        <v>0</v>
      </c>
      <c r="J322" s="95">
        <f>ROUNDUP(I322,0)</f>
        <v>0</v>
      </c>
      <c r="K322" s="7"/>
      <c r="L322" s="9"/>
      <c r="M322" s="96">
        <f>ROUND(L322*G322,2)</f>
        <v>0</v>
      </c>
      <c r="N322" s="96">
        <f>ROUNDUP(M322,0)</f>
        <v>0</v>
      </c>
      <c r="O322" s="9"/>
    </row>
    <row r="323" spans="1:15" ht="375" customHeight="1" x14ac:dyDescent="0.25">
      <c r="A323" s="493" t="s">
        <v>631</v>
      </c>
      <c r="B323" s="91" t="s">
        <v>842</v>
      </c>
      <c r="C323" s="92"/>
      <c r="D323" s="204"/>
      <c r="E323" s="209" t="s">
        <v>1807</v>
      </c>
      <c r="F323" s="94"/>
      <c r="G323" s="6"/>
      <c r="H323" s="7"/>
      <c r="I323" s="95">
        <f>ROUND(H323*G323,2)</f>
        <v>0</v>
      </c>
      <c r="J323" s="95">
        <f>ROUNDUP(I323,0)</f>
        <v>0</v>
      </c>
      <c r="K323" s="7"/>
      <c r="L323" s="9"/>
      <c r="M323" s="96">
        <f>ROUND(L323*G323,2)</f>
        <v>0</v>
      </c>
      <c r="N323" s="96">
        <f>ROUNDUP(M323,0)</f>
        <v>0</v>
      </c>
      <c r="O323" s="9"/>
    </row>
    <row r="324" spans="1:15" ht="60" customHeight="1" x14ac:dyDescent="0.25">
      <c r="A324" s="493" t="s">
        <v>631</v>
      </c>
      <c r="B324" s="91" t="s">
        <v>842</v>
      </c>
      <c r="C324" s="92"/>
      <c r="D324" s="204"/>
      <c r="E324" s="209" t="s">
        <v>1808</v>
      </c>
      <c r="F324" s="94"/>
      <c r="G324" s="6"/>
      <c r="H324" s="7"/>
      <c r="I324" s="95">
        <f>ROUND(H324*G324,2)</f>
        <v>0</v>
      </c>
      <c r="J324" s="95">
        <f>ROUNDUP(I324,0)</f>
        <v>0</v>
      </c>
      <c r="K324" s="7"/>
      <c r="L324" s="9"/>
      <c r="M324" s="96">
        <f>ROUND(L324*G324,2)</f>
        <v>0</v>
      </c>
      <c r="N324" s="96">
        <f>ROUNDUP(M324,0)</f>
        <v>0</v>
      </c>
      <c r="O324" s="9"/>
    </row>
    <row r="325" spans="1:15" ht="255" customHeight="1" x14ac:dyDescent="0.25">
      <c r="A325" s="493" t="s">
        <v>631</v>
      </c>
      <c r="B325" s="91" t="s">
        <v>842</v>
      </c>
      <c r="C325" s="92"/>
      <c r="D325" s="204"/>
      <c r="E325" s="209" t="s">
        <v>1809</v>
      </c>
      <c r="F325" s="94"/>
      <c r="G325" s="6"/>
      <c r="H325" s="7"/>
      <c r="I325" s="95">
        <f>ROUND(H325*G325,2)</f>
        <v>0</v>
      </c>
      <c r="J325" s="95">
        <f>ROUNDUP(I325,0)</f>
        <v>0</v>
      </c>
      <c r="K325" s="7"/>
      <c r="L325" s="9"/>
      <c r="M325" s="96">
        <f>ROUND(L325*G325,2)</f>
        <v>0</v>
      </c>
      <c r="N325" s="96">
        <f>ROUNDUP(M325,0)</f>
        <v>0</v>
      </c>
      <c r="O325" s="9"/>
    </row>
    <row r="326" spans="1:15" ht="15" customHeight="1" x14ac:dyDescent="0.25">
      <c r="A326" s="493" t="s">
        <v>1022</v>
      </c>
      <c r="B326" s="205" t="str">
        <f>+B325</f>
        <v>Sec1/34</v>
      </c>
      <c r="C326" s="97"/>
      <c r="D326" s="205"/>
      <c r="E326" s="98" t="s">
        <v>640</v>
      </c>
      <c r="F326" s="97"/>
      <c r="G326" s="11"/>
      <c r="H326" s="11"/>
      <c r="I326" s="11"/>
      <c r="J326" s="99">
        <f>SUBTOTAL(9,J321:J325)</f>
        <v>0</v>
      </c>
      <c r="K326" s="11"/>
      <c r="L326" s="11"/>
      <c r="M326" s="11"/>
      <c r="N326" s="99">
        <f>SUBTOTAL(9,N321:N325)</f>
        <v>0</v>
      </c>
      <c r="O326" s="11"/>
    </row>
    <row r="327" spans="1:15" ht="15" customHeight="1" x14ac:dyDescent="0.25">
      <c r="A327" s="493" t="s">
        <v>631</v>
      </c>
      <c r="B327" s="91" t="s">
        <v>843</v>
      </c>
      <c r="C327" s="92"/>
      <c r="D327" s="207" t="s">
        <v>1006</v>
      </c>
      <c r="E327" s="208" t="s">
        <v>1805</v>
      </c>
      <c r="F327" s="94"/>
      <c r="G327" s="6"/>
      <c r="H327" s="7"/>
      <c r="I327" s="95">
        <f t="shared" ref="I327:I333" si="132">ROUND(H327*G327,2)</f>
        <v>0</v>
      </c>
      <c r="J327" s="95">
        <f t="shared" ref="J327:J333" si="133">ROUNDUP(I327,0)</f>
        <v>0</v>
      </c>
      <c r="K327" s="7"/>
      <c r="L327" s="9"/>
      <c r="M327" s="96">
        <f t="shared" ref="M327:M333" si="134">ROUND(L327*G327,2)</f>
        <v>0</v>
      </c>
      <c r="N327" s="96">
        <f t="shared" ref="N327:N333" si="135">ROUNDUP(M327,0)</f>
        <v>0</v>
      </c>
      <c r="O327" s="9"/>
    </row>
    <row r="328" spans="1:15" ht="15" customHeight="1" x14ac:dyDescent="0.25">
      <c r="A328" s="493" t="s">
        <v>631</v>
      </c>
      <c r="B328" s="91" t="s">
        <v>843</v>
      </c>
      <c r="C328" s="92"/>
      <c r="D328" s="207">
        <v>1</v>
      </c>
      <c r="E328" s="208" t="s">
        <v>1806</v>
      </c>
      <c r="F328" s="94"/>
      <c r="G328" s="6"/>
      <c r="H328" s="7"/>
      <c r="I328" s="95">
        <f t="shared" si="132"/>
        <v>0</v>
      </c>
      <c r="J328" s="95">
        <f t="shared" si="133"/>
        <v>0</v>
      </c>
      <c r="K328" s="7"/>
      <c r="L328" s="9"/>
      <c r="M328" s="96">
        <f t="shared" si="134"/>
        <v>0</v>
      </c>
      <c r="N328" s="96">
        <f t="shared" si="135"/>
        <v>0</v>
      </c>
      <c r="O328" s="9"/>
    </row>
    <row r="329" spans="1:15" ht="390" customHeight="1" x14ac:dyDescent="0.25">
      <c r="A329" s="493" t="s">
        <v>631</v>
      </c>
      <c r="B329" s="91" t="s">
        <v>843</v>
      </c>
      <c r="C329" s="92"/>
      <c r="D329" s="204"/>
      <c r="E329" s="209" t="s">
        <v>1810</v>
      </c>
      <c r="F329" s="94"/>
      <c r="G329" s="6"/>
      <c r="H329" s="7"/>
      <c r="I329" s="95">
        <f t="shared" si="132"/>
        <v>0</v>
      </c>
      <c r="J329" s="95">
        <f t="shared" si="133"/>
        <v>0</v>
      </c>
      <c r="K329" s="7"/>
      <c r="L329" s="9"/>
      <c r="M329" s="96">
        <f t="shared" si="134"/>
        <v>0</v>
      </c>
      <c r="N329" s="96">
        <f t="shared" si="135"/>
        <v>0</v>
      </c>
      <c r="O329" s="9"/>
    </row>
    <row r="330" spans="1:15" ht="45" customHeight="1" x14ac:dyDescent="0.25">
      <c r="A330" s="493" t="s">
        <v>631</v>
      </c>
      <c r="B330" s="91" t="s">
        <v>843</v>
      </c>
      <c r="C330" s="92"/>
      <c r="D330" s="204"/>
      <c r="E330" s="93" t="s">
        <v>844</v>
      </c>
      <c r="F330" s="94"/>
      <c r="G330" s="6"/>
      <c r="H330" s="7"/>
      <c r="I330" s="95">
        <f t="shared" si="132"/>
        <v>0</v>
      </c>
      <c r="J330" s="95">
        <f t="shared" si="133"/>
        <v>0</v>
      </c>
      <c r="K330" s="7"/>
      <c r="L330" s="9"/>
      <c r="M330" s="96">
        <f t="shared" si="134"/>
        <v>0</v>
      </c>
      <c r="N330" s="96">
        <f t="shared" si="135"/>
        <v>0</v>
      </c>
      <c r="O330" s="9"/>
    </row>
    <row r="331" spans="1:15" ht="15" customHeight="1" x14ac:dyDescent="0.25">
      <c r="A331" s="493" t="s">
        <v>631</v>
      </c>
      <c r="B331" s="91" t="s">
        <v>843</v>
      </c>
      <c r="C331" s="92"/>
      <c r="D331" s="207">
        <v>2</v>
      </c>
      <c r="E331" s="208" t="s">
        <v>1811</v>
      </c>
      <c r="F331" s="94"/>
      <c r="G331" s="6"/>
      <c r="H331" s="7"/>
      <c r="I331" s="95">
        <f t="shared" si="132"/>
        <v>0</v>
      </c>
      <c r="J331" s="95">
        <f t="shared" si="133"/>
        <v>0</v>
      </c>
      <c r="K331" s="7"/>
      <c r="L331" s="9"/>
      <c r="M331" s="96">
        <f t="shared" si="134"/>
        <v>0</v>
      </c>
      <c r="N331" s="96">
        <f t="shared" si="135"/>
        <v>0</v>
      </c>
      <c r="O331" s="9"/>
    </row>
    <row r="332" spans="1:15" ht="30" customHeight="1" x14ac:dyDescent="0.25">
      <c r="A332" s="493" t="s">
        <v>631</v>
      </c>
      <c r="B332" s="91" t="s">
        <v>843</v>
      </c>
      <c r="C332" s="92"/>
      <c r="D332" s="204"/>
      <c r="E332" s="93" t="s">
        <v>845</v>
      </c>
      <c r="F332" s="94"/>
      <c r="G332" s="6"/>
      <c r="H332" s="7"/>
      <c r="I332" s="95">
        <f t="shared" si="132"/>
        <v>0</v>
      </c>
      <c r="J332" s="95">
        <f t="shared" si="133"/>
        <v>0</v>
      </c>
      <c r="K332" s="7"/>
      <c r="L332" s="9"/>
      <c r="M332" s="96">
        <f t="shared" si="134"/>
        <v>0</v>
      </c>
      <c r="N332" s="96">
        <f t="shared" si="135"/>
        <v>0</v>
      </c>
      <c r="O332" s="9"/>
    </row>
    <row r="333" spans="1:15" ht="15" customHeight="1" x14ac:dyDescent="0.25">
      <c r="A333" s="493" t="s">
        <v>631</v>
      </c>
      <c r="B333" s="91" t="s">
        <v>843</v>
      </c>
      <c r="C333" s="92"/>
      <c r="D333" s="207">
        <v>3</v>
      </c>
      <c r="E333" s="208" t="s">
        <v>1775</v>
      </c>
      <c r="F333" s="94"/>
      <c r="G333" s="6"/>
      <c r="H333" s="7"/>
      <c r="I333" s="95">
        <f t="shared" si="132"/>
        <v>0</v>
      </c>
      <c r="J333" s="95">
        <f t="shared" si="133"/>
        <v>0</v>
      </c>
      <c r="K333" s="7"/>
      <c r="L333" s="9"/>
      <c r="M333" s="96">
        <f t="shared" si="134"/>
        <v>0</v>
      </c>
      <c r="N333" s="96">
        <f t="shared" si="135"/>
        <v>0</v>
      </c>
      <c r="O333" s="9"/>
    </row>
    <row r="334" spans="1:15" ht="15" customHeight="1" x14ac:dyDescent="0.25">
      <c r="A334" s="493" t="s">
        <v>1022</v>
      </c>
      <c r="B334" s="205" t="str">
        <f>+B333</f>
        <v>Sec1/35</v>
      </c>
      <c r="C334" s="97"/>
      <c r="D334" s="205"/>
      <c r="E334" s="98" t="s">
        <v>640</v>
      </c>
      <c r="F334" s="97"/>
      <c r="G334" s="11"/>
      <c r="H334" s="11"/>
      <c r="I334" s="11"/>
      <c r="J334" s="99">
        <f>SUBTOTAL(9,J327:J333)</f>
        <v>0</v>
      </c>
      <c r="K334" s="11"/>
      <c r="L334" s="11"/>
      <c r="M334" s="11"/>
      <c r="N334" s="99">
        <f>SUBTOTAL(9,N327:N333)</f>
        <v>0</v>
      </c>
      <c r="O334" s="11"/>
    </row>
    <row r="335" spans="1:15" ht="15" customHeight="1" x14ac:dyDescent="0.25">
      <c r="A335" s="493" t="s">
        <v>631</v>
      </c>
      <c r="B335" s="91" t="s">
        <v>846</v>
      </c>
      <c r="C335" s="92"/>
      <c r="D335" s="207" t="s">
        <v>1006</v>
      </c>
      <c r="E335" s="208" t="s">
        <v>1805</v>
      </c>
      <c r="F335" s="94"/>
      <c r="G335" s="6"/>
      <c r="H335" s="7"/>
      <c r="I335" s="95">
        <f t="shared" ref="I335:I344" si="136">ROUND(H335*G335,2)</f>
        <v>0</v>
      </c>
      <c r="J335" s="95">
        <f t="shared" ref="J335:J344" si="137">ROUNDUP(I335,0)</f>
        <v>0</v>
      </c>
      <c r="K335" s="7"/>
      <c r="L335" s="9"/>
      <c r="M335" s="96">
        <f t="shared" ref="M335:M344" si="138">ROUND(L335*G335,2)</f>
        <v>0</v>
      </c>
      <c r="N335" s="96">
        <f t="shared" ref="N335:N344" si="139">ROUNDUP(M335,0)</f>
        <v>0</v>
      </c>
      <c r="O335" s="9"/>
    </row>
    <row r="336" spans="1:15" ht="15" customHeight="1" x14ac:dyDescent="0.25">
      <c r="A336" s="493" t="s">
        <v>631</v>
      </c>
      <c r="B336" s="91" t="s">
        <v>846</v>
      </c>
      <c r="C336" s="92"/>
      <c r="D336" s="207">
        <v>4</v>
      </c>
      <c r="E336" s="208" t="s">
        <v>1812</v>
      </c>
      <c r="F336" s="94"/>
      <c r="G336" s="6"/>
      <c r="H336" s="7"/>
      <c r="I336" s="95">
        <f t="shared" si="136"/>
        <v>0</v>
      </c>
      <c r="J336" s="95">
        <f t="shared" si="137"/>
        <v>0</v>
      </c>
      <c r="K336" s="7"/>
      <c r="L336" s="9"/>
      <c r="M336" s="96">
        <f t="shared" si="138"/>
        <v>0</v>
      </c>
      <c r="N336" s="96">
        <f t="shared" si="139"/>
        <v>0</v>
      </c>
      <c r="O336" s="9"/>
    </row>
    <row r="337" spans="1:15" ht="75" customHeight="1" x14ac:dyDescent="0.25">
      <c r="A337" s="493" t="s">
        <v>631</v>
      </c>
      <c r="B337" s="91" t="s">
        <v>846</v>
      </c>
      <c r="C337" s="92"/>
      <c r="D337" s="204"/>
      <c r="E337" s="93" t="s">
        <v>847</v>
      </c>
      <c r="F337" s="94"/>
      <c r="G337" s="6"/>
      <c r="H337" s="7"/>
      <c r="I337" s="95">
        <f t="shared" si="136"/>
        <v>0</v>
      </c>
      <c r="J337" s="95">
        <f t="shared" si="137"/>
        <v>0</v>
      </c>
      <c r="K337" s="7"/>
      <c r="L337" s="9"/>
      <c r="M337" s="96">
        <f t="shared" si="138"/>
        <v>0</v>
      </c>
      <c r="N337" s="96">
        <f t="shared" si="139"/>
        <v>0</v>
      </c>
      <c r="O337" s="9"/>
    </row>
    <row r="338" spans="1:15" ht="45" customHeight="1" x14ac:dyDescent="0.25">
      <c r="A338" s="493" t="s">
        <v>631</v>
      </c>
      <c r="B338" s="91" t="s">
        <v>846</v>
      </c>
      <c r="C338" s="92"/>
      <c r="D338" s="204"/>
      <c r="E338" s="93" t="s">
        <v>848</v>
      </c>
      <c r="F338" s="94"/>
      <c r="G338" s="6"/>
      <c r="H338" s="7"/>
      <c r="I338" s="95">
        <f t="shared" si="136"/>
        <v>0</v>
      </c>
      <c r="J338" s="95">
        <f t="shared" si="137"/>
        <v>0</v>
      </c>
      <c r="K338" s="7"/>
      <c r="L338" s="9"/>
      <c r="M338" s="96">
        <f t="shared" si="138"/>
        <v>0</v>
      </c>
      <c r="N338" s="96">
        <f t="shared" si="139"/>
        <v>0</v>
      </c>
      <c r="O338" s="9"/>
    </row>
    <row r="339" spans="1:15" ht="15" customHeight="1" x14ac:dyDescent="0.25">
      <c r="A339" s="493" t="s">
        <v>631</v>
      </c>
      <c r="B339" s="91" t="s">
        <v>846</v>
      </c>
      <c r="C339" s="92"/>
      <c r="D339" s="207">
        <v>5</v>
      </c>
      <c r="E339" s="208" t="s">
        <v>1813</v>
      </c>
      <c r="F339" s="94"/>
      <c r="G339" s="6"/>
      <c r="H339" s="7"/>
      <c r="I339" s="95">
        <f t="shared" si="136"/>
        <v>0</v>
      </c>
      <c r="J339" s="95">
        <f t="shared" si="137"/>
        <v>0</v>
      </c>
      <c r="K339" s="7"/>
      <c r="L339" s="9"/>
      <c r="M339" s="96">
        <f t="shared" si="138"/>
        <v>0</v>
      </c>
      <c r="N339" s="96">
        <f t="shared" si="139"/>
        <v>0</v>
      </c>
      <c r="O339" s="9"/>
    </row>
    <row r="340" spans="1:15" ht="15" customHeight="1" x14ac:dyDescent="0.25">
      <c r="A340" s="493" t="s">
        <v>631</v>
      </c>
      <c r="B340" s="91" t="s">
        <v>846</v>
      </c>
      <c r="C340" s="92"/>
      <c r="D340" s="207"/>
      <c r="E340" s="208" t="s">
        <v>849</v>
      </c>
      <c r="F340" s="94"/>
      <c r="G340" s="6"/>
      <c r="H340" s="7"/>
      <c r="I340" s="95">
        <f t="shared" si="136"/>
        <v>0</v>
      </c>
      <c r="J340" s="95">
        <f t="shared" si="137"/>
        <v>0</v>
      </c>
      <c r="K340" s="7"/>
      <c r="L340" s="9"/>
      <c r="M340" s="96">
        <f t="shared" si="138"/>
        <v>0</v>
      </c>
      <c r="N340" s="96">
        <f t="shared" si="139"/>
        <v>0</v>
      </c>
      <c r="O340" s="9"/>
    </row>
    <row r="341" spans="1:15" ht="90" customHeight="1" x14ac:dyDescent="0.25">
      <c r="A341" s="493" t="s">
        <v>631</v>
      </c>
      <c r="B341" s="91" t="s">
        <v>846</v>
      </c>
      <c r="C341" s="92"/>
      <c r="D341" s="204"/>
      <c r="E341" s="93" t="s">
        <v>850</v>
      </c>
      <c r="F341" s="94"/>
      <c r="G341" s="6"/>
      <c r="H341" s="7"/>
      <c r="I341" s="95">
        <f t="shared" si="136"/>
        <v>0</v>
      </c>
      <c r="J341" s="95">
        <f t="shared" si="137"/>
        <v>0</v>
      </c>
      <c r="K341" s="7"/>
      <c r="L341" s="9"/>
      <c r="M341" s="96">
        <f t="shared" si="138"/>
        <v>0</v>
      </c>
      <c r="N341" s="96">
        <f t="shared" si="139"/>
        <v>0</v>
      </c>
      <c r="O341" s="9"/>
    </row>
    <row r="342" spans="1:15" ht="135" customHeight="1" x14ac:dyDescent="0.25">
      <c r="A342" s="493" t="s">
        <v>631</v>
      </c>
      <c r="B342" s="91" t="s">
        <v>846</v>
      </c>
      <c r="C342" s="92"/>
      <c r="D342" s="204"/>
      <c r="E342" s="93" t="s">
        <v>851</v>
      </c>
      <c r="F342" s="94"/>
      <c r="G342" s="6"/>
      <c r="H342" s="7"/>
      <c r="I342" s="95">
        <f t="shared" si="136"/>
        <v>0</v>
      </c>
      <c r="J342" s="95">
        <f t="shared" si="137"/>
        <v>0</v>
      </c>
      <c r="K342" s="7"/>
      <c r="L342" s="9"/>
      <c r="M342" s="96">
        <f t="shared" si="138"/>
        <v>0</v>
      </c>
      <c r="N342" s="96">
        <f t="shared" si="139"/>
        <v>0</v>
      </c>
      <c r="O342" s="9"/>
    </row>
    <row r="343" spans="1:15" ht="105" customHeight="1" x14ac:dyDescent="0.25">
      <c r="A343" s="493" t="s">
        <v>631</v>
      </c>
      <c r="B343" s="91" t="s">
        <v>846</v>
      </c>
      <c r="C343" s="92"/>
      <c r="D343" s="204"/>
      <c r="E343" s="93" t="s">
        <v>852</v>
      </c>
      <c r="F343" s="94"/>
      <c r="G343" s="6"/>
      <c r="H343" s="7"/>
      <c r="I343" s="95">
        <f t="shared" si="136"/>
        <v>0</v>
      </c>
      <c r="J343" s="95">
        <f t="shared" si="137"/>
        <v>0</v>
      </c>
      <c r="K343" s="7"/>
      <c r="L343" s="9"/>
      <c r="M343" s="96">
        <f t="shared" si="138"/>
        <v>0</v>
      </c>
      <c r="N343" s="96">
        <f t="shared" si="139"/>
        <v>0</v>
      </c>
      <c r="O343" s="9"/>
    </row>
    <row r="344" spans="1:15" ht="165" customHeight="1" x14ac:dyDescent="0.25">
      <c r="A344" s="493" t="s">
        <v>631</v>
      </c>
      <c r="B344" s="91" t="s">
        <v>846</v>
      </c>
      <c r="C344" s="92"/>
      <c r="D344" s="204"/>
      <c r="E344" s="93" t="s">
        <v>853</v>
      </c>
      <c r="F344" s="94"/>
      <c r="G344" s="6"/>
      <c r="H344" s="7"/>
      <c r="I344" s="95">
        <f t="shared" si="136"/>
        <v>0</v>
      </c>
      <c r="J344" s="95">
        <f t="shared" si="137"/>
        <v>0</v>
      </c>
      <c r="K344" s="7"/>
      <c r="L344" s="9"/>
      <c r="M344" s="96">
        <f t="shared" si="138"/>
        <v>0</v>
      </c>
      <c r="N344" s="96">
        <f t="shared" si="139"/>
        <v>0</v>
      </c>
      <c r="O344" s="9"/>
    </row>
    <row r="345" spans="1:15" ht="15" customHeight="1" x14ac:dyDescent="0.25">
      <c r="A345" s="493" t="s">
        <v>1022</v>
      </c>
      <c r="B345" s="205" t="str">
        <f>+B344</f>
        <v>Sec1/36</v>
      </c>
      <c r="C345" s="97"/>
      <c r="D345" s="205"/>
      <c r="E345" s="98" t="s">
        <v>640</v>
      </c>
      <c r="F345" s="97"/>
      <c r="G345" s="11"/>
      <c r="H345" s="11"/>
      <c r="I345" s="11"/>
      <c r="J345" s="99">
        <f>SUBTOTAL(9,J335:J344)</f>
        <v>0</v>
      </c>
      <c r="K345" s="11"/>
      <c r="L345" s="11"/>
      <c r="M345" s="11"/>
      <c r="N345" s="99">
        <f>SUBTOTAL(9,N335:N344)</f>
        <v>0</v>
      </c>
      <c r="O345" s="11"/>
    </row>
    <row r="346" spans="1:15" ht="15" customHeight="1" x14ac:dyDescent="0.25">
      <c r="A346" s="493" t="s">
        <v>631</v>
      </c>
      <c r="B346" s="91" t="s">
        <v>854</v>
      </c>
      <c r="C346" s="92"/>
      <c r="D346" s="207" t="s">
        <v>1006</v>
      </c>
      <c r="E346" s="208" t="s">
        <v>1805</v>
      </c>
      <c r="F346" s="94"/>
      <c r="G346" s="6"/>
      <c r="H346" s="7"/>
      <c r="I346" s="95">
        <f t="shared" ref="I346:I353" si="140">ROUND(H346*G346,2)</f>
        <v>0</v>
      </c>
      <c r="J346" s="95">
        <f t="shared" ref="J346:J353" si="141">ROUNDUP(I346,0)</f>
        <v>0</v>
      </c>
      <c r="K346" s="7"/>
      <c r="L346" s="9"/>
      <c r="M346" s="96">
        <f t="shared" ref="M346:M353" si="142">ROUND(L346*G346,2)</f>
        <v>0</v>
      </c>
      <c r="N346" s="96">
        <f t="shared" ref="N346:N353" si="143">ROUNDUP(M346,0)</f>
        <v>0</v>
      </c>
      <c r="O346" s="9"/>
    </row>
    <row r="347" spans="1:15" ht="15" customHeight="1" x14ac:dyDescent="0.25">
      <c r="A347" s="493" t="s">
        <v>631</v>
      </c>
      <c r="B347" s="91" t="s">
        <v>854</v>
      </c>
      <c r="C347" s="92"/>
      <c r="D347" s="207">
        <v>6</v>
      </c>
      <c r="E347" s="208" t="s">
        <v>1814</v>
      </c>
      <c r="F347" s="94"/>
      <c r="G347" s="6"/>
      <c r="H347" s="7"/>
      <c r="I347" s="95">
        <f t="shared" si="140"/>
        <v>0</v>
      </c>
      <c r="J347" s="211">
        <f t="shared" si="141"/>
        <v>0</v>
      </c>
      <c r="K347" s="7"/>
      <c r="L347" s="9"/>
      <c r="M347" s="96">
        <f t="shared" si="142"/>
        <v>0</v>
      </c>
      <c r="N347" s="96">
        <f t="shared" si="143"/>
        <v>0</v>
      </c>
      <c r="O347" s="9"/>
    </row>
    <row r="348" spans="1:15" ht="180" customHeight="1" x14ac:dyDescent="0.25">
      <c r="A348" s="493" t="s">
        <v>631</v>
      </c>
      <c r="B348" s="91" t="s">
        <v>854</v>
      </c>
      <c r="C348" s="92"/>
      <c r="D348" s="204"/>
      <c r="E348" s="93" t="s">
        <v>2059</v>
      </c>
      <c r="F348" s="94"/>
      <c r="G348" s="6"/>
      <c r="H348" s="7"/>
      <c r="I348" s="95">
        <f t="shared" si="140"/>
        <v>0</v>
      </c>
      <c r="J348" s="95">
        <f t="shared" si="141"/>
        <v>0</v>
      </c>
      <c r="K348" s="7"/>
      <c r="L348" s="9"/>
      <c r="M348" s="96">
        <f t="shared" si="142"/>
        <v>0</v>
      </c>
      <c r="N348" s="96">
        <f t="shared" si="143"/>
        <v>0</v>
      </c>
      <c r="O348" s="9"/>
    </row>
    <row r="349" spans="1:15" ht="225" customHeight="1" x14ac:dyDescent="0.25">
      <c r="A349" s="493" t="s">
        <v>631</v>
      </c>
      <c r="B349" s="91" t="s">
        <v>854</v>
      </c>
      <c r="C349" s="92"/>
      <c r="D349" s="204"/>
      <c r="E349" s="93" t="s">
        <v>855</v>
      </c>
      <c r="F349" s="94"/>
      <c r="G349" s="6"/>
      <c r="H349" s="7"/>
      <c r="I349" s="95">
        <f t="shared" si="140"/>
        <v>0</v>
      </c>
      <c r="J349" s="95">
        <f t="shared" si="141"/>
        <v>0</v>
      </c>
      <c r="K349" s="7"/>
      <c r="L349" s="9"/>
      <c r="M349" s="96">
        <f t="shared" si="142"/>
        <v>0</v>
      </c>
      <c r="N349" s="96">
        <f t="shared" si="143"/>
        <v>0</v>
      </c>
      <c r="O349" s="9"/>
    </row>
    <row r="350" spans="1:15" ht="15" customHeight="1" x14ac:dyDescent="0.25">
      <c r="A350" s="493" t="s">
        <v>631</v>
      </c>
      <c r="B350" s="91" t="s">
        <v>854</v>
      </c>
      <c r="C350" s="92"/>
      <c r="D350" s="207">
        <v>7</v>
      </c>
      <c r="E350" s="208" t="s">
        <v>1815</v>
      </c>
      <c r="F350" s="94"/>
      <c r="G350" s="6"/>
      <c r="H350" s="7"/>
      <c r="I350" s="95">
        <f t="shared" si="140"/>
        <v>0</v>
      </c>
      <c r="J350" s="95">
        <f t="shared" si="141"/>
        <v>0</v>
      </c>
      <c r="K350" s="7"/>
      <c r="L350" s="9"/>
      <c r="M350" s="96">
        <f t="shared" si="142"/>
        <v>0</v>
      </c>
      <c r="N350" s="96">
        <f t="shared" si="143"/>
        <v>0</v>
      </c>
      <c r="O350" s="9"/>
    </row>
    <row r="351" spans="1:15" ht="60" customHeight="1" x14ac:dyDescent="0.25">
      <c r="A351" s="493" t="s">
        <v>631</v>
      </c>
      <c r="B351" s="91" t="s">
        <v>854</v>
      </c>
      <c r="C351" s="92"/>
      <c r="D351" s="204"/>
      <c r="E351" s="93" t="s">
        <v>856</v>
      </c>
      <c r="F351" s="94"/>
      <c r="G351" s="6"/>
      <c r="H351" s="7"/>
      <c r="I351" s="95">
        <f t="shared" si="140"/>
        <v>0</v>
      </c>
      <c r="J351" s="95">
        <f t="shared" si="141"/>
        <v>0</v>
      </c>
      <c r="K351" s="7"/>
      <c r="L351" s="9"/>
      <c r="M351" s="96">
        <f t="shared" si="142"/>
        <v>0</v>
      </c>
      <c r="N351" s="96">
        <f t="shared" si="143"/>
        <v>0</v>
      </c>
      <c r="O351" s="9"/>
    </row>
    <row r="352" spans="1:15" ht="15" customHeight="1" x14ac:dyDescent="0.25">
      <c r="A352" s="493" t="s">
        <v>631</v>
      </c>
      <c r="B352" s="91" t="s">
        <v>854</v>
      </c>
      <c r="C352" s="92"/>
      <c r="D352" s="207">
        <v>8</v>
      </c>
      <c r="E352" s="208" t="s">
        <v>1816</v>
      </c>
      <c r="F352" s="94"/>
      <c r="G352" s="6"/>
      <c r="H352" s="7"/>
      <c r="I352" s="95">
        <f t="shared" si="140"/>
        <v>0</v>
      </c>
      <c r="J352" s="95">
        <f t="shared" si="141"/>
        <v>0</v>
      </c>
      <c r="K352" s="7"/>
      <c r="L352" s="9"/>
      <c r="M352" s="96">
        <f t="shared" si="142"/>
        <v>0</v>
      </c>
      <c r="N352" s="96">
        <f t="shared" si="143"/>
        <v>0</v>
      </c>
      <c r="O352" s="9"/>
    </row>
    <row r="353" spans="1:15" ht="60" customHeight="1" x14ac:dyDescent="0.25">
      <c r="A353" s="493" t="s">
        <v>631</v>
      </c>
      <c r="B353" s="91" t="s">
        <v>854</v>
      </c>
      <c r="C353" s="92"/>
      <c r="D353" s="204"/>
      <c r="E353" s="93" t="s">
        <v>857</v>
      </c>
      <c r="F353" s="94"/>
      <c r="G353" s="6"/>
      <c r="H353" s="7"/>
      <c r="I353" s="95">
        <f t="shared" si="140"/>
        <v>0</v>
      </c>
      <c r="J353" s="95">
        <f t="shared" si="141"/>
        <v>0</v>
      </c>
      <c r="K353" s="7"/>
      <c r="L353" s="9"/>
      <c r="M353" s="96">
        <f t="shared" si="142"/>
        <v>0</v>
      </c>
      <c r="N353" s="96">
        <f t="shared" si="143"/>
        <v>0</v>
      </c>
      <c r="O353" s="9"/>
    </row>
    <row r="354" spans="1:15" ht="15" customHeight="1" x14ac:dyDescent="0.25">
      <c r="A354" s="493" t="s">
        <v>1022</v>
      </c>
      <c r="B354" s="205" t="str">
        <f>+B353</f>
        <v>Sec1/37</v>
      </c>
      <c r="C354" s="97"/>
      <c r="D354" s="205"/>
      <c r="E354" s="98" t="s">
        <v>640</v>
      </c>
      <c r="F354" s="97"/>
      <c r="G354" s="11"/>
      <c r="H354" s="11"/>
      <c r="I354" s="11"/>
      <c r="J354" s="99">
        <f>SUBTOTAL(9,J346:J353)</f>
        <v>0</v>
      </c>
      <c r="K354" s="11"/>
      <c r="L354" s="11"/>
      <c r="M354" s="11"/>
      <c r="N354" s="99">
        <f>SUBTOTAL(9,N346:N353)</f>
        <v>0</v>
      </c>
      <c r="O354" s="11"/>
    </row>
    <row r="355" spans="1:15" ht="15" customHeight="1" x14ac:dyDescent="0.25">
      <c r="A355" s="493" t="s">
        <v>631</v>
      </c>
      <c r="B355" s="91" t="s">
        <v>858</v>
      </c>
      <c r="C355" s="92"/>
      <c r="D355" s="207" t="s">
        <v>1006</v>
      </c>
      <c r="E355" s="208" t="s">
        <v>1805</v>
      </c>
      <c r="F355" s="94"/>
      <c r="G355" s="6"/>
      <c r="H355" s="7"/>
      <c r="I355" s="95">
        <f t="shared" ref="I355:I361" si="144">ROUND(H355*G355,2)</f>
        <v>0</v>
      </c>
      <c r="J355" s="95">
        <f t="shared" ref="J355:J361" si="145">ROUNDUP(I355,0)</f>
        <v>0</v>
      </c>
      <c r="K355" s="7"/>
      <c r="L355" s="9"/>
      <c r="M355" s="96">
        <f t="shared" ref="M355:M361" si="146">ROUND(L355*G355,2)</f>
        <v>0</v>
      </c>
      <c r="N355" s="96">
        <f t="shared" ref="N355:N361" si="147">ROUNDUP(M355,0)</f>
        <v>0</v>
      </c>
      <c r="O355" s="9"/>
    </row>
    <row r="356" spans="1:15" ht="15" customHeight="1" x14ac:dyDescent="0.25">
      <c r="A356" s="493" t="s">
        <v>631</v>
      </c>
      <c r="B356" s="91" t="s">
        <v>858</v>
      </c>
      <c r="C356" s="92"/>
      <c r="D356" s="207">
        <v>9</v>
      </c>
      <c r="E356" s="208" t="s">
        <v>1817</v>
      </c>
      <c r="F356" s="94"/>
      <c r="G356" s="6"/>
      <c r="H356" s="7"/>
      <c r="I356" s="95">
        <f t="shared" si="144"/>
        <v>0</v>
      </c>
      <c r="J356" s="95">
        <f t="shared" si="145"/>
        <v>0</v>
      </c>
      <c r="K356" s="7"/>
      <c r="L356" s="9"/>
      <c r="M356" s="96">
        <f t="shared" si="146"/>
        <v>0</v>
      </c>
      <c r="N356" s="96">
        <f t="shared" si="147"/>
        <v>0</v>
      </c>
      <c r="O356" s="9"/>
    </row>
    <row r="357" spans="1:15" ht="75" customHeight="1" x14ac:dyDescent="0.25">
      <c r="A357" s="493" t="s">
        <v>631</v>
      </c>
      <c r="B357" s="91" t="s">
        <v>858</v>
      </c>
      <c r="C357" s="92"/>
      <c r="D357" s="204"/>
      <c r="E357" s="93" t="s">
        <v>859</v>
      </c>
      <c r="F357" s="94"/>
      <c r="G357" s="6"/>
      <c r="H357" s="7"/>
      <c r="I357" s="95">
        <f t="shared" si="144"/>
        <v>0</v>
      </c>
      <c r="J357" s="95">
        <f t="shared" si="145"/>
        <v>0</v>
      </c>
      <c r="K357" s="7"/>
      <c r="L357" s="9"/>
      <c r="M357" s="96">
        <f t="shared" si="146"/>
        <v>0</v>
      </c>
      <c r="N357" s="96">
        <f t="shared" si="147"/>
        <v>0</v>
      </c>
      <c r="O357" s="9"/>
    </row>
    <row r="358" spans="1:15" ht="105" customHeight="1" x14ac:dyDescent="0.25">
      <c r="A358" s="493" t="s">
        <v>631</v>
      </c>
      <c r="B358" s="91" t="s">
        <v>858</v>
      </c>
      <c r="C358" s="92"/>
      <c r="D358" s="204"/>
      <c r="E358" s="93" t="s">
        <v>860</v>
      </c>
      <c r="F358" s="94"/>
      <c r="G358" s="6"/>
      <c r="H358" s="7"/>
      <c r="I358" s="95">
        <f t="shared" si="144"/>
        <v>0</v>
      </c>
      <c r="J358" s="95">
        <f t="shared" si="145"/>
        <v>0</v>
      </c>
      <c r="K358" s="7"/>
      <c r="L358" s="9"/>
      <c r="M358" s="96">
        <f t="shared" si="146"/>
        <v>0</v>
      </c>
      <c r="N358" s="96">
        <f t="shared" si="147"/>
        <v>0</v>
      </c>
      <c r="O358" s="9"/>
    </row>
    <row r="359" spans="1:15" ht="30" customHeight="1" x14ac:dyDescent="0.25">
      <c r="A359" s="493" t="s">
        <v>631</v>
      </c>
      <c r="B359" s="91" t="s">
        <v>858</v>
      </c>
      <c r="C359" s="92"/>
      <c r="D359" s="204"/>
      <c r="E359" s="93" t="s">
        <v>861</v>
      </c>
      <c r="F359" s="94"/>
      <c r="G359" s="6"/>
      <c r="H359" s="7"/>
      <c r="I359" s="95">
        <f t="shared" si="144"/>
        <v>0</v>
      </c>
      <c r="J359" s="95">
        <f t="shared" si="145"/>
        <v>0</v>
      </c>
      <c r="K359" s="7"/>
      <c r="L359" s="9"/>
      <c r="M359" s="96">
        <f t="shared" si="146"/>
        <v>0</v>
      </c>
      <c r="N359" s="96">
        <f t="shared" si="147"/>
        <v>0</v>
      </c>
      <c r="O359" s="9"/>
    </row>
    <row r="360" spans="1:15" ht="105" customHeight="1" x14ac:dyDescent="0.25">
      <c r="A360" s="493" t="s">
        <v>631</v>
      </c>
      <c r="B360" s="91" t="s">
        <v>858</v>
      </c>
      <c r="C360" s="92"/>
      <c r="D360" s="204"/>
      <c r="E360" s="93" t="s">
        <v>862</v>
      </c>
      <c r="F360" s="94"/>
      <c r="G360" s="6"/>
      <c r="H360" s="7"/>
      <c r="I360" s="95">
        <f t="shared" si="144"/>
        <v>0</v>
      </c>
      <c r="J360" s="95">
        <f t="shared" si="145"/>
        <v>0</v>
      </c>
      <c r="K360" s="7"/>
      <c r="L360" s="9"/>
      <c r="M360" s="96">
        <f t="shared" si="146"/>
        <v>0</v>
      </c>
      <c r="N360" s="96">
        <f t="shared" si="147"/>
        <v>0</v>
      </c>
      <c r="O360" s="9"/>
    </row>
    <row r="361" spans="1:15" ht="180" customHeight="1" x14ac:dyDescent="0.25">
      <c r="A361" s="493" t="s">
        <v>631</v>
      </c>
      <c r="B361" s="91" t="s">
        <v>858</v>
      </c>
      <c r="C361" s="92"/>
      <c r="D361" s="204"/>
      <c r="E361" s="93" t="s">
        <v>863</v>
      </c>
      <c r="F361" s="94"/>
      <c r="G361" s="6"/>
      <c r="H361" s="7"/>
      <c r="I361" s="95">
        <f t="shared" si="144"/>
        <v>0</v>
      </c>
      <c r="J361" s="95">
        <f t="shared" si="145"/>
        <v>0</v>
      </c>
      <c r="K361" s="7"/>
      <c r="L361" s="9"/>
      <c r="M361" s="96">
        <f t="shared" si="146"/>
        <v>0</v>
      </c>
      <c r="N361" s="96">
        <f t="shared" si="147"/>
        <v>0</v>
      </c>
      <c r="O361" s="9"/>
    </row>
    <row r="362" spans="1:15" ht="15" customHeight="1" x14ac:dyDescent="0.25">
      <c r="A362" s="493" t="s">
        <v>1022</v>
      </c>
      <c r="B362" s="205" t="str">
        <f>+B361</f>
        <v>Sec1/38</v>
      </c>
      <c r="C362" s="97"/>
      <c r="D362" s="205"/>
      <c r="E362" s="98" t="s">
        <v>640</v>
      </c>
      <c r="F362" s="97"/>
      <c r="G362" s="11"/>
      <c r="H362" s="11"/>
      <c r="I362" s="11"/>
      <c r="J362" s="99">
        <f>SUBTOTAL(9,J355:J361)</f>
        <v>0</v>
      </c>
      <c r="K362" s="11"/>
      <c r="L362" s="11"/>
      <c r="M362" s="11"/>
      <c r="N362" s="99">
        <f>SUBTOTAL(9,N355:N361)</f>
        <v>0</v>
      </c>
      <c r="O362" s="11"/>
    </row>
    <row r="363" spans="1:15" ht="15" customHeight="1" x14ac:dyDescent="0.25">
      <c r="A363" s="493" t="s">
        <v>631</v>
      </c>
      <c r="B363" s="91" t="s">
        <v>864</v>
      </c>
      <c r="C363" s="92"/>
      <c r="D363" s="207" t="s">
        <v>1006</v>
      </c>
      <c r="E363" s="208" t="s">
        <v>1805</v>
      </c>
      <c r="F363" s="94"/>
      <c r="G363" s="6"/>
      <c r="H363" s="7"/>
      <c r="I363" s="95">
        <f t="shared" ref="I363:I370" si="148">ROUND(H363*G363,2)</f>
        <v>0</v>
      </c>
      <c r="J363" s="95">
        <f t="shared" ref="J363:J370" si="149">ROUNDUP(I363,0)</f>
        <v>0</v>
      </c>
      <c r="K363" s="7"/>
      <c r="L363" s="9"/>
      <c r="M363" s="96">
        <f t="shared" ref="M363:M370" si="150">ROUND(L363*G363,2)</f>
        <v>0</v>
      </c>
      <c r="N363" s="96">
        <f t="shared" ref="N363:N370" si="151">ROUNDUP(M363,0)</f>
        <v>0</v>
      </c>
      <c r="O363" s="9"/>
    </row>
    <row r="364" spans="1:15" ht="15" customHeight="1" x14ac:dyDescent="0.25">
      <c r="A364" s="493" t="s">
        <v>631</v>
      </c>
      <c r="B364" s="91" t="s">
        <v>864</v>
      </c>
      <c r="C364" s="92"/>
      <c r="D364" s="207">
        <v>9</v>
      </c>
      <c r="E364" s="208" t="s">
        <v>1818</v>
      </c>
      <c r="F364" s="94"/>
      <c r="G364" s="6"/>
      <c r="H364" s="7"/>
      <c r="I364" s="95">
        <f t="shared" si="148"/>
        <v>0</v>
      </c>
      <c r="J364" s="95">
        <f t="shared" si="149"/>
        <v>0</v>
      </c>
      <c r="K364" s="7"/>
      <c r="L364" s="9"/>
      <c r="M364" s="96">
        <f t="shared" si="150"/>
        <v>0</v>
      </c>
      <c r="N364" s="96">
        <f t="shared" si="151"/>
        <v>0</v>
      </c>
      <c r="O364" s="9"/>
    </row>
    <row r="365" spans="1:15" ht="165" customHeight="1" x14ac:dyDescent="0.25">
      <c r="A365" s="493" t="s">
        <v>631</v>
      </c>
      <c r="B365" s="91" t="s">
        <v>864</v>
      </c>
      <c r="C365" s="92"/>
      <c r="D365" s="204"/>
      <c r="E365" s="93" t="s">
        <v>865</v>
      </c>
      <c r="F365" s="94"/>
      <c r="G365" s="6"/>
      <c r="H365" s="7"/>
      <c r="I365" s="95">
        <f t="shared" si="148"/>
        <v>0</v>
      </c>
      <c r="J365" s="95">
        <f t="shared" si="149"/>
        <v>0</v>
      </c>
      <c r="K365" s="7"/>
      <c r="L365" s="9"/>
      <c r="M365" s="96">
        <f t="shared" si="150"/>
        <v>0</v>
      </c>
      <c r="N365" s="96">
        <f t="shared" si="151"/>
        <v>0</v>
      </c>
      <c r="O365" s="9"/>
    </row>
    <row r="366" spans="1:15" ht="105" customHeight="1" x14ac:dyDescent="0.25">
      <c r="A366" s="493" t="s">
        <v>631</v>
      </c>
      <c r="B366" s="91" t="s">
        <v>864</v>
      </c>
      <c r="C366" s="92"/>
      <c r="D366" s="204"/>
      <c r="E366" s="93" t="s">
        <v>866</v>
      </c>
      <c r="F366" s="94"/>
      <c r="G366" s="6"/>
      <c r="H366" s="7"/>
      <c r="I366" s="95">
        <f t="shared" si="148"/>
        <v>0</v>
      </c>
      <c r="J366" s="95">
        <f t="shared" si="149"/>
        <v>0</v>
      </c>
      <c r="K366" s="7"/>
      <c r="L366" s="9"/>
      <c r="M366" s="96">
        <f t="shared" si="150"/>
        <v>0</v>
      </c>
      <c r="N366" s="96">
        <f t="shared" si="151"/>
        <v>0</v>
      </c>
      <c r="O366" s="9"/>
    </row>
    <row r="367" spans="1:15" ht="15" customHeight="1" x14ac:dyDescent="0.25">
      <c r="A367" s="493" t="s">
        <v>631</v>
      </c>
      <c r="B367" s="91" t="s">
        <v>864</v>
      </c>
      <c r="C367" s="92"/>
      <c r="D367" s="207">
        <v>10</v>
      </c>
      <c r="E367" s="208" t="s">
        <v>1819</v>
      </c>
      <c r="F367" s="94"/>
      <c r="G367" s="6"/>
      <c r="H367" s="7"/>
      <c r="I367" s="95">
        <f t="shared" si="148"/>
        <v>0</v>
      </c>
      <c r="J367" s="95">
        <f t="shared" si="149"/>
        <v>0</v>
      </c>
      <c r="K367" s="7"/>
      <c r="L367" s="9"/>
      <c r="M367" s="96">
        <f t="shared" si="150"/>
        <v>0</v>
      </c>
      <c r="N367" s="96">
        <f t="shared" si="151"/>
        <v>0</v>
      </c>
      <c r="O367" s="9"/>
    </row>
    <row r="368" spans="1:15" ht="105" customHeight="1" x14ac:dyDescent="0.25">
      <c r="A368" s="493" t="s">
        <v>631</v>
      </c>
      <c r="B368" s="91" t="s">
        <v>864</v>
      </c>
      <c r="C368" s="92"/>
      <c r="D368" s="204"/>
      <c r="E368" s="93" t="s">
        <v>867</v>
      </c>
      <c r="F368" s="94"/>
      <c r="G368" s="6"/>
      <c r="H368" s="7"/>
      <c r="I368" s="95">
        <f t="shared" si="148"/>
        <v>0</v>
      </c>
      <c r="J368" s="95">
        <f t="shared" si="149"/>
        <v>0</v>
      </c>
      <c r="K368" s="7"/>
      <c r="L368" s="9"/>
      <c r="M368" s="96">
        <f t="shared" si="150"/>
        <v>0</v>
      </c>
      <c r="N368" s="96">
        <f t="shared" si="151"/>
        <v>0</v>
      </c>
      <c r="O368" s="9"/>
    </row>
    <row r="369" spans="1:15" ht="105" customHeight="1" x14ac:dyDescent="0.25">
      <c r="A369" s="493" t="s">
        <v>631</v>
      </c>
      <c r="B369" s="91" t="s">
        <v>864</v>
      </c>
      <c r="C369" s="92"/>
      <c r="D369" s="204"/>
      <c r="E369" s="93" t="s">
        <v>868</v>
      </c>
      <c r="F369" s="94"/>
      <c r="G369" s="6"/>
      <c r="H369" s="7"/>
      <c r="I369" s="95">
        <f t="shared" si="148"/>
        <v>0</v>
      </c>
      <c r="J369" s="95">
        <f t="shared" si="149"/>
        <v>0</v>
      </c>
      <c r="K369" s="7"/>
      <c r="L369" s="9"/>
      <c r="M369" s="96">
        <f t="shared" si="150"/>
        <v>0</v>
      </c>
      <c r="N369" s="96">
        <f t="shared" si="151"/>
        <v>0</v>
      </c>
      <c r="O369" s="9"/>
    </row>
    <row r="370" spans="1:15" ht="75" customHeight="1" x14ac:dyDescent="0.25">
      <c r="A370" s="493" t="s">
        <v>631</v>
      </c>
      <c r="B370" s="91" t="s">
        <v>864</v>
      </c>
      <c r="C370" s="92"/>
      <c r="D370" s="204"/>
      <c r="E370" s="93" t="s">
        <v>869</v>
      </c>
      <c r="F370" s="94"/>
      <c r="G370" s="6"/>
      <c r="H370" s="7"/>
      <c r="I370" s="95">
        <f t="shared" si="148"/>
        <v>0</v>
      </c>
      <c r="J370" s="95">
        <f t="shared" si="149"/>
        <v>0</v>
      </c>
      <c r="K370" s="7"/>
      <c r="L370" s="9"/>
      <c r="M370" s="96">
        <f t="shared" si="150"/>
        <v>0</v>
      </c>
      <c r="N370" s="96">
        <f t="shared" si="151"/>
        <v>0</v>
      </c>
      <c r="O370" s="9"/>
    </row>
    <row r="371" spans="1:15" ht="15" customHeight="1" x14ac:dyDescent="0.25">
      <c r="A371" s="493" t="s">
        <v>1022</v>
      </c>
      <c r="B371" s="205" t="str">
        <f>+B370</f>
        <v>Sec1/39</v>
      </c>
      <c r="C371" s="97"/>
      <c r="D371" s="205"/>
      <c r="E371" s="98" t="s">
        <v>640</v>
      </c>
      <c r="F371" s="97"/>
      <c r="G371" s="11"/>
      <c r="H371" s="11"/>
      <c r="I371" s="11"/>
      <c r="J371" s="99">
        <f>SUBTOTAL(9,J363:J370)</f>
        <v>0</v>
      </c>
      <c r="K371" s="11"/>
      <c r="L371" s="11"/>
      <c r="M371" s="11"/>
      <c r="N371" s="99">
        <f>SUBTOTAL(9,N363:N370)</f>
        <v>0</v>
      </c>
      <c r="O371" s="11"/>
    </row>
    <row r="372" spans="1:15" ht="15" customHeight="1" x14ac:dyDescent="0.25">
      <c r="A372" s="493" t="s">
        <v>631</v>
      </c>
      <c r="B372" s="91" t="s">
        <v>870</v>
      </c>
      <c r="C372" s="92"/>
      <c r="D372" s="207" t="s">
        <v>1006</v>
      </c>
      <c r="E372" s="208" t="s">
        <v>1805</v>
      </c>
      <c r="F372" s="94"/>
      <c r="G372" s="6"/>
      <c r="H372" s="7"/>
      <c r="I372" s="95">
        <f t="shared" ref="I372:I384" si="152">ROUND(H372*G372,2)</f>
        <v>0</v>
      </c>
      <c r="J372" s="95">
        <f t="shared" ref="J372:J384" si="153">ROUNDUP(I372,0)</f>
        <v>0</v>
      </c>
      <c r="K372" s="7"/>
      <c r="L372" s="9"/>
      <c r="M372" s="96">
        <f t="shared" ref="M372:M384" si="154">ROUND(L372*G372,2)</f>
        <v>0</v>
      </c>
      <c r="N372" s="96">
        <f t="shared" ref="N372:N384" si="155">ROUNDUP(M372,0)</f>
        <v>0</v>
      </c>
      <c r="O372" s="9"/>
    </row>
    <row r="373" spans="1:15" ht="15" customHeight="1" x14ac:dyDescent="0.25">
      <c r="A373" s="493" t="s">
        <v>631</v>
      </c>
      <c r="B373" s="91" t="s">
        <v>870</v>
      </c>
      <c r="C373" s="92"/>
      <c r="D373" s="207">
        <v>10</v>
      </c>
      <c r="E373" s="208" t="s">
        <v>1820</v>
      </c>
      <c r="F373" s="94"/>
      <c r="G373" s="6"/>
      <c r="H373" s="7"/>
      <c r="I373" s="95">
        <f t="shared" si="152"/>
        <v>0</v>
      </c>
      <c r="J373" s="95">
        <f t="shared" si="153"/>
        <v>0</v>
      </c>
      <c r="K373" s="7"/>
      <c r="L373" s="9"/>
      <c r="M373" s="96">
        <f t="shared" si="154"/>
        <v>0</v>
      </c>
      <c r="N373" s="96">
        <f t="shared" si="155"/>
        <v>0</v>
      </c>
      <c r="O373" s="9"/>
    </row>
    <row r="374" spans="1:15" ht="105" customHeight="1" x14ac:dyDescent="0.25">
      <c r="A374" s="493" t="s">
        <v>631</v>
      </c>
      <c r="B374" s="91" t="s">
        <v>870</v>
      </c>
      <c r="C374" s="92"/>
      <c r="D374" s="204"/>
      <c r="E374" s="93" t="s">
        <v>871</v>
      </c>
      <c r="F374" s="94"/>
      <c r="G374" s="6"/>
      <c r="H374" s="7"/>
      <c r="I374" s="95">
        <f t="shared" si="152"/>
        <v>0</v>
      </c>
      <c r="J374" s="95">
        <f t="shared" si="153"/>
        <v>0</v>
      </c>
      <c r="K374" s="7"/>
      <c r="L374" s="9"/>
      <c r="M374" s="96">
        <f t="shared" si="154"/>
        <v>0</v>
      </c>
      <c r="N374" s="96">
        <f t="shared" si="155"/>
        <v>0</v>
      </c>
      <c r="O374" s="9"/>
    </row>
    <row r="375" spans="1:15" ht="90" customHeight="1" x14ac:dyDescent="0.25">
      <c r="A375" s="493" t="s">
        <v>631</v>
      </c>
      <c r="B375" s="91" t="s">
        <v>870</v>
      </c>
      <c r="C375" s="92"/>
      <c r="D375" s="204"/>
      <c r="E375" s="93" t="s">
        <v>872</v>
      </c>
      <c r="F375" s="94"/>
      <c r="G375" s="6"/>
      <c r="H375" s="7"/>
      <c r="I375" s="95">
        <f t="shared" si="152"/>
        <v>0</v>
      </c>
      <c r="J375" s="95">
        <f t="shared" si="153"/>
        <v>0</v>
      </c>
      <c r="K375" s="7"/>
      <c r="L375" s="9"/>
      <c r="M375" s="96">
        <f t="shared" si="154"/>
        <v>0</v>
      </c>
      <c r="N375" s="96">
        <f t="shared" si="155"/>
        <v>0</v>
      </c>
      <c r="O375" s="9"/>
    </row>
    <row r="376" spans="1:15" ht="15" customHeight="1" x14ac:dyDescent="0.25">
      <c r="A376" s="493" t="s">
        <v>631</v>
      </c>
      <c r="B376" s="91" t="s">
        <v>870</v>
      </c>
      <c r="C376" s="92"/>
      <c r="D376" s="207">
        <v>11</v>
      </c>
      <c r="E376" s="208" t="s">
        <v>1821</v>
      </c>
      <c r="F376" s="94"/>
      <c r="G376" s="6"/>
      <c r="H376" s="7"/>
      <c r="I376" s="95">
        <f t="shared" si="152"/>
        <v>0</v>
      </c>
      <c r="J376" s="95">
        <f t="shared" si="153"/>
        <v>0</v>
      </c>
      <c r="K376" s="7"/>
      <c r="L376" s="9"/>
      <c r="M376" s="96">
        <f t="shared" si="154"/>
        <v>0</v>
      </c>
      <c r="N376" s="96">
        <f t="shared" si="155"/>
        <v>0</v>
      </c>
      <c r="O376" s="9"/>
    </row>
    <row r="377" spans="1:15" ht="15" customHeight="1" x14ac:dyDescent="0.25">
      <c r="A377" s="493" t="s">
        <v>631</v>
      </c>
      <c r="B377" s="91" t="s">
        <v>870</v>
      </c>
      <c r="C377" s="92"/>
      <c r="D377" s="207"/>
      <c r="E377" s="208" t="s">
        <v>873</v>
      </c>
      <c r="F377" s="94"/>
      <c r="G377" s="6"/>
      <c r="H377" s="7"/>
      <c r="I377" s="95">
        <f t="shared" si="152"/>
        <v>0</v>
      </c>
      <c r="J377" s="95">
        <f t="shared" si="153"/>
        <v>0</v>
      </c>
      <c r="K377" s="7"/>
      <c r="L377" s="9"/>
      <c r="M377" s="96">
        <f t="shared" si="154"/>
        <v>0</v>
      </c>
      <c r="N377" s="96">
        <f t="shared" si="155"/>
        <v>0</v>
      </c>
      <c r="O377" s="9"/>
    </row>
    <row r="378" spans="1:15" ht="90" customHeight="1" x14ac:dyDescent="0.25">
      <c r="A378" s="493" t="s">
        <v>631</v>
      </c>
      <c r="B378" s="91" t="s">
        <v>870</v>
      </c>
      <c r="C378" s="92"/>
      <c r="D378" s="204"/>
      <c r="E378" s="93" t="s">
        <v>874</v>
      </c>
      <c r="F378" s="94"/>
      <c r="G378" s="6"/>
      <c r="H378" s="7"/>
      <c r="I378" s="95">
        <f t="shared" si="152"/>
        <v>0</v>
      </c>
      <c r="J378" s="95">
        <f t="shared" si="153"/>
        <v>0</v>
      </c>
      <c r="K378" s="7"/>
      <c r="L378" s="9"/>
      <c r="M378" s="96">
        <f t="shared" si="154"/>
        <v>0</v>
      </c>
      <c r="N378" s="96">
        <f t="shared" si="155"/>
        <v>0</v>
      </c>
      <c r="O378" s="9"/>
    </row>
    <row r="379" spans="1:15" ht="15" customHeight="1" x14ac:dyDescent="0.25">
      <c r="A379" s="493" t="s">
        <v>631</v>
      </c>
      <c r="B379" s="91" t="s">
        <v>870</v>
      </c>
      <c r="C379" s="92"/>
      <c r="D379" s="207">
        <v>12</v>
      </c>
      <c r="E379" s="208" t="s">
        <v>1822</v>
      </c>
      <c r="F379" s="212"/>
      <c r="G379" s="6"/>
      <c r="H379" s="7"/>
      <c r="I379" s="95">
        <f t="shared" si="152"/>
        <v>0</v>
      </c>
      <c r="J379" s="95">
        <f t="shared" si="153"/>
        <v>0</v>
      </c>
      <c r="K379" s="7"/>
      <c r="L379" s="9"/>
      <c r="M379" s="96">
        <f t="shared" si="154"/>
        <v>0</v>
      </c>
      <c r="N379" s="96">
        <f t="shared" si="155"/>
        <v>0</v>
      </c>
      <c r="O379" s="9"/>
    </row>
    <row r="380" spans="1:15" ht="15" customHeight="1" x14ac:dyDescent="0.25">
      <c r="A380" s="493" t="s">
        <v>631</v>
      </c>
      <c r="B380" s="91" t="s">
        <v>870</v>
      </c>
      <c r="C380" s="92"/>
      <c r="D380" s="207"/>
      <c r="E380" s="208" t="s">
        <v>875</v>
      </c>
      <c r="F380" s="212"/>
      <c r="G380" s="6"/>
      <c r="H380" s="7"/>
      <c r="I380" s="95">
        <f t="shared" si="152"/>
        <v>0</v>
      </c>
      <c r="J380" s="95">
        <f t="shared" si="153"/>
        <v>0</v>
      </c>
      <c r="K380" s="7"/>
      <c r="L380" s="9"/>
      <c r="M380" s="96">
        <f t="shared" si="154"/>
        <v>0</v>
      </c>
      <c r="N380" s="96">
        <f t="shared" si="155"/>
        <v>0</v>
      </c>
      <c r="O380" s="9"/>
    </row>
    <row r="381" spans="1:15" ht="15" customHeight="1" x14ac:dyDescent="0.25">
      <c r="A381" s="493" t="s">
        <v>631</v>
      </c>
      <c r="B381" s="91" t="s">
        <v>870</v>
      </c>
      <c r="C381" s="92"/>
      <c r="D381" s="207"/>
      <c r="E381" s="208" t="s">
        <v>876</v>
      </c>
      <c r="F381" s="212"/>
      <c r="G381" s="6"/>
      <c r="H381" s="7"/>
      <c r="I381" s="95">
        <f t="shared" si="152"/>
        <v>0</v>
      </c>
      <c r="J381" s="95">
        <f t="shared" si="153"/>
        <v>0</v>
      </c>
      <c r="K381" s="7"/>
      <c r="L381" s="9"/>
      <c r="M381" s="96">
        <f t="shared" si="154"/>
        <v>0</v>
      </c>
      <c r="N381" s="96">
        <f t="shared" si="155"/>
        <v>0</v>
      </c>
      <c r="O381" s="9"/>
    </row>
    <row r="382" spans="1:15" ht="60" customHeight="1" x14ac:dyDescent="0.25">
      <c r="A382" s="493" t="s">
        <v>631</v>
      </c>
      <c r="B382" s="91" t="s">
        <v>870</v>
      </c>
      <c r="C382" s="92"/>
      <c r="D382" s="204"/>
      <c r="E382" s="93" t="s">
        <v>877</v>
      </c>
      <c r="F382" s="94"/>
      <c r="G382" s="6"/>
      <c r="H382" s="7"/>
      <c r="I382" s="95">
        <f t="shared" si="152"/>
        <v>0</v>
      </c>
      <c r="J382" s="95">
        <f t="shared" si="153"/>
        <v>0</v>
      </c>
      <c r="K382" s="7"/>
      <c r="L382" s="9"/>
      <c r="M382" s="96">
        <f t="shared" si="154"/>
        <v>0</v>
      </c>
      <c r="N382" s="96">
        <f t="shared" si="155"/>
        <v>0</v>
      </c>
      <c r="O382" s="9"/>
    </row>
    <row r="383" spans="1:15" ht="45" customHeight="1" x14ac:dyDescent="0.25">
      <c r="A383" s="493" t="s">
        <v>631</v>
      </c>
      <c r="B383" s="91" t="s">
        <v>870</v>
      </c>
      <c r="C383" s="92"/>
      <c r="D383" s="204"/>
      <c r="E383" s="93" t="s">
        <v>878</v>
      </c>
      <c r="F383" s="94"/>
      <c r="G383" s="6"/>
      <c r="H383" s="7"/>
      <c r="I383" s="95">
        <f t="shared" si="152"/>
        <v>0</v>
      </c>
      <c r="J383" s="95">
        <f t="shared" si="153"/>
        <v>0</v>
      </c>
      <c r="K383" s="7"/>
      <c r="L383" s="9"/>
      <c r="M383" s="96">
        <f t="shared" si="154"/>
        <v>0</v>
      </c>
      <c r="N383" s="96">
        <f t="shared" si="155"/>
        <v>0</v>
      </c>
      <c r="O383" s="9"/>
    </row>
    <row r="384" spans="1:15" ht="120" customHeight="1" x14ac:dyDescent="0.25">
      <c r="A384" s="493" t="s">
        <v>631</v>
      </c>
      <c r="B384" s="91" t="s">
        <v>870</v>
      </c>
      <c r="C384" s="92"/>
      <c r="D384" s="204"/>
      <c r="E384" s="93" t="s">
        <v>879</v>
      </c>
      <c r="F384" s="94"/>
      <c r="G384" s="6"/>
      <c r="H384" s="7"/>
      <c r="I384" s="95">
        <f t="shared" si="152"/>
        <v>0</v>
      </c>
      <c r="J384" s="95">
        <f t="shared" si="153"/>
        <v>0</v>
      </c>
      <c r="K384" s="7"/>
      <c r="L384" s="9"/>
      <c r="M384" s="96">
        <f t="shared" si="154"/>
        <v>0</v>
      </c>
      <c r="N384" s="96">
        <f t="shared" si="155"/>
        <v>0</v>
      </c>
      <c r="O384" s="9"/>
    </row>
    <row r="385" spans="1:15" ht="15" customHeight="1" x14ac:dyDescent="0.25">
      <c r="A385" s="493" t="s">
        <v>1022</v>
      </c>
      <c r="B385" s="205" t="str">
        <f>+B384</f>
        <v>Sec1/40</v>
      </c>
      <c r="C385" s="97"/>
      <c r="D385" s="205"/>
      <c r="E385" s="98" t="s">
        <v>640</v>
      </c>
      <c r="F385" s="97"/>
      <c r="G385" s="11"/>
      <c r="H385" s="11"/>
      <c r="I385" s="11"/>
      <c r="J385" s="99">
        <f>SUBTOTAL(9,J372:J384)</f>
        <v>0</v>
      </c>
      <c r="K385" s="11"/>
      <c r="L385" s="11"/>
      <c r="M385" s="11"/>
      <c r="N385" s="99">
        <f>SUBTOTAL(9,N372:N384)</f>
        <v>0</v>
      </c>
      <c r="O385" s="11"/>
    </row>
    <row r="386" spans="1:15" ht="15" customHeight="1" x14ac:dyDescent="0.25">
      <c r="A386" s="493" t="s">
        <v>631</v>
      </c>
      <c r="B386" s="91" t="s">
        <v>880</v>
      </c>
      <c r="C386" s="92"/>
      <c r="D386" s="207" t="s">
        <v>1006</v>
      </c>
      <c r="E386" s="208" t="s">
        <v>1805</v>
      </c>
      <c r="F386" s="94"/>
      <c r="G386" s="6"/>
      <c r="H386" s="7"/>
      <c r="I386" s="95">
        <f t="shared" ref="I386:I397" si="156">ROUND(H386*G386,2)</f>
        <v>0</v>
      </c>
      <c r="J386" s="95">
        <f t="shared" ref="J386:J397" si="157">ROUNDUP(I386,0)</f>
        <v>0</v>
      </c>
      <c r="K386" s="7"/>
      <c r="L386" s="9"/>
      <c r="M386" s="96">
        <f t="shared" ref="M386:M397" si="158">ROUND(L386*G386,2)</f>
        <v>0</v>
      </c>
      <c r="N386" s="96">
        <f t="shared" ref="N386:N397" si="159">ROUNDUP(M386,0)</f>
        <v>0</v>
      </c>
      <c r="O386" s="9"/>
    </row>
    <row r="387" spans="1:15" ht="15" customHeight="1" x14ac:dyDescent="0.25">
      <c r="A387" s="493" t="s">
        <v>631</v>
      </c>
      <c r="B387" s="91" t="s">
        <v>880</v>
      </c>
      <c r="C387" s="92"/>
      <c r="D387" s="207">
        <v>12</v>
      </c>
      <c r="E387" s="208" t="s">
        <v>1822</v>
      </c>
      <c r="F387" s="94"/>
      <c r="G387" s="6"/>
      <c r="H387" s="7"/>
      <c r="I387" s="95">
        <f t="shared" si="156"/>
        <v>0</v>
      </c>
      <c r="J387" s="95">
        <f t="shared" si="157"/>
        <v>0</v>
      </c>
      <c r="K387" s="7"/>
      <c r="L387" s="9"/>
      <c r="M387" s="96">
        <f t="shared" si="158"/>
        <v>0</v>
      </c>
      <c r="N387" s="96">
        <f t="shared" si="159"/>
        <v>0</v>
      </c>
      <c r="O387" s="9"/>
    </row>
    <row r="388" spans="1:15" ht="15" customHeight="1" x14ac:dyDescent="0.25">
      <c r="A388" s="493" t="s">
        <v>631</v>
      </c>
      <c r="B388" s="91" t="s">
        <v>880</v>
      </c>
      <c r="C388" s="92"/>
      <c r="D388" s="204"/>
      <c r="E388" s="208" t="s">
        <v>875</v>
      </c>
      <c r="F388" s="94"/>
      <c r="G388" s="6"/>
      <c r="H388" s="7"/>
      <c r="I388" s="95">
        <f t="shared" si="156"/>
        <v>0</v>
      </c>
      <c r="J388" s="95">
        <f t="shared" si="157"/>
        <v>0</v>
      </c>
      <c r="K388" s="7"/>
      <c r="L388" s="9"/>
      <c r="M388" s="96">
        <f t="shared" si="158"/>
        <v>0</v>
      </c>
      <c r="N388" s="96">
        <f t="shared" si="159"/>
        <v>0</v>
      </c>
      <c r="O388" s="9"/>
    </row>
    <row r="389" spans="1:15" ht="15" customHeight="1" x14ac:dyDescent="0.25">
      <c r="A389" s="493" t="s">
        <v>631</v>
      </c>
      <c r="B389" s="91" t="s">
        <v>880</v>
      </c>
      <c r="C389" s="92"/>
      <c r="D389" s="204"/>
      <c r="E389" s="208" t="s">
        <v>881</v>
      </c>
      <c r="F389" s="94"/>
      <c r="G389" s="6"/>
      <c r="H389" s="7"/>
      <c r="I389" s="95">
        <f t="shared" si="156"/>
        <v>0</v>
      </c>
      <c r="J389" s="95">
        <f t="shared" si="157"/>
        <v>0</v>
      </c>
      <c r="K389" s="7"/>
      <c r="L389" s="9"/>
      <c r="M389" s="96">
        <f t="shared" si="158"/>
        <v>0</v>
      </c>
      <c r="N389" s="96">
        <f t="shared" si="159"/>
        <v>0</v>
      </c>
      <c r="O389" s="9"/>
    </row>
    <row r="390" spans="1:15" ht="105" customHeight="1" x14ac:dyDescent="0.25">
      <c r="A390" s="493" t="s">
        <v>631</v>
      </c>
      <c r="B390" s="91" t="s">
        <v>880</v>
      </c>
      <c r="C390" s="92"/>
      <c r="D390" s="204"/>
      <c r="E390" s="93" t="s">
        <v>882</v>
      </c>
      <c r="F390" s="94"/>
      <c r="G390" s="6"/>
      <c r="H390" s="7"/>
      <c r="I390" s="95">
        <f t="shared" si="156"/>
        <v>0</v>
      </c>
      <c r="J390" s="95">
        <f t="shared" si="157"/>
        <v>0</v>
      </c>
      <c r="K390" s="7"/>
      <c r="L390" s="9"/>
      <c r="M390" s="96">
        <f t="shared" si="158"/>
        <v>0</v>
      </c>
      <c r="N390" s="96">
        <f t="shared" si="159"/>
        <v>0</v>
      </c>
      <c r="O390" s="9"/>
    </row>
    <row r="391" spans="1:15" ht="60" customHeight="1" x14ac:dyDescent="0.25">
      <c r="A391" s="493" t="s">
        <v>631</v>
      </c>
      <c r="B391" s="91" t="s">
        <v>880</v>
      </c>
      <c r="C391" s="92"/>
      <c r="D391" s="204"/>
      <c r="E391" s="93" t="s">
        <v>883</v>
      </c>
      <c r="F391" s="94"/>
      <c r="G391" s="6"/>
      <c r="H391" s="7"/>
      <c r="I391" s="95">
        <f t="shared" si="156"/>
        <v>0</v>
      </c>
      <c r="J391" s="95">
        <f t="shared" si="157"/>
        <v>0</v>
      </c>
      <c r="K391" s="7"/>
      <c r="L391" s="9"/>
      <c r="M391" s="96">
        <f t="shared" si="158"/>
        <v>0</v>
      </c>
      <c r="N391" s="96">
        <f t="shared" si="159"/>
        <v>0</v>
      </c>
      <c r="O391" s="9"/>
    </row>
    <row r="392" spans="1:15" ht="30" customHeight="1" x14ac:dyDescent="0.25">
      <c r="A392" s="493" t="s">
        <v>631</v>
      </c>
      <c r="B392" s="91" t="s">
        <v>880</v>
      </c>
      <c r="C392" s="92"/>
      <c r="D392" s="204"/>
      <c r="E392" s="93" t="s">
        <v>884</v>
      </c>
      <c r="F392" s="94"/>
      <c r="G392" s="6"/>
      <c r="H392" s="7"/>
      <c r="I392" s="95">
        <f t="shared" si="156"/>
        <v>0</v>
      </c>
      <c r="J392" s="95">
        <f t="shared" si="157"/>
        <v>0</v>
      </c>
      <c r="K392" s="7"/>
      <c r="L392" s="9"/>
      <c r="M392" s="96">
        <f t="shared" si="158"/>
        <v>0</v>
      </c>
      <c r="N392" s="96">
        <f t="shared" si="159"/>
        <v>0</v>
      </c>
      <c r="O392" s="9"/>
    </row>
    <row r="393" spans="1:15" ht="75" customHeight="1" x14ac:dyDescent="0.25">
      <c r="A393" s="493" t="s">
        <v>631</v>
      </c>
      <c r="B393" s="91" t="s">
        <v>880</v>
      </c>
      <c r="C393" s="92"/>
      <c r="D393" s="204"/>
      <c r="E393" s="93" t="s">
        <v>885</v>
      </c>
      <c r="F393" s="94"/>
      <c r="G393" s="6"/>
      <c r="H393" s="7"/>
      <c r="I393" s="95">
        <f t="shared" si="156"/>
        <v>0</v>
      </c>
      <c r="J393" s="95">
        <f t="shared" si="157"/>
        <v>0</v>
      </c>
      <c r="K393" s="7"/>
      <c r="L393" s="9"/>
      <c r="M393" s="96">
        <f t="shared" si="158"/>
        <v>0</v>
      </c>
      <c r="N393" s="96">
        <f t="shared" si="159"/>
        <v>0</v>
      </c>
      <c r="O393" s="9"/>
    </row>
    <row r="394" spans="1:15" ht="60" customHeight="1" x14ac:dyDescent="0.25">
      <c r="A394" s="493" t="s">
        <v>631</v>
      </c>
      <c r="B394" s="91" t="s">
        <v>880</v>
      </c>
      <c r="C394" s="92"/>
      <c r="D394" s="204"/>
      <c r="E394" s="93" t="s">
        <v>886</v>
      </c>
      <c r="F394" s="94"/>
      <c r="G394" s="6"/>
      <c r="H394" s="7"/>
      <c r="I394" s="95">
        <f t="shared" si="156"/>
        <v>0</v>
      </c>
      <c r="J394" s="95">
        <f t="shared" si="157"/>
        <v>0</v>
      </c>
      <c r="K394" s="7"/>
      <c r="L394" s="9"/>
      <c r="M394" s="96">
        <f t="shared" si="158"/>
        <v>0</v>
      </c>
      <c r="N394" s="96">
        <f t="shared" si="159"/>
        <v>0</v>
      </c>
      <c r="O394" s="9"/>
    </row>
    <row r="395" spans="1:15" ht="15" customHeight="1" x14ac:dyDescent="0.25">
      <c r="A395" s="493" t="s">
        <v>631</v>
      </c>
      <c r="B395" s="91" t="s">
        <v>880</v>
      </c>
      <c r="C395" s="92"/>
      <c r="D395" s="204"/>
      <c r="E395" s="93" t="s">
        <v>887</v>
      </c>
      <c r="F395" s="94"/>
      <c r="G395" s="6"/>
      <c r="H395" s="7"/>
      <c r="I395" s="95">
        <f t="shared" si="156"/>
        <v>0</v>
      </c>
      <c r="J395" s="95">
        <f t="shared" si="157"/>
        <v>0</v>
      </c>
      <c r="K395" s="7"/>
      <c r="L395" s="9"/>
      <c r="M395" s="96">
        <f t="shared" si="158"/>
        <v>0</v>
      </c>
      <c r="N395" s="96">
        <f t="shared" si="159"/>
        <v>0</v>
      </c>
      <c r="O395" s="9"/>
    </row>
    <row r="396" spans="1:15" ht="75" customHeight="1" x14ac:dyDescent="0.25">
      <c r="A396" s="493" t="s">
        <v>631</v>
      </c>
      <c r="B396" s="91" t="s">
        <v>880</v>
      </c>
      <c r="C396" s="92"/>
      <c r="D396" s="204"/>
      <c r="E396" s="93" t="s">
        <v>888</v>
      </c>
      <c r="F396" s="94"/>
      <c r="G396" s="6"/>
      <c r="H396" s="7"/>
      <c r="I396" s="95">
        <f t="shared" si="156"/>
        <v>0</v>
      </c>
      <c r="J396" s="95">
        <f t="shared" si="157"/>
        <v>0</v>
      </c>
      <c r="K396" s="7"/>
      <c r="L396" s="9"/>
      <c r="M396" s="96">
        <f t="shared" si="158"/>
        <v>0</v>
      </c>
      <c r="N396" s="96">
        <f t="shared" si="159"/>
        <v>0</v>
      </c>
      <c r="O396" s="9"/>
    </row>
    <row r="397" spans="1:15" ht="90" customHeight="1" x14ac:dyDescent="0.25">
      <c r="A397" s="493" t="s">
        <v>631</v>
      </c>
      <c r="B397" s="91" t="s">
        <v>880</v>
      </c>
      <c r="C397" s="92"/>
      <c r="D397" s="204"/>
      <c r="E397" s="93" t="s">
        <v>889</v>
      </c>
      <c r="F397" s="94"/>
      <c r="G397" s="6"/>
      <c r="H397" s="7"/>
      <c r="I397" s="95">
        <f t="shared" si="156"/>
        <v>0</v>
      </c>
      <c r="J397" s="95">
        <f t="shared" si="157"/>
        <v>0</v>
      </c>
      <c r="K397" s="7"/>
      <c r="L397" s="9"/>
      <c r="M397" s="96">
        <f t="shared" si="158"/>
        <v>0</v>
      </c>
      <c r="N397" s="96">
        <f t="shared" si="159"/>
        <v>0</v>
      </c>
      <c r="O397" s="9"/>
    </row>
    <row r="398" spans="1:15" ht="15" customHeight="1" x14ac:dyDescent="0.25">
      <c r="A398" s="493" t="s">
        <v>1022</v>
      </c>
      <c r="B398" s="205" t="str">
        <f>+B397</f>
        <v>Sec1/41</v>
      </c>
      <c r="C398" s="97"/>
      <c r="D398" s="205"/>
      <c r="E398" s="98" t="s">
        <v>640</v>
      </c>
      <c r="F398" s="97"/>
      <c r="G398" s="11"/>
      <c r="H398" s="11"/>
      <c r="I398" s="11"/>
      <c r="J398" s="99">
        <f>SUBTOTAL(9,J386:J397)</f>
        <v>0</v>
      </c>
      <c r="K398" s="11"/>
      <c r="L398" s="11"/>
      <c r="M398" s="11"/>
      <c r="N398" s="99">
        <f>SUBTOTAL(9,N386:N397)</f>
        <v>0</v>
      </c>
      <c r="O398" s="11"/>
    </row>
    <row r="399" spans="1:15" ht="15" customHeight="1" x14ac:dyDescent="0.25">
      <c r="A399" s="493" t="s">
        <v>631</v>
      </c>
      <c r="B399" s="91" t="s">
        <v>890</v>
      </c>
      <c r="C399" s="92"/>
      <c r="D399" s="207" t="s">
        <v>1006</v>
      </c>
      <c r="E399" s="208" t="s">
        <v>1805</v>
      </c>
      <c r="F399" s="94"/>
      <c r="G399" s="6"/>
      <c r="H399" s="7"/>
      <c r="I399" s="95">
        <f t="shared" ref="I399:I412" si="160">ROUND(H399*G399,2)</f>
        <v>0</v>
      </c>
      <c r="J399" s="95">
        <f t="shared" ref="J399:J412" si="161">ROUNDUP(I399,0)</f>
        <v>0</v>
      </c>
      <c r="K399" s="7"/>
      <c r="L399" s="9"/>
      <c r="M399" s="96">
        <f t="shared" ref="M399:M412" si="162">ROUND(L399*G399,2)</f>
        <v>0</v>
      </c>
      <c r="N399" s="96">
        <f t="shared" ref="N399:N412" si="163">ROUNDUP(M399,0)</f>
        <v>0</v>
      </c>
      <c r="O399" s="9"/>
    </row>
    <row r="400" spans="1:15" ht="15" customHeight="1" x14ac:dyDescent="0.25">
      <c r="A400" s="493" t="s">
        <v>631</v>
      </c>
      <c r="B400" s="91" t="s">
        <v>890</v>
      </c>
      <c r="C400" s="92"/>
      <c r="D400" s="207">
        <v>12</v>
      </c>
      <c r="E400" s="208" t="s">
        <v>1822</v>
      </c>
      <c r="F400" s="94"/>
      <c r="G400" s="6"/>
      <c r="H400" s="7"/>
      <c r="I400" s="95">
        <f t="shared" si="160"/>
        <v>0</v>
      </c>
      <c r="J400" s="95">
        <f t="shared" si="161"/>
        <v>0</v>
      </c>
      <c r="K400" s="7"/>
      <c r="L400" s="9"/>
      <c r="M400" s="96">
        <f t="shared" si="162"/>
        <v>0</v>
      </c>
      <c r="N400" s="96">
        <f t="shared" si="163"/>
        <v>0</v>
      </c>
      <c r="O400" s="9"/>
    </row>
    <row r="401" spans="1:15" ht="15" customHeight="1" x14ac:dyDescent="0.25">
      <c r="A401" s="493" t="s">
        <v>631</v>
      </c>
      <c r="B401" s="91" t="s">
        <v>890</v>
      </c>
      <c r="C401" s="92"/>
      <c r="D401" s="207"/>
      <c r="E401" s="208" t="s">
        <v>875</v>
      </c>
      <c r="F401" s="94"/>
      <c r="G401" s="6"/>
      <c r="H401" s="7"/>
      <c r="I401" s="95">
        <f t="shared" si="160"/>
        <v>0</v>
      </c>
      <c r="J401" s="95">
        <f t="shared" si="161"/>
        <v>0</v>
      </c>
      <c r="K401" s="7"/>
      <c r="L401" s="9"/>
      <c r="M401" s="96">
        <f t="shared" si="162"/>
        <v>0</v>
      </c>
      <c r="N401" s="96">
        <f t="shared" si="163"/>
        <v>0</v>
      </c>
      <c r="O401" s="9"/>
    </row>
    <row r="402" spans="1:15" ht="15" customHeight="1" x14ac:dyDescent="0.25">
      <c r="A402" s="493" t="s">
        <v>631</v>
      </c>
      <c r="B402" s="91" t="s">
        <v>890</v>
      </c>
      <c r="C402" s="92"/>
      <c r="D402" s="207"/>
      <c r="E402" s="208" t="s">
        <v>881</v>
      </c>
      <c r="F402" s="94"/>
      <c r="G402" s="6"/>
      <c r="H402" s="7"/>
      <c r="I402" s="95">
        <f t="shared" si="160"/>
        <v>0</v>
      </c>
      <c r="J402" s="95">
        <f t="shared" si="161"/>
        <v>0</v>
      </c>
      <c r="K402" s="7"/>
      <c r="L402" s="9"/>
      <c r="M402" s="96">
        <f t="shared" si="162"/>
        <v>0</v>
      </c>
      <c r="N402" s="96">
        <f t="shared" si="163"/>
        <v>0</v>
      </c>
      <c r="O402" s="9"/>
    </row>
    <row r="403" spans="1:15" ht="75" customHeight="1" x14ac:dyDescent="0.25">
      <c r="A403" s="493" t="s">
        <v>631</v>
      </c>
      <c r="B403" s="91" t="s">
        <v>890</v>
      </c>
      <c r="C403" s="92"/>
      <c r="D403" s="204"/>
      <c r="E403" s="93" t="s">
        <v>891</v>
      </c>
      <c r="F403" s="94"/>
      <c r="G403" s="6"/>
      <c r="H403" s="7"/>
      <c r="I403" s="95">
        <f t="shared" si="160"/>
        <v>0</v>
      </c>
      <c r="J403" s="95">
        <f t="shared" si="161"/>
        <v>0</v>
      </c>
      <c r="K403" s="7"/>
      <c r="L403" s="9"/>
      <c r="M403" s="96">
        <f t="shared" si="162"/>
        <v>0</v>
      </c>
      <c r="N403" s="96">
        <f t="shared" si="163"/>
        <v>0</v>
      </c>
      <c r="O403" s="9"/>
    </row>
    <row r="404" spans="1:15" ht="60" customHeight="1" x14ac:dyDescent="0.25">
      <c r="A404" s="493" t="s">
        <v>631</v>
      </c>
      <c r="B404" s="91" t="s">
        <v>890</v>
      </c>
      <c r="C404" s="92"/>
      <c r="D404" s="204"/>
      <c r="E404" s="93" t="s">
        <v>892</v>
      </c>
      <c r="F404" s="94"/>
      <c r="G404" s="6"/>
      <c r="H404" s="7"/>
      <c r="I404" s="95">
        <f t="shared" si="160"/>
        <v>0</v>
      </c>
      <c r="J404" s="95">
        <f t="shared" si="161"/>
        <v>0</v>
      </c>
      <c r="K404" s="7"/>
      <c r="L404" s="9"/>
      <c r="M404" s="96">
        <f t="shared" si="162"/>
        <v>0</v>
      </c>
      <c r="N404" s="96">
        <f t="shared" si="163"/>
        <v>0</v>
      </c>
      <c r="O404" s="9"/>
    </row>
    <row r="405" spans="1:15" ht="15" customHeight="1" x14ac:dyDescent="0.25">
      <c r="A405" s="493" t="s">
        <v>631</v>
      </c>
      <c r="B405" s="91" t="s">
        <v>890</v>
      </c>
      <c r="C405" s="92"/>
      <c r="D405" s="204"/>
      <c r="E405" s="93" t="s">
        <v>893</v>
      </c>
      <c r="F405" s="94"/>
      <c r="G405" s="6"/>
      <c r="H405" s="7"/>
      <c r="I405" s="95">
        <f t="shared" si="160"/>
        <v>0</v>
      </c>
      <c r="J405" s="95">
        <f t="shared" si="161"/>
        <v>0</v>
      </c>
      <c r="K405" s="7"/>
      <c r="L405" s="9"/>
      <c r="M405" s="96">
        <f t="shared" si="162"/>
        <v>0</v>
      </c>
      <c r="N405" s="96">
        <f t="shared" si="163"/>
        <v>0</v>
      </c>
      <c r="O405" s="9"/>
    </row>
    <row r="406" spans="1:15" ht="30" customHeight="1" x14ac:dyDescent="0.25">
      <c r="A406" s="493" t="s">
        <v>631</v>
      </c>
      <c r="B406" s="91" t="s">
        <v>890</v>
      </c>
      <c r="C406" s="92"/>
      <c r="D406" s="204"/>
      <c r="E406" s="93" t="s">
        <v>894</v>
      </c>
      <c r="F406" s="94"/>
      <c r="G406" s="6"/>
      <c r="H406" s="7"/>
      <c r="I406" s="95">
        <f t="shared" si="160"/>
        <v>0</v>
      </c>
      <c r="J406" s="95">
        <f t="shared" si="161"/>
        <v>0</v>
      </c>
      <c r="K406" s="7"/>
      <c r="L406" s="9"/>
      <c r="M406" s="96">
        <f t="shared" si="162"/>
        <v>0</v>
      </c>
      <c r="N406" s="96">
        <f t="shared" si="163"/>
        <v>0</v>
      </c>
      <c r="O406" s="9"/>
    </row>
    <row r="407" spans="1:15" ht="15" customHeight="1" x14ac:dyDescent="0.25">
      <c r="A407" s="493" t="s">
        <v>631</v>
      </c>
      <c r="B407" s="91" t="s">
        <v>890</v>
      </c>
      <c r="C407" s="92"/>
      <c r="D407" s="207">
        <v>13</v>
      </c>
      <c r="E407" s="208" t="s">
        <v>1823</v>
      </c>
      <c r="F407" s="94"/>
      <c r="G407" s="6"/>
      <c r="H407" s="7"/>
      <c r="I407" s="95">
        <f t="shared" si="160"/>
        <v>0</v>
      </c>
      <c r="J407" s="95">
        <f t="shared" si="161"/>
        <v>0</v>
      </c>
      <c r="K407" s="7"/>
      <c r="L407" s="9"/>
      <c r="M407" s="96">
        <f t="shared" si="162"/>
        <v>0</v>
      </c>
      <c r="N407" s="96">
        <f t="shared" si="163"/>
        <v>0</v>
      </c>
      <c r="O407" s="9"/>
    </row>
    <row r="408" spans="1:15" ht="15" customHeight="1" x14ac:dyDescent="0.25">
      <c r="A408" s="493" t="s">
        <v>631</v>
      </c>
      <c r="B408" s="91" t="s">
        <v>890</v>
      </c>
      <c r="C408" s="92"/>
      <c r="D408" s="207"/>
      <c r="E408" s="208" t="s">
        <v>895</v>
      </c>
      <c r="F408" s="94"/>
      <c r="G408" s="6"/>
      <c r="H408" s="7"/>
      <c r="I408" s="95">
        <f t="shared" si="160"/>
        <v>0</v>
      </c>
      <c r="J408" s="95">
        <f t="shared" si="161"/>
        <v>0</v>
      </c>
      <c r="K408" s="7"/>
      <c r="L408" s="9"/>
      <c r="M408" s="96">
        <f t="shared" si="162"/>
        <v>0</v>
      </c>
      <c r="N408" s="96">
        <f t="shared" si="163"/>
        <v>0</v>
      </c>
      <c r="O408" s="9"/>
    </row>
    <row r="409" spans="1:15" ht="30" customHeight="1" x14ac:dyDescent="0.25">
      <c r="A409" s="493" t="s">
        <v>631</v>
      </c>
      <c r="B409" s="91" t="s">
        <v>890</v>
      </c>
      <c r="C409" s="92"/>
      <c r="D409" s="204"/>
      <c r="E409" s="93" t="s">
        <v>896</v>
      </c>
      <c r="F409" s="94"/>
      <c r="G409" s="6"/>
      <c r="H409" s="7"/>
      <c r="I409" s="95">
        <f t="shared" si="160"/>
        <v>0</v>
      </c>
      <c r="J409" s="95">
        <f t="shared" si="161"/>
        <v>0</v>
      </c>
      <c r="K409" s="7"/>
      <c r="L409" s="9"/>
      <c r="M409" s="96">
        <f t="shared" si="162"/>
        <v>0</v>
      </c>
      <c r="N409" s="96">
        <f t="shared" si="163"/>
        <v>0</v>
      </c>
      <c r="O409" s="9"/>
    </row>
    <row r="410" spans="1:15" ht="75" customHeight="1" x14ac:dyDescent="0.25">
      <c r="A410" s="493" t="s">
        <v>631</v>
      </c>
      <c r="B410" s="91" t="s">
        <v>890</v>
      </c>
      <c r="C410" s="92"/>
      <c r="D410" s="204"/>
      <c r="E410" s="93" t="s">
        <v>897</v>
      </c>
      <c r="F410" s="94"/>
      <c r="G410" s="6"/>
      <c r="H410" s="7"/>
      <c r="I410" s="95">
        <f t="shared" si="160"/>
        <v>0</v>
      </c>
      <c r="J410" s="95">
        <f t="shared" si="161"/>
        <v>0</v>
      </c>
      <c r="K410" s="7"/>
      <c r="L410" s="9"/>
      <c r="M410" s="96">
        <f t="shared" si="162"/>
        <v>0</v>
      </c>
      <c r="N410" s="96">
        <f t="shared" si="163"/>
        <v>0</v>
      </c>
      <c r="O410" s="9"/>
    </row>
    <row r="411" spans="1:15" ht="30" customHeight="1" x14ac:dyDescent="0.25">
      <c r="A411" s="493" t="s">
        <v>631</v>
      </c>
      <c r="B411" s="91" t="s">
        <v>890</v>
      </c>
      <c r="C411" s="92"/>
      <c r="D411" s="204"/>
      <c r="E411" s="93" t="s">
        <v>898</v>
      </c>
      <c r="F411" s="94"/>
      <c r="G411" s="6"/>
      <c r="H411" s="7"/>
      <c r="I411" s="95">
        <f t="shared" si="160"/>
        <v>0</v>
      </c>
      <c r="J411" s="95">
        <f t="shared" si="161"/>
        <v>0</v>
      </c>
      <c r="K411" s="7"/>
      <c r="L411" s="9"/>
      <c r="M411" s="96">
        <f t="shared" si="162"/>
        <v>0</v>
      </c>
      <c r="N411" s="96">
        <f t="shared" si="163"/>
        <v>0</v>
      </c>
      <c r="O411" s="9"/>
    </row>
    <row r="412" spans="1:15" ht="75" customHeight="1" x14ac:dyDescent="0.25">
      <c r="A412" s="493" t="s">
        <v>631</v>
      </c>
      <c r="B412" s="91" t="s">
        <v>890</v>
      </c>
      <c r="C412" s="92"/>
      <c r="D412" s="204"/>
      <c r="E412" s="93" t="s">
        <v>899</v>
      </c>
      <c r="F412" s="94"/>
      <c r="G412" s="6"/>
      <c r="H412" s="7"/>
      <c r="I412" s="95">
        <f t="shared" si="160"/>
        <v>0</v>
      </c>
      <c r="J412" s="95">
        <f t="shared" si="161"/>
        <v>0</v>
      </c>
      <c r="K412" s="7"/>
      <c r="L412" s="9"/>
      <c r="M412" s="96">
        <f t="shared" si="162"/>
        <v>0</v>
      </c>
      <c r="N412" s="96">
        <f t="shared" si="163"/>
        <v>0</v>
      </c>
      <c r="O412" s="9"/>
    </row>
    <row r="413" spans="1:15" ht="15" customHeight="1" x14ac:dyDescent="0.25">
      <c r="A413" s="493" t="s">
        <v>1022</v>
      </c>
      <c r="B413" s="205" t="str">
        <f>+B412</f>
        <v>Sec1/42</v>
      </c>
      <c r="C413" s="97"/>
      <c r="D413" s="205"/>
      <c r="E413" s="98" t="s">
        <v>640</v>
      </c>
      <c r="F413" s="97"/>
      <c r="G413" s="11"/>
      <c r="H413" s="11"/>
      <c r="I413" s="11"/>
      <c r="J413" s="99">
        <f>SUBTOTAL(9,J399:J412)</f>
        <v>0</v>
      </c>
      <c r="K413" s="11"/>
      <c r="L413" s="11"/>
      <c r="M413" s="11"/>
      <c r="N413" s="99">
        <f>SUBTOTAL(9,N399:N412)</f>
        <v>0</v>
      </c>
      <c r="O413" s="11"/>
    </row>
    <row r="414" spans="1:15" ht="15" customHeight="1" x14ac:dyDescent="0.25">
      <c r="A414" s="493" t="s">
        <v>631</v>
      </c>
      <c r="B414" s="91" t="s">
        <v>900</v>
      </c>
      <c r="C414" s="92"/>
      <c r="D414" s="207" t="s">
        <v>1006</v>
      </c>
      <c r="E414" s="208" t="s">
        <v>1805</v>
      </c>
      <c r="F414" s="94"/>
      <c r="G414" s="6"/>
      <c r="H414" s="7"/>
      <c r="I414" s="95">
        <f t="shared" ref="I414:I422" si="164">ROUND(H414*G414,2)</f>
        <v>0</v>
      </c>
      <c r="J414" s="95">
        <f t="shared" ref="J414:J422" si="165">ROUNDUP(I414,0)</f>
        <v>0</v>
      </c>
      <c r="K414" s="7"/>
      <c r="L414" s="9"/>
      <c r="M414" s="96">
        <f t="shared" ref="M414:M422" si="166">ROUND(L414*G414,2)</f>
        <v>0</v>
      </c>
      <c r="N414" s="96">
        <f t="shared" ref="N414:N422" si="167">ROUNDUP(M414,0)</f>
        <v>0</v>
      </c>
      <c r="O414" s="9"/>
    </row>
    <row r="415" spans="1:15" ht="15" customHeight="1" x14ac:dyDescent="0.25">
      <c r="A415" s="493" t="s">
        <v>631</v>
      </c>
      <c r="B415" s="91" t="s">
        <v>900</v>
      </c>
      <c r="C415" s="92"/>
      <c r="D415" s="207">
        <v>14</v>
      </c>
      <c r="E415" s="208" t="s">
        <v>1824</v>
      </c>
      <c r="F415" s="94"/>
      <c r="G415" s="6"/>
      <c r="H415" s="7"/>
      <c r="I415" s="95">
        <f t="shared" si="164"/>
        <v>0</v>
      </c>
      <c r="J415" s="95">
        <f t="shared" si="165"/>
        <v>0</v>
      </c>
      <c r="K415" s="7"/>
      <c r="L415" s="9"/>
      <c r="M415" s="96">
        <f t="shared" si="166"/>
        <v>0</v>
      </c>
      <c r="N415" s="96">
        <f t="shared" si="167"/>
        <v>0</v>
      </c>
      <c r="O415" s="9"/>
    </row>
    <row r="416" spans="1:15" ht="75" customHeight="1" x14ac:dyDescent="0.25">
      <c r="A416" s="493" t="s">
        <v>631</v>
      </c>
      <c r="B416" s="91" t="s">
        <v>900</v>
      </c>
      <c r="C416" s="92"/>
      <c r="D416" s="204"/>
      <c r="E416" s="93" t="s">
        <v>901</v>
      </c>
      <c r="F416" s="94"/>
      <c r="G416" s="6"/>
      <c r="H416" s="7"/>
      <c r="I416" s="95">
        <f t="shared" si="164"/>
        <v>0</v>
      </c>
      <c r="J416" s="95">
        <f t="shared" si="165"/>
        <v>0</v>
      </c>
      <c r="K416" s="7"/>
      <c r="L416" s="9"/>
      <c r="M416" s="96">
        <f t="shared" si="166"/>
        <v>0</v>
      </c>
      <c r="N416" s="96">
        <f t="shared" si="167"/>
        <v>0</v>
      </c>
      <c r="O416" s="9"/>
    </row>
    <row r="417" spans="1:15" ht="60" customHeight="1" x14ac:dyDescent="0.25">
      <c r="A417" s="493" t="s">
        <v>631</v>
      </c>
      <c r="B417" s="91" t="s">
        <v>900</v>
      </c>
      <c r="C417" s="92"/>
      <c r="D417" s="204"/>
      <c r="E417" s="93" t="s">
        <v>902</v>
      </c>
      <c r="F417" s="94"/>
      <c r="G417" s="6"/>
      <c r="H417" s="7"/>
      <c r="I417" s="95">
        <f t="shared" si="164"/>
        <v>0</v>
      </c>
      <c r="J417" s="95">
        <f t="shared" si="165"/>
        <v>0</v>
      </c>
      <c r="K417" s="7"/>
      <c r="L417" s="9"/>
      <c r="M417" s="96">
        <f t="shared" si="166"/>
        <v>0</v>
      </c>
      <c r="N417" s="96">
        <f t="shared" si="167"/>
        <v>0</v>
      </c>
      <c r="O417" s="9"/>
    </row>
    <row r="418" spans="1:15" ht="90" customHeight="1" x14ac:dyDescent="0.25">
      <c r="A418" s="493" t="s">
        <v>631</v>
      </c>
      <c r="B418" s="91" t="s">
        <v>900</v>
      </c>
      <c r="C418" s="92"/>
      <c r="D418" s="204"/>
      <c r="E418" s="93" t="s">
        <v>903</v>
      </c>
      <c r="F418" s="94"/>
      <c r="G418" s="6"/>
      <c r="H418" s="7"/>
      <c r="I418" s="95">
        <f t="shared" si="164"/>
        <v>0</v>
      </c>
      <c r="J418" s="95">
        <f t="shared" si="165"/>
        <v>0</v>
      </c>
      <c r="K418" s="7"/>
      <c r="L418" s="9"/>
      <c r="M418" s="96">
        <f t="shared" si="166"/>
        <v>0</v>
      </c>
      <c r="N418" s="96">
        <f t="shared" si="167"/>
        <v>0</v>
      </c>
      <c r="O418" s="9"/>
    </row>
    <row r="419" spans="1:15" ht="30" customHeight="1" x14ac:dyDescent="0.25">
      <c r="A419" s="493" t="s">
        <v>631</v>
      </c>
      <c r="B419" s="91" t="s">
        <v>900</v>
      </c>
      <c r="C419" s="92"/>
      <c r="D419" s="204"/>
      <c r="E419" s="93" t="s">
        <v>904</v>
      </c>
      <c r="F419" s="94"/>
      <c r="G419" s="6"/>
      <c r="H419" s="7"/>
      <c r="I419" s="95">
        <f t="shared" si="164"/>
        <v>0</v>
      </c>
      <c r="J419" s="95">
        <f t="shared" si="165"/>
        <v>0</v>
      </c>
      <c r="K419" s="7"/>
      <c r="L419" s="9"/>
      <c r="M419" s="96">
        <f t="shared" si="166"/>
        <v>0</v>
      </c>
      <c r="N419" s="96">
        <f t="shared" si="167"/>
        <v>0</v>
      </c>
      <c r="O419" s="9"/>
    </row>
    <row r="420" spans="1:15" ht="195" customHeight="1" x14ac:dyDescent="0.25">
      <c r="A420" s="493" t="s">
        <v>631</v>
      </c>
      <c r="B420" s="91" t="s">
        <v>900</v>
      </c>
      <c r="C420" s="92"/>
      <c r="D420" s="204"/>
      <c r="E420" s="93" t="s">
        <v>905</v>
      </c>
      <c r="F420" s="94"/>
      <c r="G420" s="6"/>
      <c r="H420" s="7"/>
      <c r="I420" s="95">
        <f t="shared" si="164"/>
        <v>0</v>
      </c>
      <c r="J420" s="95">
        <f t="shared" si="165"/>
        <v>0</v>
      </c>
      <c r="K420" s="7"/>
      <c r="L420" s="9"/>
      <c r="M420" s="96">
        <f t="shared" si="166"/>
        <v>0</v>
      </c>
      <c r="N420" s="96">
        <f t="shared" si="167"/>
        <v>0</v>
      </c>
      <c r="O420" s="9"/>
    </row>
    <row r="421" spans="1:15" ht="105" customHeight="1" x14ac:dyDescent="0.25">
      <c r="A421" s="493" t="s">
        <v>631</v>
      </c>
      <c r="B421" s="91" t="s">
        <v>900</v>
      </c>
      <c r="C421" s="92"/>
      <c r="D421" s="204"/>
      <c r="E421" s="93" t="s">
        <v>906</v>
      </c>
      <c r="F421" s="94"/>
      <c r="G421" s="6"/>
      <c r="H421" s="7"/>
      <c r="I421" s="95">
        <f t="shared" si="164"/>
        <v>0</v>
      </c>
      <c r="J421" s="95">
        <f t="shared" si="165"/>
        <v>0</v>
      </c>
      <c r="K421" s="7"/>
      <c r="L421" s="9"/>
      <c r="M421" s="96">
        <f t="shared" si="166"/>
        <v>0</v>
      </c>
      <c r="N421" s="96">
        <f t="shared" si="167"/>
        <v>0</v>
      </c>
      <c r="O421" s="9"/>
    </row>
    <row r="422" spans="1:15" ht="60" customHeight="1" x14ac:dyDescent="0.25">
      <c r="A422" s="493" t="s">
        <v>631</v>
      </c>
      <c r="B422" s="91" t="s">
        <v>900</v>
      </c>
      <c r="C422" s="92"/>
      <c r="D422" s="204"/>
      <c r="E422" s="93" t="s">
        <v>907</v>
      </c>
      <c r="F422" s="94"/>
      <c r="G422" s="6"/>
      <c r="H422" s="7"/>
      <c r="I422" s="95">
        <f t="shared" si="164"/>
        <v>0</v>
      </c>
      <c r="J422" s="95">
        <f t="shared" si="165"/>
        <v>0</v>
      </c>
      <c r="K422" s="7"/>
      <c r="L422" s="9"/>
      <c r="M422" s="96">
        <f t="shared" si="166"/>
        <v>0</v>
      </c>
      <c r="N422" s="96">
        <f t="shared" si="167"/>
        <v>0</v>
      </c>
      <c r="O422" s="9"/>
    </row>
    <row r="423" spans="1:15" ht="15" customHeight="1" x14ac:dyDescent="0.25">
      <c r="A423" s="493" t="s">
        <v>1022</v>
      </c>
      <c r="B423" s="205" t="str">
        <f>+B422</f>
        <v>Sec1/43</v>
      </c>
      <c r="C423" s="97"/>
      <c r="D423" s="205"/>
      <c r="E423" s="98" t="s">
        <v>640</v>
      </c>
      <c r="F423" s="97"/>
      <c r="G423" s="11"/>
      <c r="H423" s="11"/>
      <c r="I423" s="11"/>
      <c r="J423" s="99">
        <f>SUBTOTAL(9,J414:J422)</f>
        <v>0</v>
      </c>
      <c r="K423" s="11"/>
      <c r="L423" s="11"/>
      <c r="M423" s="11"/>
      <c r="N423" s="99">
        <f>SUBTOTAL(9,N414:N422)</f>
        <v>0</v>
      </c>
      <c r="O423" s="11"/>
    </row>
    <row r="424" spans="1:15" ht="15" customHeight="1" x14ac:dyDescent="0.25">
      <c r="A424" s="493" t="s">
        <v>631</v>
      </c>
      <c r="B424" s="91" t="s">
        <v>908</v>
      </c>
      <c r="C424" s="92"/>
      <c r="D424" s="207" t="s">
        <v>1006</v>
      </c>
      <c r="E424" s="208" t="s">
        <v>1805</v>
      </c>
      <c r="F424" s="94"/>
      <c r="G424" s="6"/>
      <c r="H424" s="7"/>
      <c r="I424" s="95">
        <f t="shared" ref="I424:I430" si="168">ROUND(H424*G424,2)</f>
        <v>0</v>
      </c>
      <c r="J424" s="95">
        <f t="shared" ref="J424:J430" si="169">ROUNDUP(I424,0)</f>
        <v>0</v>
      </c>
      <c r="K424" s="7"/>
      <c r="L424" s="9"/>
      <c r="M424" s="96">
        <f t="shared" ref="M424:M430" si="170">ROUND(L424*G424,2)</f>
        <v>0</v>
      </c>
      <c r="N424" s="96">
        <f t="shared" ref="N424:N430" si="171">ROUNDUP(M424,0)</f>
        <v>0</v>
      </c>
      <c r="O424" s="9"/>
    </row>
    <row r="425" spans="1:15" ht="15" customHeight="1" x14ac:dyDescent="0.25">
      <c r="A425" s="493" t="s">
        <v>631</v>
      </c>
      <c r="B425" s="91" t="s">
        <v>908</v>
      </c>
      <c r="C425" s="92"/>
      <c r="D425" s="207">
        <v>14</v>
      </c>
      <c r="E425" s="208" t="s">
        <v>1825</v>
      </c>
      <c r="F425" s="94"/>
      <c r="G425" s="6"/>
      <c r="H425" s="7"/>
      <c r="I425" s="95">
        <f t="shared" si="168"/>
        <v>0</v>
      </c>
      <c r="J425" s="95">
        <f t="shared" si="169"/>
        <v>0</v>
      </c>
      <c r="K425" s="7"/>
      <c r="L425" s="9"/>
      <c r="M425" s="96">
        <f t="shared" si="170"/>
        <v>0</v>
      </c>
      <c r="N425" s="96">
        <f t="shared" si="171"/>
        <v>0</v>
      </c>
      <c r="O425" s="9"/>
    </row>
    <row r="426" spans="1:15" ht="90" customHeight="1" x14ac:dyDescent="0.25">
      <c r="A426" s="493" t="s">
        <v>631</v>
      </c>
      <c r="B426" s="91" t="s">
        <v>908</v>
      </c>
      <c r="C426" s="92"/>
      <c r="D426" s="204"/>
      <c r="E426" s="93" t="s">
        <v>909</v>
      </c>
      <c r="F426" s="94"/>
      <c r="G426" s="6"/>
      <c r="H426" s="7"/>
      <c r="I426" s="95">
        <f t="shared" si="168"/>
        <v>0</v>
      </c>
      <c r="J426" s="95">
        <f t="shared" si="169"/>
        <v>0</v>
      </c>
      <c r="K426" s="7"/>
      <c r="L426" s="9"/>
      <c r="M426" s="96">
        <f t="shared" si="170"/>
        <v>0</v>
      </c>
      <c r="N426" s="96">
        <f t="shared" si="171"/>
        <v>0</v>
      </c>
      <c r="O426" s="9"/>
    </row>
    <row r="427" spans="1:15" ht="150" customHeight="1" x14ac:dyDescent="0.25">
      <c r="A427" s="493" t="s">
        <v>631</v>
      </c>
      <c r="B427" s="91" t="s">
        <v>908</v>
      </c>
      <c r="C427" s="92"/>
      <c r="D427" s="204"/>
      <c r="E427" s="93" t="s">
        <v>910</v>
      </c>
      <c r="F427" s="94"/>
      <c r="G427" s="6"/>
      <c r="H427" s="7"/>
      <c r="I427" s="95">
        <f t="shared" si="168"/>
        <v>0</v>
      </c>
      <c r="J427" s="95">
        <f t="shared" si="169"/>
        <v>0</v>
      </c>
      <c r="K427" s="7"/>
      <c r="L427" s="9"/>
      <c r="M427" s="96">
        <f t="shared" si="170"/>
        <v>0</v>
      </c>
      <c r="N427" s="96">
        <f t="shared" si="171"/>
        <v>0</v>
      </c>
      <c r="O427" s="9"/>
    </row>
    <row r="428" spans="1:15" ht="75" customHeight="1" x14ac:dyDescent="0.25">
      <c r="A428" s="493" t="s">
        <v>631</v>
      </c>
      <c r="B428" s="91" t="s">
        <v>908</v>
      </c>
      <c r="C428" s="92"/>
      <c r="D428" s="204"/>
      <c r="E428" s="93" t="s">
        <v>911</v>
      </c>
      <c r="F428" s="94"/>
      <c r="G428" s="6"/>
      <c r="H428" s="7"/>
      <c r="I428" s="95">
        <f t="shared" si="168"/>
        <v>0</v>
      </c>
      <c r="J428" s="95">
        <f t="shared" si="169"/>
        <v>0</v>
      </c>
      <c r="K428" s="7"/>
      <c r="L428" s="9"/>
      <c r="M428" s="96">
        <f t="shared" si="170"/>
        <v>0</v>
      </c>
      <c r="N428" s="96">
        <f t="shared" si="171"/>
        <v>0</v>
      </c>
      <c r="O428" s="9"/>
    </row>
    <row r="429" spans="1:15" ht="180" customHeight="1" x14ac:dyDescent="0.25">
      <c r="A429" s="493" t="s">
        <v>631</v>
      </c>
      <c r="B429" s="91" t="s">
        <v>908</v>
      </c>
      <c r="C429" s="92"/>
      <c r="D429" s="204"/>
      <c r="E429" s="93" t="s">
        <v>912</v>
      </c>
      <c r="F429" s="94"/>
      <c r="G429" s="6"/>
      <c r="H429" s="7"/>
      <c r="I429" s="95">
        <f t="shared" si="168"/>
        <v>0</v>
      </c>
      <c r="J429" s="95">
        <f t="shared" si="169"/>
        <v>0</v>
      </c>
      <c r="K429" s="7"/>
      <c r="L429" s="9"/>
      <c r="M429" s="96">
        <f t="shared" si="170"/>
        <v>0</v>
      </c>
      <c r="N429" s="96">
        <f t="shared" si="171"/>
        <v>0</v>
      </c>
      <c r="O429" s="9"/>
    </row>
    <row r="430" spans="1:15" ht="180" customHeight="1" x14ac:dyDescent="0.25">
      <c r="A430" s="493" t="s">
        <v>631</v>
      </c>
      <c r="B430" s="91" t="s">
        <v>908</v>
      </c>
      <c r="C430" s="92"/>
      <c r="D430" s="204"/>
      <c r="E430" s="93" t="s">
        <v>913</v>
      </c>
      <c r="F430" s="94"/>
      <c r="G430" s="6"/>
      <c r="H430" s="7"/>
      <c r="I430" s="95">
        <f t="shared" si="168"/>
        <v>0</v>
      </c>
      <c r="J430" s="95">
        <f t="shared" si="169"/>
        <v>0</v>
      </c>
      <c r="K430" s="7"/>
      <c r="L430" s="9"/>
      <c r="M430" s="96">
        <f t="shared" si="170"/>
        <v>0</v>
      </c>
      <c r="N430" s="96">
        <f t="shared" si="171"/>
        <v>0</v>
      </c>
      <c r="O430" s="9"/>
    </row>
    <row r="431" spans="1:15" ht="15" customHeight="1" x14ac:dyDescent="0.25">
      <c r="A431" s="493" t="s">
        <v>1022</v>
      </c>
      <c r="B431" s="205" t="str">
        <f>+B430</f>
        <v>Sec1/44</v>
      </c>
      <c r="C431" s="97"/>
      <c r="D431" s="205"/>
      <c r="E431" s="98" t="s">
        <v>640</v>
      </c>
      <c r="F431" s="97"/>
      <c r="G431" s="11"/>
      <c r="H431" s="11"/>
      <c r="I431" s="11"/>
      <c r="J431" s="99">
        <f>SUBTOTAL(9,J424:J430)</f>
        <v>0</v>
      </c>
      <c r="K431" s="11"/>
      <c r="L431" s="11"/>
      <c r="M431" s="11"/>
      <c r="N431" s="99">
        <f>SUBTOTAL(9,N424:N430)</f>
        <v>0</v>
      </c>
      <c r="O431" s="11"/>
    </row>
    <row r="432" spans="1:15" ht="15" customHeight="1" x14ac:dyDescent="0.25">
      <c r="A432" s="493" t="s">
        <v>631</v>
      </c>
      <c r="B432" s="91" t="s">
        <v>914</v>
      </c>
      <c r="C432" s="92"/>
      <c r="D432" s="207" t="s">
        <v>1006</v>
      </c>
      <c r="E432" s="208" t="s">
        <v>1805</v>
      </c>
      <c r="F432" s="94"/>
      <c r="G432" s="6"/>
      <c r="H432" s="7"/>
      <c r="I432" s="95">
        <f t="shared" ref="I432:I444" si="172">ROUND(H432*G432,2)</f>
        <v>0</v>
      </c>
      <c r="J432" s="95">
        <f t="shared" ref="J432:J444" si="173">ROUNDUP(I432,0)</f>
        <v>0</v>
      </c>
      <c r="K432" s="7"/>
      <c r="L432" s="9"/>
      <c r="M432" s="96">
        <f t="shared" ref="M432:M444" si="174">ROUND(L432*G432,2)</f>
        <v>0</v>
      </c>
      <c r="N432" s="96">
        <f t="shared" ref="N432:N444" si="175">ROUNDUP(M432,0)</f>
        <v>0</v>
      </c>
      <c r="O432" s="9"/>
    </row>
    <row r="433" spans="1:15" ht="15" customHeight="1" x14ac:dyDescent="0.25">
      <c r="A433" s="493" t="s">
        <v>631</v>
      </c>
      <c r="B433" s="91" t="s">
        <v>914</v>
      </c>
      <c r="C433" s="92"/>
      <c r="D433" s="207">
        <v>15</v>
      </c>
      <c r="E433" s="208" t="s">
        <v>1826</v>
      </c>
      <c r="F433" s="94"/>
      <c r="G433" s="6"/>
      <c r="H433" s="7"/>
      <c r="I433" s="95">
        <f t="shared" si="172"/>
        <v>0</v>
      </c>
      <c r="J433" s="95">
        <f t="shared" si="173"/>
        <v>0</v>
      </c>
      <c r="K433" s="7"/>
      <c r="L433" s="9"/>
      <c r="M433" s="96">
        <f t="shared" si="174"/>
        <v>0</v>
      </c>
      <c r="N433" s="96">
        <f t="shared" si="175"/>
        <v>0</v>
      </c>
      <c r="O433" s="9"/>
    </row>
    <row r="434" spans="1:15" ht="45" customHeight="1" x14ac:dyDescent="0.25">
      <c r="A434" s="493" t="s">
        <v>631</v>
      </c>
      <c r="B434" s="91" t="s">
        <v>914</v>
      </c>
      <c r="C434" s="92"/>
      <c r="D434" s="204"/>
      <c r="E434" s="93" t="s">
        <v>915</v>
      </c>
      <c r="F434" s="94"/>
      <c r="G434" s="6"/>
      <c r="H434" s="7"/>
      <c r="I434" s="95">
        <f t="shared" si="172"/>
        <v>0</v>
      </c>
      <c r="J434" s="95">
        <f t="shared" si="173"/>
        <v>0</v>
      </c>
      <c r="K434" s="7"/>
      <c r="L434" s="9"/>
      <c r="M434" s="96">
        <f t="shared" si="174"/>
        <v>0</v>
      </c>
      <c r="N434" s="96">
        <f t="shared" si="175"/>
        <v>0</v>
      </c>
      <c r="O434" s="9"/>
    </row>
    <row r="435" spans="1:15" ht="30" customHeight="1" x14ac:dyDescent="0.25">
      <c r="A435" s="493" t="s">
        <v>631</v>
      </c>
      <c r="B435" s="91" t="s">
        <v>914</v>
      </c>
      <c r="C435" s="92"/>
      <c r="D435" s="204"/>
      <c r="E435" s="93" t="s">
        <v>916</v>
      </c>
      <c r="F435" s="94"/>
      <c r="G435" s="6"/>
      <c r="H435" s="7"/>
      <c r="I435" s="95">
        <f t="shared" si="172"/>
        <v>0</v>
      </c>
      <c r="J435" s="95">
        <f t="shared" si="173"/>
        <v>0</v>
      </c>
      <c r="K435" s="7"/>
      <c r="L435" s="9"/>
      <c r="M435" s="96">
        <f t="shared" si="174"/>
        <v>0</v>
      </c>
      <c r="N435" s="96">
        <f t="shared" si="175"/>
        <v>0</v>
      </c>
      <c r="O435" s="9"/>
    </row>
    <row r="436" spans="1:15" ht="15" customHeight="1" x14ac:dyDescent="0.25">
      <c r="A436" s="493" t="s">
        <v>631</v>
      </c>
      <c r="B436" s="91" t="s">
        <v>914</v>
      </c>
      <c r="C436" s="92"/>
      <c r="D436" s="207">
        <v>16</v>
      </c>
      <c r="E436" s="208" t="s">
        <v>1827</v>
      </c>
      <c r="F436" s="94"/>
      <c r="G436" s="6"/>
      <c r="H436" s="7"/>
      <c r="I436" s="95">
        <f t="shared" si="172"/>
        <v>0</v>
      </c>
      <c r="J436" s="95">
        <f t="shared" si="173"/>
        <v>0</v>
      </c>
      <c r="K436" s="7"/>
      <c r="L436" s="9"/>
      <c r="M436" s="96">
        <f t="shared" si="174"/>
        <v>0</v>
      </c>
      <c r="N436" s="96">
        <f t="shared" si="175"/>
        <v>0</v>
      </c>
      <c r="O436" s="9"/>
    </row>
    <row r="437" spans="1:15" ht="90" customHeight="1" x14ac:dyDescent="0.25">
      <c r="A437" s="493" t="s">
        <v>631</v>
      </c>
      <c r="B437" s="91" t="s">
        <v>914</v>
      </c>
      <c r="C437" s="92"/>
      <c r="D437" s="204"/>
      <c r="E437" s="93" t="s">
        <v>917</v>
      </c>
      <c r="F437" s="94"/>
      <c r="G437" s="6"/>
      <c r="H437" s="7"/>
      <c r="I437" s="95">
        <f t="shared" si="172"/>
        <v>0</v>
      </c>
      <c r="J437" s="95">
        <f t="shared" si="173"/>
        <v>0</v>
      </c>
      <c r="K437" s="7"/>
      <c r="L437" s="9"/>
      <c r="M437" s="96">
        <f t="shared" si="174"/>
        <v>0</v>
      </c>
      <c r="N437" s="96">
        <f t="shared" si="175"/>
        <v>0</v>
      </c>
      <c r="O437" s="9"/>
    </row>
    <row r="438" spans="1:15" ht="15" customHeight="1" x14ac:dyDescent="0.25">
      <c r="A438" s="493" t="s">
        <v>631</v>
      </c>
      <c r="B438" s="91" t="s">
        <v>914</v>
      </c>
      <c r="C438" s="92"/>
      <c r="D438" s="207">
        <v>17</v>
      </c>
      <c r="E438" s="208" t="s">
        <v>1775</v>
      </c>
      <c r="F438" s="94"/>
      <c r="G438" s="6"/>
      <c r="H438" s="7"/>
      <c r="I438" s="95">
        <f t="shared" si="172"/>
        <v>0</v>
      </c>
      <c r="J438" s="95">
        <f t="shared" si="173"/>
        <v>0</v>
      </c>
      <c r="K438" s="7"/>
      <c r="L438" s="9"/>
      <c r="M438" s="96">
        <f t="shared" si="174"/>
        <v>0</v>
      </c>
      <c r="N438" s="96">
        <f t="shared" si="175"/>
        <v>0</v>
      </c>
      <c r="O438" s="9"/>
    </row>
    <row r="439" spans="1:15" ht="15" customHeight="1" x14ac:dyDescent="0.25">
      <c r="A439" s="493" t="s">
        <v>631</v>
      </c>
      <c r="B439" s="91" t="s">
        <v>914</v>
      </c>
      <c r="C439" s="92"/>
      <c r="D439" s="207">
        <v>18</v>
      </c>
      <c r="E439" s="208" t="s">
        <v>1828</v>
      </c>
      <c r="F439" s="94"/>
      <c r="G439" s="6"/>
      <c r="H439" s="7"/>
      <c r="I439" s="95">
        <f t="shared" si="172"/>
        <v>0</v>
      </c>
      <c r="J439" s="95">
        <f t="shared" si="173"/>
        <v>0</v>
      </c>
      <c r="K439" s="7"/>
      <c r="L439" s="9"/>
      <c r="M439" s="96">
        <f t="shared" si="174"/>
        <v>0</v>
      </c>
      <c r="N439" s="96">
        <f t="shared" si="175"/>
        <v>0</v>
      </c>
      <c r="O439" s="9"/>
    </row>
    <row r="440" spans="1:15" ht="15" customHeight="1" x14ac:dyDescent="0.25">
      <c r="A440" s="493" t="s">
        <v>631</v>
      </c>
      <c r="B440" s="91" t="s">
        <v>914</v>
      </c>
      <c r="C440" s="92"/>
      <c r="D440" s="207"/>
      <c r="E440" s="208" t="s">
        <v>918</v>
      </c>
      <c r="F440" s="94"/>
      <c r="G440" s="6"/>
      <c r="H440" s="7"/>
      <c r="I440" s="95">
        <f t="shared" si="172"/>
        <v>0</v>
      </c>
      <c r="J440" s="95">
        <f t="shared" si="173"/>
        <v>0</v>
      </c>
      <c r="K440" s="7"/>
      <c r="L440" s="9"/>
      <c r="M440" s="96">
        <f t="shared" si="174"/>
        <v>0</v>
      </c>
      <c r="N440" s="96">
        <f t="shared" si="175"/>
        <v>0</v>
      </c>
      <c r="O440" s="9"/>
    </row>
    <row r="441" spans="1:15" ht="15" customHeight="1" x14ac:dyDescent="0.25">
      <c r="A441" s="493" t="s">
        <v>631</v>
      </c>
      <c r="B441" s="91" t="s">
        <v>914</v>
      </c>
      <c r="C441" s="92"/>
      <c r="D441" s="207"/>
      <c r="E441" s="208" t="s">
        <v>919</v>
      </c>
      <c r="F441" s="94"/>
      <c r="G441" s="6"/>
      <c r="H441" s="7"/>
      <c r="I441" s="95">
        <f t="shared" si="172"/>
        <v>0</v>
      </c>
      <c r="J441" s="95">
        <f t="shared" si="173"/>
        <v>0</v>
      </c>
      <c r="K441" s="7"/>
      <c r="L441" s="9"/>
      <c r="M441" s="96">
        <f t="shared" si="174"/>
        <v>0</v>
      </c>
      <c r="N441" s="96">
        <f t="shared" si="175"/>
        <v>0</v>
      </c>
      <c r="O441" s="9"/>
    </row>
    <row r="442" spans="1:15" ht="120" customHeight="1" x14ac:dyDescent="0.25">
      <c r="A442" s="493" t="s">
        <v>631</v>
      </c>
      <c r="B442" s="91" t="s">
        <v>914</v>
      </c>
      <c r="C442" s="92"/>
      <c r="D442" s="204"/>
      <c r="E442" s="93" t="s">
        <v>920</v>
      </c>
      <c r="F442" s="94"/>
      <c r="G442" s="6"/>
      <c r="H442" s="7"/>
      <c r="I442" s="95">
        <f t="shared" si="172"/>
        <v>0</v>
      </c>
      <c r="J442" s="95">
        <f t="shared" si="173"/>
        <v>0</v>
      </c>
      <c r="K442" s="7"/>
      <c r="L442" s="9"/>
      <c r="M442" s="96">
        <f t="shared" si="174"/>
        <v>0</v>
      </c>
      <c r="N442" s="96">
        <f t="shared" si="175"/>
        <v>0</v>
      </c>
      <c r="O442" s="9"/>
    </row>
    <row r="443" spans="1:15" ht="60" customHeight="1" x14ac:dyDescent="0.25">
      <c r="A443" s="493" t="s">
        <v>631</v>
      </c>
      <c r="B443" s="91" t="s">
        <v>914</v>
      </c>
      <c r="C443" s="92"/>
      <c r="D443" s="204"/>
      <c r="E443" s="93" t="s">
        <v>921</v>
      </c>
      <c r="F443" s="94"/>
      <c r="G443" s="6"/>
      <c r="H443" s="7"/>
      <c r="I443" s="95">
        <f t="shared" si="172"/>
        <v>0</v>
      </c>
      <c r="J443" s="95">
        <f t="shared" si="173"/>
        <v>0</v>
      </c>
      <c r="K443" s="7"/>
      <c r="L443" s="9"/>
      <c r="M443" s="96">
        <f t="shared" si="174"/>
        <v>0</v>
      </c>
      <c r="N443" s="96">
        <f t="shared" si="175"/>
        <v>0</v>
      </c>
      <c r="O443" s="9"/>
    </row>
    <row r="444" spans="1:15" ht="75" customHeight="1" x14ac:dyDescent="0.25">
      <c r="A444" s="493" t="s">
        <v>631</v>
      </c>
      <c r="B444" s="91" t="s">
        <v>914</v>
      </c>
      <c r="C444" s="92"/>
      <c r="D444" s="204"/>
      <c r="E444" s="93" t="s">
        <v>922</v>
      </c>
      <c r="F444" s="94"/>
      <c r="G444" s="6"/>
      <c r="H444" s="7"/>
      <c r="I444" s="95">
        <f t="shared" si="172"/>
        <v>0</v>
      </c>
      <c r="J444" s="95">
        <f t="shared" si="173"/>
        <v>0</v>
      </c>
      <c r="K444" s="7"/>
      <c r="L444" s="9"/>
      <c r="M444" s="96">
        <f t="shared" si="174"/>
        <v>0</v>
      </c>
      <c r="N444" s="96">
        <f t="shared" si="175"/>
        <v>0</v>
      </c>
      <c r="O444" s="9"/>
    </row>
    <row r="445" spans="1:15" ht="15" customHeight="1" x14ac:dyDescent="0.25">
      <c r="A445" s="493" t="s">
        <v>1022</v>
      </c>
      <c r="B445" s="205" t="str">
        <f>+B444</f>
        <v>Sec1/45</v>
      </c>
      <c r="C445" s="97"/>
      <c r="D445" s="205"/>
      <c r="E445" s="98" t="s">
        <v>640</v>
      </c>
      <c r="F445" s="97"/>
      <c r="G445" s="11"/>
      <c r="H445" s="11"/>
      <c r="I445" s="11"/>
      <c r="J445" s="99">
        <f>SUBTOTAL(9,J432:J444)</f>
        <v>0</v>
      </c>
      <c r="K445" s="11"/>
      <c r="L445" s="11"/>
      <c r="M445" s="11"/>
      <c r="N445" s="99">
        <f>SUBTOTAL(9,N432:N444)</f>
        <v>0</v>
      </c>
      <c r="O445" s="11"/>
    </row>
    <row r="446" spans="1:15" ht="15" customHeight="1" x14ac:dyDescent="0.25">
      <c r="A446" s="493" t="s">
        <v>631</v>
      </c>
      <c r="B446" s="91" t="s">
        <v>923</v>
      </c>
      <c r="C446" s="92"/>
      <c r="D446" s="207" t="s">
        <v>1006</v>
      </c>
      <c r="E446" s="208" t="s">
        <v>1805</v>
      </c>
      <c r="F446" s="94"/>
      <c r="G446" s="6"/>
      <c r="H446" s="7"/>
      <c r="I446" s="95">
        <f t="shared" ref="I446:I451" si="176">ROUND(H446*G446,2)</f>
        <v>0</v>
      </c>
      <c r="J446" s="95">
        <f t="shared" ref="J446:J451" si="177">ROUNDUP(I446,0)</f>
        <v>0</v>
      </c>
      <c r="K446" s="7"/>
      <c r="L446" s="9"/>
      <c r="M446" s="96">
        <f t="shared" ref="M446:M451" si="178">ROUND(L446*G446,2)</f>
        <v>0</v>
      </c>
      <c r="N446" s="96">
        <f t="shared" ref="N446:N451" si="179">ROUNDUP(M446,0)</f>
        <v>0</v>
      </c>
      <c r="O446" s="9"/>
    </row>
    <row r="447" spans="1:15" ht="15" customHeight="1" x14ac:dyDescent="0.25">
      <c r="A447" s="493" t="s">
        <v>631</v>
      </c>
      <c r="B447" s="91" t="s">
        <v>923</v>
      </c>
      <c r="C447" s="92"/>
      <c r="D447" s="207">
        <v>18</v>
      </c>
      <c r="E447" s="208" t="s">
        <v>1828</v>
      </c>
      <c r="F447" s="94"/>
      <c r="G447" s="6"/>
      <c r="H447" s="7"/>
      <c r="I447" s="95">
        <f t="shared" si="176"/>
        <v>0</v>
      </c>
      <c r="J447" s="95">
        <f t="shared" si="177"/>
        <v>0</v>
      </c>
      <c r="K447" s="7"/>
      <c r="L447" s="9"/>
      <c r="M447" s="96">
        <f t="shared" si="178"/>
        <v>0</v>
      </c>
      <c r="N447" s="96">
        <f t="shared" si="179"/>
        <v>0</v>
      </c>
      <c r="O447" s="9"/>
    </row>
    <row r="448" spans="1:15" ht="15" customHeight="1" x14ac:dyDescent="0.25">
      <c r="A448" s="493" t="s">
        <v>631</v>
      </c>
      <c r="B448" s="91" t="s">
        <v>923</v>
      </c>
      <c r="C448" s="92"/>
      <c r="D448" s="207"/>
      <c r="E448" s="208" t="s">
        <v>918</v>
      </c>
      <c r="F448" s="94"/>
      <c r="G448" s="6"/>
      <c r="H448" s="7"/>
      <c r="I448" s="95">
        <f t="shared" si="176"/>
        <v>0</v>
      </c>
      <c r="J448" s="95">
        <f t="shared" si="177"/>
        <v>0</v>
      </c>
      <c r="K448" s="7"/>
      <c r="L448" s="9"/>
      <c r="M448" s="96">
        <f t="shared" si="178"/>
        <v>0</v>
      </c>
      <c r="N448" s="96">
        <f t="shared" si="179"/>
        <v>0</v>
      </c>
      <c r="O448" s="9"/>
    </row>
    <row r="449" spans="1:15" ht="15" customHeight="1" x14ac:dyDescent="0.25">
      <c r="A449" s="493" t="s">
        <v>631</v>
      </c>
      <c r="B449" s="91" t="s">
        <v>923</v>
      </c>
      <c r="C449" s="92"/>
      <c r="D449" s="207"/>
      <c r="E449" s="208" t="s">
        <v>924</v>
      </c>
      <c r="F449" s="94"/>
      <c r="G449" s="6"/>
      <c r="H449" s="7"/>
      <c r="I449" s="95">
        <f t="shared" si="176"/>
        <v>0</v>
      </c>
      <c r="J449" s="95">
        <f t="shared" si="177"/>
        <v>0</v>
      </c>
      <c r="K449" s="7"/>
      <c r="L449" s="9"/>
      <c r="M449" s="96">
        <f t="shared" si="178"/>
        <v>0</v>
      </c>
      <c r="N449" s="96">
        <f t="shared" si="179"/>
        <v>0</v>
      </c>
      <c r="O449" s="9"/>
    </row>
    <row r="450" spans="1:15" ht="75" customHeight="1" x14ac:dyDescent="0.25">
      <c r="A450" s="493" t="s">
        <v>631</v>
      </c>
      <c r="B450" s="91" t="s">
        <v>923</v>
      </c>
      <c r="C450" s="92"/>
      <c r="D450" s="204"/>
      <c r="E450" s="93" t="s">
        <v>925</v>
      </c>
      <c r="F450" s="94"/>
      <c r="G450" s="6"/>
      <c r="H450" s="7"/>
      <c r="I450" s="95">
        <f t="shared" si="176"/>
        <v>0</v>
      </c>
      <c r="J450" s="95">
        <f t="shared" si="177"/>
        <v>0</v>
      </c>
      <c r="K450" s="7"/>
      <c r="L450" s="9"/>
      <c r="M450" s="96">
        <f t="shared" si="178"/>
        <v>0</v>
      </c>
      <c r="N450" s="96">
        <f t="shared" si="179"/>
        <v>0</v>
      </c>
      <c r="O450" s="9"/>
    </row>
    <row r="451" spans="1:15" ht="120" customHeight="1" x14ac:dyDescent="0.25">
      <c r="A451" s="493" t="s">
        <v>631</v>
      </c>
      <c r="B451" s="91" t="s">
        <v>923</v>
      </c>
      <c r="C451" s="92"/>
      <c r="D451" s="204"/>
      <c r="E451" s="93" t="s">
        <v>926</v>
      </c>
      <c r="F451" s="94"/>
      <c r="G451" s="6"/>
      <c r="H451" s="7"/>
      <c r="I451" s="95">
        <f t="shared" si="176"/>
        <v>0</v>
      </c>
      <c r="J451" s="95">
        <f t="shared" si="177"/>
        <v>0</v>
      </c>
      <c r="K451" s="7"/>
      <c r="L451" s="9"/>
      <c r="M451" s="96">
        <f t="shared" si="178"/>
        <v>0</v>
      </c>
      <c r="N451" s="96">
        <f t="shared" si="179"/>
        <v>0</v>
      </c>
      <c r="O451" s="9"/>
    </row>
    <row r="452" spans="1:15" ht="15" customHeight="1" x14ac:dyDescent="0.25">
      <c r="A452" s="493" t="s">
        <v>1022</v>
      </c>
      <c r="B452" s="205" t="str">
        <f>+B451</f>
        <v>Sec1/46</v>
      </c>
      <c r="C452" s="97"/>
      <c r="D452" s="205"/>
      <c r="E452" s="98" t="s">
        <v>640</v>
      </c>
      <c r="F452" s="97"/>
      <c r="G452" s="11"/>
      <c r="H452" s="11"/>
      <c r="I452" s="11"/>
      <c r="J452" s="99">
        <f>SUBTOTAL(9,J446:J451)</f>
        <v>0</v>
      </c>
      <c r="K452" s="11"/>
      <c r="L452" s="11"/>
      <c r="M452" s="11"/>
      <c r="N452" s="99">
        <f>SUBTOTAL(9,N446:N451)</f>
        <v>0</v>
      </c>
      <c r="O452" s="11"/>
    </row>
    <row r="453" spans="1:15" ht="15" customHeight="1" x14ac:dyDescent="0.25">
      <c r="A453" s="493" t="s">
        <v>631</v>
      </c>
      <c r="B453" s="91" t="s">
        <v>927</v>
      </c>
      <c r="C453" s="92"/>
      <c r="D453" s="207" t="s">
        <v>1008</v>
      </c>
      <c r="E453" s="208" t="s">
        <v>1829</v>
      </c>
      <c r="F453" s="94"/>
      <c r="G453" s="6"/>
      <c r="H453" s="7"/>
      <c r="I453" s="95">
        <f t="shared" ref="I453:I459" si="180">ROUND(H453*G453,2)</f>
        <v>0</v>
      </c>
      <c r="J453" s="95">
        <f t="shared" ref="J453:J459" si="181">ROUNDUP(I453,0)</f>
        <v>0</v>
      </c>
      <c r="K453" s="7"/>
      <c r="L453" s="9"/>
      <c r="M453" s="96">
        <f t="shared" ref="M453:M459" si="182">ROUND(L453*G453,2)</f>
        <v>0</v>
      </c>
      <c r="N453" s="96">
        <f t="shared" ref="N453:N459" si="183">ROUNDUP(M453,0)</f>
        <v>0</v>
      </c>
      <c r="O453" s="9"/>
    </row>
    <row r="454" spans="1:15" ht="15" customHeight="1" x14ac:dyDescent="0.25">
      <c r="A454" s="493" t="s">
        <v>631</v>
      </c>
      <c r="B454" s="91" t="s">
        <v>927</v>
      </c>
      <c r="C454" s="92"/>
      <c r="D454" s="207">
        <v>1</v>
      </c>
      <c r="E454" s="208" t="s">
        <v>1830</v>
      </c>
      <c r="F454" s="94"/>
      <c r="G454" s="6"/>
      <c r="H454" s="7"/>
      <c r="I454" s="95">
        <f t="shared" si="180"/>
        <v>0</v>
      </c>
      <c r="J454" s="95">
        <f t="shared" si="181"/>
        <v>0</v>
      </c>
      <c r="K454" s="7"/>
      <c r="L454" s="9"/>
      <c r="M454" s="96">
        <f t="shared" si="182"/>
        <v>0</v>
      </c>
      <c r="N454" s="96">
        <f t="shared" si="183"/>
        <v>0</v>
      </c>
      <c r="O454" s="9"/>
    </row>
    <row r="455" spans="1:15" ht="30" customHeight="1" x14ac:dyDescent="0.25">
      <c r="A455" s="493" t="s">
        <v>631</v>
      </c>
      <c r="B455" s="91" t="s">
        <v>927</v>
      </c>
      <c r="C455" s="92"/>
      <c r="D455" s="204"/>
      <c r="E455" s="93" t="s">
        <v>928</v>
      </c>
      <c r="F455" s="94"/>
      <c r="G455" s="6"/>
      <c r="H455" s="7"/>
      <c r="I455" s="95">
        <f t="shared" si="180"/>
        <v>0</v>
      </c>
      <c r="J455" s="95">
        <f t="shared" si="181"/>
        <v>0</v>
      </c>
      <c r="K455" s="7"/>
      <c r="L455" s="9"/>
      <c r="M455" s="96">
        <f t="shared" si="182"/>
        <v>0</v>
      </c>
      <c r="N455" s="96">
        <f t="shared" si="183"/>
        <v>0</v>
      </c>
      <c r="O455" s="9"/>
    </row>
    <row r="456" spans="1:15" ht="120" customHeight="1" x14ac:dyDescent="0.25">
      <c r="A456" s="493" t="s">
        <v>631</v>
      </c>
      <c r="B456" s="91" t="s">
        <v>927</v>
      </c>
      <c r="C456" s="92"/>
      <c r="D456" s="204"/>
      <c r="E456" s="93" t="s">
        <v>929</v>
      </c>
      <c r="F456" s="94"/>
      <c r="G456" s="6"/>
      <c r="H456" s="7"/>
      <c r="I456" s="95">
        <f t="shared" si="180"/>
        <v>0</v>
      </c>
      <c r="J456" s="95">
        <f t="shared" si="181"/>
        <v>0</v>
      </c>
      <c r="K456" s="7"/>
      <c r="L456" s="9"/>
      <c r="M456" s="96">
        <f t="shared" si="182"/>
        <v>0</v>
      </c>
      <c r="N456" s="96">
        <f t="shared" si="183"/>
        <v>0</v>
      </c>
      <c r="O456" s="9"/>
    </row>
    <row r="457" spans="1:15" ht="45" customHeight="1" x14ac:dyDescent="0.25">
      <c r="A457" s="493" t="s">
        <v>631</v>
      </c>
      <c r="B457" s="91" t="s">
        <v>927</v>
      </c>
      <c r="C457" s="92"/>
      <c r="D457" s="204"/>
      <c r="E457" s="93" t="s">
        <v>930</v>
      </c>
      <c r="F457" s="94"/>
      <c r="G457" s="6"/>
      <c r="H457" s="7"/>
      <c r="I457" s="95">
        <f t="shared" si="180"/>
        <v>0</v>
      </c>
      <c r="J457" s="95">
        <f t="shared" si="181"/>
        <v>0</v>
      </c>
      <c r="K457" s="7"/>
      <c r="L457" s="9"/>
      <c r="M457" s="96">
        <f t="shared" si="182"/>
        <v>0</v>
      </c>
      <c r="N457" s="96">
        <f t="shared" si="183"/>
        <v>0</v>
      </c>
      <c r="O457" s="9"/>
    </row>
    <row r="458" spans="1:15" ht="210" customHeight="1" x14ac:dyDescent="0.25">
      <c r="A458" s="493" t="s">
        <v>631</v>
      </c>
      <c r="B458" s="91" t="s">
        <v>927</v>
      </c>
      <c r="C458" s="92"/>
      <c r="D458" s="204"/>
      <c r="E458" s="93" t="s">
        <v>931</v>
      </c>
      <c r="F458" s="94"/>
      <c r="G458" s="6"/>
      <c r="H458" s="7"/>
      <c r="I458" s="95">
        <f t="shared" si="180"/>
        <v>0</v>
      </c>
      <c r="J458" s="95">
        <f t="shared" si="181"/>
        <v>0</v>
      </c>
      <c r="K458" s="7"/>
      <c r="L458" s="9"/>
      <c r="M458" s="96">
        <f t="shared" si="182"/>
        <v>0</v>
      </c>
      <c r="N458" s="96">
        <f t="shared" si="183"/>
        <v>0</v>
      </c>
      <c r="O458" s="9"/>
    </row>
    <row r="459" spans="1:15" ht="165" customHeight="1" x14ac:dyDescent="0.25">
      <c r="A459" s="493" t="s">
        <v>631</v>
      </c>
      <c r="B459" s="91" t="s">
        <v>927</v>
      </c>
      <c r="C459" s="92"/>
      <c r="D459" s="204"/>
      <c r="E459" s="93" t="s">
        <v>932</v>
      </c>
      <c r="F459" s="94"/>
      <c r="G459" s="6"/>
      <c r="H459" s="7"/>
      <c r="I459" s="95">
        <f t="shared" si="180"/>
        <v>0</v>
      </c>
      <c r="J459" s="95">
        <f t="shared" si="181"/>
        <v>0</v>
      </c>
      <c r="K459" s="7"/>
      <c r="L459" s="9"/>
      <c r="M459" s="96">
        <f t="shared" si="182"/>
        <v>0</v>
      </c>
      <c r="N459" s="96">
        <f t="shared" si="183"/>
        <v>0</v>
      </c>
      <c r="O459" s="9"/>
    </row>
    <row r="460" spans="1:15" ht="15" customHeight="1" x14ac:dyDescent="0.25">
      <c r="A460" s="493" t="s">
        <v>1022</v>
      </c>
      <c r="B460" s="205" t="str">
        <f>+B459</f>
        <v>Sec1/47</v>
      </c>
      <c r="C460" s="97"/>
      <c r="D460" s="205"/>
      <c r="E460" s="98" t="s">
        <v>640</v>
      </c>
      <c r="F460" s="97"/>
      <c r="G460" s="11"/>
      <c r="H460" s="11"/>
      <c r="I460" s="11"/>
      <c r="J460" s="99">
        <f>SUBTOTAL(9,J453:J459)</f>
        <v>0</v>
      </c>
      <c r="K460" s="11"/>
      <c r="L460" s="11"/>
      <c r="M460" s="11"/>
      <c r="N460" s="99">
        <f>SUBTOTAL(9,N453:N459)</f>
        <v>0</v>
      </c>
      <c r="O460" s="11"/>
    </row>
    <row r="461" spans="1:15" ht="15" customHeight="1" x14ac:dyDescent="0.25">
      <c r="A461" s="493" t="s">
        <v>631</v>
      </c>
      <c r="B461" s="91" t="s">
        <v>933</v>
      </c>
      <c r="C461" s="92"/>
      <c r="D461" s="207" t="s">
        <v>1008</v>
      </c>
      <c r="E461" s="208" t="s">
        <v>1831</v>
      </c>
      <c r="F461" s="94"/>
      <c r="G461" s="6"/>
      <c r="H461" s="7"/>
      <c r="I461" s="95">
        <f t="shared" ref="I461:I467" si="184">ROUND(H461*G461,2)</f>
        <v>0</v>
      </c>
      <c r="J461" s="95">
        <f t="shared" ref="J461:J467" si="185">ROUNDUP(I461,0)</f>
        <v>0</v>
      </c>
      <c r="K461" s="7"/>
      <c r="L461" s="9"/>
      <c r="M461" s="96">
        <f t="shared" ref="M461:M467" si="186">ROUND(L461*G461,2)</f>
        <v>0</v>
      </c>
      <c r="N461" s="96">
        <f t="shared" ref="N461:N467" si="187">ROUNDUP(M461,0)</f>
        <v>0</v>
      </c>
      <c r="O461" s="9"/>
    </row>
    <row r="462" spans="1:15" ht="15" customHeight="1" x14ac:dyDescent="0.25">
      <c r="A462" s="493" t="s">
        <v>631</v>
      </c>
      <c r="B462" s="91" t="s">
        <v>933</v>
      </c>
      <c r="C462" s="92"/>
      <c r="D462" s="207">
        <v>1</v>
      </c>
      <c r="E462" s="208" t="s">
        <v>1832</v>
      </c>
      <c r="F462" s="94"/>
      <c r="G462" s="6"/>
      <c r="H462" s="7"/>
      <c r="I462" s="95">
        <f t="shared" si="184"/>
        <v>0</v>
      </c>
      <c r="J462" s="95">
        <f t="shared" si="185"/>
        <v>0</v>
      </c>
      <c r="K462" s="7"/>
      <c r="L462" s="9"/>
      <c r="M462" s="96">
        <f t="shared" si="186"/>
        <v>0</v>
      </c>
      <c r="N462" s="96">
        <f t="shared" si="187"/>
        <v>0</v>
      </c>
      <c r="O462" s="9"/>
    </row>
    <row r="463" spans="1:15" ht="30" customHeight="1" x14ac:dyDescent="0.25">
      <c r="A463" s="493" t="s">
        <v>631</v>
      </c>
      <c r="B463" s="91" t="s">
        <v>933</v>
      </c>
      <c r="C463" s="92"/>
      <c r="D463" s="204"/>
      <c r="E463" s="93" t="s">
        <v>934</v>
      </c>
      <c r="F463" s="94"/>
      <c r="G463" s="6"/>
      <c r="H463" s="7"/>
      <c r="I463" s="95">
        <f t="shared" si="184"/>
        <v>0</v>
      </c>
      <c r="J463" s="95">
        <f t="shared" si="185"/>
        <v>0</v>
      </c>
      <c r="K463" s="7"/>
      <c r="L463" s="9"/>
      <c r="M463" s="96">
        <f t="shared" si="186"/>
        <v>0</v>
      </c>
      <c r="N463" s="96">
        <f t="shared" si="187"/>
        <v>0</v>
      </c>
      <c r="O463" s="9"/>
    </row>
    <row r="464" spans="1:15" ht="180" customHeight="1" x14ac:dyDescent="0.25">
      <c r="A464" s="493" t="s">
        <v>631</v>
      </c>
      <c r="B464" s="91" t="s">
        <v>933</v>
      </c>
      <c r="C464" s="92"/>
      <c r="D464" s="204"/>
      <c r="E464" s="93" t="s">
        <v>935</v>
      </c>
      <c r="F464" s="94"/>
      <c r="G464" s="6"/>
      <c r="H464" s="7"/>
      <c r="I464" s="95">
        <f t="shared" si="184"/>
        <v>0</v>
      </c>
      <c r="J464" s="95">
        <f t="shared" si="185"/>
        <v>0</v>
      </c>
      <c r="K464" s="7"/>
      <c r="L464" s="9"/>
      <c r="M464" s="96">
        <f t="shared" si="186"/>
        <v>0</v>
      </c>
      <c r="N464" s="96">
        <f t="shared" si="187"/>
        <v>0</v>
      </c>
      <c r="O464" s="9"/>
    </row>
    <row r="465" spans="1:15" ht="30" customHeight="1" x14ac:dyDescent="0.25">
      <c r="A465" s="493" t="s">
        <v>631</v>
      </c>
      <c r="B465" s="91" t="s">
        <v>933</v>
      </c>
      <c r="C465" s="92"/>
      <c r="D465" s="204"/>
      <c r="E465" s="93" t="s">
        <v>936</v>
      </c>
      <c r="F465" s="94"/>
      <c r="G465" s="6"/>
      <c r="H465" s="7"/>
      <c r="I465" s="95">
        <f t="shared" si="184"/>
        <v>0</v>
      </c>
      <c r="J465" s="95">
        <f t="shared" si="185"/>
        <v>0</v>
      </c>
      <c r="K465" s="7"/>
      <c r="L465" s="9"/>
      <c r="M465" s="96">
        <f t="shared" si="186"/>
        <v>0</v>
      </c>
      <c r="N465" s="96">
        <f t="shared" si="187"/>
        <v>0</v>
      </c>
      <c r="O465" s="9"/>
    </row>
    <row r="466" spans="1:15" ht="105" customHeight="1" x14ac:dyDescent="0.25">
      <c r="A466" s="493" t="s">
        <v>631</v>
      </c>
      <c r="B466" s="91" t="s">
        <v>933</v>
      </c>
      <c r="C466" s="92"/>
      <c r="D466" s="204"/>
      <c r="E466" s="93" t="s">
        <v>937</v>
      </c>
      <c r="F466" s="94"/>
      <c r="G466" s="6"/>
      <c r="H466" s="7"/>
      <c r="I466" s="95">
        <f t="shared" si="184"/>
        <v>0</v>
      </c>
      <c r="J466" s="95">
        <f t="shared" si="185"/>
        <v>0</v>
      </c>
      <c r="K466" s="7"/>
      <c r="L466" s="9"/>
      <c r="M466" s="96">
        <f t="shared" si="186"/>
        <v>0</v>
      </c>
      <c r="N466" s="96">
        <f t="shared" si="187"/>
        <v>0</v>
      </c>
      <c r="O466" s="9"/>
    </row>
    <row r="467" spans="1:15" ht="240" customHeight="1" x14ac:dyDescent="0.25">
      <c r="A467" s="493" t="s">
        <v>631</v>
      </c>
      <c r="B467" s="91" t="s">
        <v>933</v>
      </c>
      <c r="C467" s="92"/>
      <c r="D467" s="204"/>
      <c r="E467" s="93" t="s">
        <v>938</v>
      </c>
      <c r="F467" s="94"/>
      <c r="G467" s="6"/>
      <c r="H467" s="7"/>
      <c r="I467" s="95">
        <f t="shared" si="184"/>
        <v>0</v>
      </c>
      <c r="J467" s="95">
        <f t="shared" si="185"/>
        <v>0</v>
      </c>
      <c r="K467" s="7"/>
      <c r="L467" s="9"/>
      <c r="M467" s="96">
        <f t="shared" si="186"/>
        <v>0</v>
      </c>
      <c r="N467" s="96">
        <f t="shared" si="187"/>
        <v>0</v>
      </c>
      <c r="O467" s="9"/>
    </row>
    <row r="468" spans="1:15" ht="15" customHeight="1" x14ac:dyDescent="0.25">
      <c r="A468" s="493" t="s">
        <v>1022</v>
      </c>
      <c r="B468" s="205" t="str">
        <f>+B467</f>
        <v>Sec1/48</v>
      </c>
      <c r="C468" s="97"/>
      <c r="D468" s="205"/>
      <c r="E468" s="98" t="s">
        <v>640</v>
      </c>
      <c r="F468" s="97"/>
      <c r="G468" s="11"/>
      <c r="H468" s="11"/>
      <c r="I468" s="11"/>
      <c r="J468" s="99">
        <f>SUBTOTAL(9,J461:J467)</f>
        <v>0</v>
      </c>
      <c r="K468" s="11"/>
      <c r="L468" s="11"/>
      <c r="M468" s="11"/>
      <c r="N468" s="99">
        <f>SUBTOTAL(9,N461:N467)</f>
        <v>0</v>
      </c>
      <c r="O468" s="11"/>
    </row>
    <row r="469" spans="1:15" ht="15" customHeight="1" x14ac:dyDescent="0.25">
      <c r="A469" s="493" t="s">
        <v>631</v>
      </c>
      <c r="B469" s="91" t="s">
        <v>939</v>
      </c>
      <c r="C469" s="92"/>
      <c r="D469" s="207" t="s">
        <v>1008</v>
      </c>
      <c r="E469" s="208" t="s">
        <v>1831</v>
      </c>
      <c r="F469" s="94"/>
      <c r="G469" s="6"/>
      <c r="H469" s="7"/>
      <c r="I469" s="95">
        <f>ROUND(H469*G469,2)</f>
        <v>0</v>
      </c>
      <c r="J469" s="95">
        <f>ROUNDUP(I469,0)</f>
        <v>0</v>
      </c>
      <c r="K469" s="7"/>
      <c r="L469" s="9"/>
      <c r="M469" s="96">
        <f>ROUND(L469*G469,2)</f>
        <v>0</v>
      </c>
      <c r="N469" s="96">
        <f>ROUNDUP(M469,0)</f>
        <v>0</v>
      </c>
      <c r="O469" s="9"/>
    </row>
    <row r="470" spans="1:15" ht="15" customHeight="1" x14ac:dyDescent="0.25">
      <c r="A470" s="493" t="s">
        <v>631</v>
      </c>
      <c r="B470" s="91" t="s">
        <v>939</v>
      </c>
      <c r="C470" s="92"/>
      <c r="D470" s="207">
        <v>1</v>
      </c>
      <c r="E470" s="208" t="s">
        <v>1832</v>
      </c>
      <c r="F470" s="94"/>
      <c r="G470" s="6"/>
      <c r="H470" s="7"/>
      <c r="I470" s="95">
        <f>ROUND(H470*G470,2)</f>
        <v>0</v>
      </c>
      <c r="J470" s="95">
        <f>ROUNDUP(I470,0)</f>
        <v>0</v>
      </c>
      <c r="K470" s="7"/>
      <c r="L470" s="9"/>
      <c r="M470" s="96">
        <f>ROUND(L470*G470,2)</f>
        <v>0</v>
      </c>
      <c r="N470" s="96">
        <f>ROUNDUP(M470,0)</f>
        <v>0</v>
      </c>
      <c r="O470" s="9"/>
    </row>
    <row r="471" spans="1:15" ht="30" customHeight="1" x14ac:dyDescent="0.25">
      <c r="A471" s="493" t="s">
        <v>631</v>
      </c>
      <c r="B471" s="91" t="s">
        <v>939</v>
      </c>
      <c r="C471" s="92"/>
      <c r="D471" s="204"/>
      <c r="E471" s="93" t="s">
        <v>934</v>
      </c>
      <c r="F471" s="94"/>
      <c r="G471" s="6"/>
      <c r="H471" s="7"/>
      <c r="I471" s="95">
        <f>ROUND(H471*G471,2)</f>
        <v>0</v>
      </c>
      <c r="J471" s="95">
        <f>ROUNDUP(I471,0)</f>
        <v>0</v>
      </c>
      <c r="K471" s="7"/>
      <c r="L471" s="9"/>
      <c r="M471" s="96">
        <f>ROUND(L471*G471,2)</f>
        <v>0</v>
      </c>
      <c r="N471" s="96">
        <f>ROUNDUP(M471,0)</f>
        <v>0</v>
      </c>
      <c r="O471" s="9"/>
    </row>
    <row r="472" spans="1:15" ht="300" customHeight="1" x14ac:dyDescent="0.25">
      <c r="A472" s="493" t="s">
        <v>631</v>
      </c>
      <c r="B472" s="91" t="s">
        <v>939</v>
      </c>
      <c r="C472" s="92"/>
      <c r="D472" s="204"/>
      <c r="E472" s="93" t="s">
        <v>940</v>
      </c>
      <c r="F472" s="94"/>
      <c r="G472" s="6"/>
      <c r="H472" s="7"/>
      <c r="I472" s="95">
        <f>ROUND(H472*G472,2)</f>
        <v>0</v>
      </c>
      <c r="J472" s="95">
        <f>ROUNDUP(I472,0)</f>
        <v>0</v>
      </c>
      <c r="K472" s="7"/>
      <c r="L472" s="9"/>
      <c r="M472" s="96">
        <f>ROUND(L472*G472,2)</f>
        <v>0</v>
      </c>
      <c r="N472" s="96">
        <f>ROUNDUP(M472,0)</f>
        <v>0</v>
      </c>
      <c r="O472" s="9"/>
    </row>
    <row r="473" spans="1:15" ht="270" customHeight="1" x14ac:dyDescent="0.25">
      <c r="A473" s="493" t="s">
        <v>631</v>
      </c>
      <c r="B473" s="91" t="s">
        <v>939</v>
      </c>
      <c r="C473" s="92"/>
      <c r="D473" s="204"/>
      <c r="E473" s="93" t="s">
        <v>941</v>
      </c>
      <c r="F473" s="94"/>
      <c r="G473" s="6"/>
      <c r="H473" s="7"/>
      <c r="I473" s="95">
        <f>ROUND(H473*G473,2)</f>
        <v>0</v>
      </c>
      <c r="J473" s="95">
        <f>ROUNDUP(I473,0)</f>
        <v>0</v>
      </c>
      <c r="K473" s="7"/>
      <c r="L473" s="9"/>
      <c r="M473" s="96">
        <f>ROUND(L473*G473,2)</f>
        <v>0</v>
      </c>
      <c r="N473" s="96">
        <f>ROUNDUP(M473,0)</f>
        <v>0</v>
      </c>
      <c r="O473" s="9"/>
    </row>
    <row r="474" spans="1:15" ht="15" customHeight="1" x14ac:dyDescent="0.25">
      <c r="A474" s="493" t="s">
        <v>1022</v>
      </c>
      <c r="B474" s="205" t="str">
        <f>+B473</f>
        <v>Sec1/49</v>
      </c>
      <c r="C474" s="97"/>
      <c r="D474" s="205"/>
      <c r="E474" s="98" t="s">
        <v>640</v>
      </c>
      <c r="F474" s="97"/>
      <c r="G474" s="11"/>
      <c r="H474" s="11"/>
      <c r="I474" s="11"/>
      <c r="J474" s="99">
        <f>SUBTOTAL(9,J469:J473)</f>
        <v>0</v>
      </c>
      <c r="K474" s="11"/>
      <c r="L474" s="11"/>
      <c r="M474" s="11"/>
      <c r="N474" s="99">
        <f>SUBTOTAL(9,N469:N473)</f>
        <v>0</v>
      </c>
      <c r="O474" s="11"/>
    </row>
    <row r="475" spans="1:15" ht="15" customHeight="1" x14ac:dyDescent="0.25">
      <c r="A475" s="493" t="s">
        <v>631</v>
      </c>
      <c r="B475" s="91" t="s">
        <v>942</v>
      </c>
      <c r="C475" s="92"/>
      <c r="D475" s="207" t="s">
        <v>1008</v>
      </c>
      <c r="E475" s="208" t="s">
        <v>1831</v>
      </c>
      <c r="F475" s="94"/>
      <c r="G475" s="6"/>
      <c r="H475" s="7"/>
      <c r="I475" s="95">
        <f t="shared" ref="I475:I480" si="188">ROUND(H475*G475,2)</f>
        <v>0</v>
      </c>
      <c r="J475" s="95">
        <f t="shared" ref="J475:J480" si="189">ROUNDUP(I475,0)</f>
        <v>0</v>
      </c>
      <c r="K475" s="7"/>
      <c r="L475" s="9"/>
      <c r="M475" s="96">
        <f t="shared" ref="M475:M480" si="190">ROUND(L475*G475,2)</f>
        <v>0</v>
      </c>
      <c r="N475" s="96">
        <f t="shared" ref="N475:N480" si="191">ROUNDUP(M475,0)</f>
        <v>0</v>
      </c>
      <c r="O475" s="9"/>
    </row>
    <row r="476" spans="1:15" ht="15" customHeight="1" x14ac:dyDescent="0.25">
      <c r="A476" s="493" t="s">
        <v>631</v>
      </c>
      <c r="B476" s="91" t="s">
        <v>942</v>
      </c>
      <c r="C476" s="92"/>
      <c r="D476" s="207">
        <v>1</v>
      </c>
      <c r="E476" s="208" t="s">
        <v>1832</v>
      </c>
      <c r="F476" s="94"/>
      <c r="G476" s="6"/>
      <c r="H476" s="7"/>
      <c r="I476" s="95">
        <f t="shared" si="188"/>
        <v>0</v>
      </c>
      <c r="J476" s="95">
        <f t="shared" si="189"/>
        <v>0</v>
      </c>
      <c r="K476" s="7"/>
      <c r="L476" s="9"/>
      <c r="M476" s="96">
        <f t="shared" si="190"/>
        <v>0</v>
      </c>
      <c r="N476" s="96">
        <f t="shared" si="191"/>
        <v>0</v>
      </c>
      <c r="O476" s="9"/>
    </row>
    <row r="477" spans="1:15" ht="30" customHeight="1" x14ac:dyDescent="0.25">
      <c r="A477" s="493" t="s">
        <v>631</v>
      </c>
      <c r="B477" s="91" t="s">
        <v>942</v>
      </c>
      <c r="C477" s="92"/>
      <c r="D477" s="204"/>
      <c r="E477" s="93" t="s">
        <v>934</v>
      </c>
      <c r="F477" s="94"/>
      <c r="G477" s="6"/>
      <c r="H477" s="7"/>
      <c r="I477" s="95">
        <f t="shared" si="188"/>
        <v>0</v>
      </c>
      <c r="J477" s="95">
        <f t="shared" si="189"/>
        <v>0</v>
      </c>
      <c r="K477" s="7"/>
      <c r="L477" s="9"/>
      <c r="M477" s="96">
        <f t="shared" si="190"/>
        <v>0</v>
      </c>
      <c r="N477" s="96">
        <f t="shared" si="191"/>
        <v>0</v>
      </c>
      <c r="O477" s="9"/>
    </row>
    <row r="478" spans="1:15" ht="105" customHeight="1" x14ac:dyDescent="0.25">
      <c r="A478" s="493" t="s">
        <v>631</v>
      </c>
      <c r="B478" s="91" t="s">
        <v>942</v>
      </c>
      <c r="C478" s="92"/>
      <c r="D478" s="204"/>
      <c r="E478" s="93" t="s">
        <v>943</v>
      </c>
      <c r="F478" s="94"/>
      <c r="G478" s="6"/>
      <c r="H478" s="7"/>
      <c r="I478" s="95">
        <f t="shared" si="188"/>
        <v>0</v>
      </c>
      <c r="J478" s="95">
        <f t="shared" si="189"/>
        <v>0</v>
      </c>
      <c r="K478" s="7"/>
      <c r="L478" s="9"/>
      <c r="M478" s="96">
        <f t="shared" si="190"/>
        <v>0</v>
      </c>
      <c r="N478" s="96">
        <f t="shared" si="191"/>
        <v>0</v>
      </c>
      <c r="O478" s="9"/>
    </row>
    <row r="479" spans="1:15" ht="30" customHeight="1" x14ac:dyDescent="0.25">
      <c r="A479" s="493" t="s">
        <v>631</v>
      </c>
      <c r="B479" s="91" t="s">
        <v>942</v>
      </c>
      <c r="C479" s="92"/>
      <c r="D479" s="204"/>
      <c r="E479" s="93" t="s">
        <v>944</v>
      </c>
      <c r="F479" s="94"/>
      <c r="G479" s="6"/>
      <c r="H479" s="7"/>
      <c r="I479" s="95">
        <f t="shared" si="188"/>
        <v>0</v>
      </c>
      <c r="J479" s="95">
        <f t="shared" si="189"/>
        <v>0</v>
      </c>
      <c r="K479" s="7"/>
      <c r="L479" s="9"/>
      <c r="M479" s="96">
        <f t="shared" si="190"/>
        <v>0</v>
      </c>
      <c r="N479" s="96">
        <f t="shared" si="191"/>
        <v>0</v>
      </c>
      <c r="O479" s="9"/>
    </row>
    <row r="480" spans="1:15" ht="45" customHeight="1" x14ac:dyDescent="0.25">
      <c r="A480" s="493" t="s">
        <v>631</v>
      </c>
      <c r="B480" s="91" t="s">
        <v>942</v>
      </c>
      <c r="C480" s="92"/>
      <c r="D480" s="204"/>
      <c r="E480" s="93" t="s">
        <v>945</v>
      </c>
      <c r="F480" s="94"/>
      <c r="G480" s="6"/>
      <c r="H480" s="7"/>
      <c r="I480" s="95">
        <f t="shared" si="188"/>
        <v>0</v>
      </c>
      <c r="J480" s="95">
        <f t="shared" si="189"/>
        <v>0</v>
      </c>
      <c r="K480" s="7"/>
      <c r="L480" s="9"/>
      <c r="M480" s="96">
        <f t="shared" si="190"/>
        <v>0</v>
      </c>
      <c r="N480" s="96">
        <f t="shared" si="191"/>
        <v>0</v>
      </c>
      <c r="O480" s="9"/>
    </row>
    <row r="481" spans="1:15" ht="15" customHeight="1" x14ac:dyDescent="0.25">
      <c r="A481" s="493" t="s">
        <v>1022</v>
      </c>
      <c r="B481" s="205" t="str">
        <f>+B480</f>
        <v>Sec1/50</v>
      </c>
      <c r="C481" s="97"/>
      <c r="D481" s="205"/>
      <c r="E481" s="98" t="s">
        <v>640</v>
      </c>
      <c r="F481" s="97"/>
      <c r="G481" s="11"/>
      <c r="H481" s="11"/>
      <c r="I481" s="11"/>
      <c r="J481" s="99">
        <f>SUBTOTAL(9,J475:J480)</f>
        <v>0</v>
      </c>
      <c r="K481" s="11"/>
      <c r="L481" s="11"/>
      <c r="M481" s="11"/>
      <c r="N481" s="99">
        <f>SUBTOTAL(9,N475:N480)</f>
        <v>0</v>
      </c>
      <c r="O481" s="11"/>
    </row>
    <row r="482" spans="1:15" ht="15" customHeight="1" x14ac:dyDescent="0.25">
      <c r="A482" s="493" t="s">
        <v>631</v>
      </c>
      <c r="B482" s="91" t="s">
        <v>946</v>
      </c>
      <c r="C482" s="92"/>
      <c r="D482" s="204"/>
      <c r="E482" s="93" t="s">
        <v>947</v>
      </c>
      <c r="F482" s="94"/>
      <c r="G482" s="6"/>
      <c r="H482" s="7"/>
      <c r="I482" s="8"/>
      <c r="J482" s="8"/>
      <c r="K482" s="7"/>
      <c r="L482" s="9"/>
      <c r="M482" s="10"/>
      <c r="N482" s="10"/>
      <c r="O482" s="9"/>
    </row>
    <row r="483" spans="1:15" ht="15" customHeight="1" x14ac:dyDescent="0.25">
      <c r="A483" s="493" t="s">
        <v>631</v>
      </c>
      <c r="B483" s="91" t="s">
        <v>946</v>
      </c>
      <c r="C483" s="92"/>
      <c r="D483" s="204"/>
      <c r="E483" s="93" t="s">
        <v>948</v>
      </c>
      <c r="F483" s="94"/>
      <c r="G483" s="6"/>
      <c r="H483" s="7"/>
      <c r="I483" s="95">
        <f>J15</f>
        <v>0</v>
      </c>
      <c r="J483" s="95"/>
      <c r="K483" s="7"/>
      <c r="L483" s="9"/>
      <c r="M483" s="96">
        <f>N15</f>
        <v>0</v>
      </c>
      <c r="N483" s="96"/>
      <c r="O483" s="9"/>
    </row>
    <row r="484" spans="1:15" ht="15" customHeight="1" x14ac:dyDescent="0.25">
      <c r="A484" s="493" t="s">
        <v>631</v>
      </c>
      <c r="B484" s="91" t="s">
        <v>946</v>
      </c>
      <c r="C484" s="92"/>
      <c r="D484" s="204"/>
      <c r="E484" s="93" t="s">
        <v>949</v>
      </c>
      <c r="F484" s="94"/>
      <c r="G484" s="6"/>
      <c r="H484" s="7"/>
      <c r="I484" s="95">
        <f>J26</f>
        <v>0</v>
      </c>
      <c r="J484" s="95"/>
      <c r="K484" s="7"/>
      <c r="L484" s="9"/>
      <c r="M484" s="96">
        <f>N26</f>
        <v>0</v>
      </c>
      <c r="N484" s="96"/>
      <c r="O484" s="9"/>
    </row>
    <row r="485" spans="1:15" ht="15" customHeight="1" x14ac:dyDescent="0.25">
      <c r="A485" s="493" t="s">
        <v>631</v>
      </c>
      <c r="B485" s="91" t="s">
        <v>946</v>
      </c>
      <c r="C485" s="92"/>
      <c r="D485" s="204"/>
      <c r="E485" s="93" t="s">
        <v>950</v>
      </c>
      <c r="F485" s="94"/>
      <c r="G485" s="6"/>
      <c r="H485" s="7"/>
      <c r="I485" s="95">
        <f>J38</f>
        <v>0</v>
      </c>
      <c r="J485" s="95"/>
      <c r="K485" s="7"/>
      <c r="L485" s="9"/>
      <c r="M485" s="96">
        <f>N38</f>
        <v>0</v>
      </c>
      <c r="N485" s="96"/>
      <c r="O485" s="9"/>
    </row>
    <row r="486" spans="1:15" ht="15" customHeight="1" x14ac:dyDescent="0.25">
      <c r="A486" s="493" t="s">
        <v>631</v>
      </c>
      <c r="B486" s="91" t="s">
        <v>946</v>
      </c>
      <c r="C486" s="92"/>
      <c r="D486" s="204"/>
      <c r="E486" s="93" t="s">
        <v>951</v>
      </c>
      <c r="F486" s="94"/>
      <c r="G486" s="6"/>
      <c r="H486" s="7"/>
      <c r="I486" s="95">
        <f>J50</f>
        <v>0</v>
      </c>
      <c r="J486" s="95"/>
      <c r="K486" s="7"/>
      <c r="L486" s="9"/>
      <c r="M486" s="96">
        <f>N50</f>
        <v>0</v>
      </c>
      <c r="N486" s="96"/>
      <c r="O486" s="9"/>
    </row>
    <row r="487" spans="1:15" ht="15" customHeight="1" x14ac:dyDescent="0.25">
      <c r="A487" s="493" t="s">
        <v>631</v>
      </c>
      <c r="B487" s="91" t="s">
        <v>946</v>
      </c>
      <c r="C487" s="92"/>
      <c r="D487" s="204"/>
      <c r="E487" s="93" t="s">
        <v>952</v>
      </c>
      <c r="F487" s="94"/>
      <c r="G487" s="6"/>
      <c r="H487" s="7"/>
      <c r="I487" s="95">
        <f>J64</f>
        <v>0</v>
      </c>
      <c r="J487" s="95"/>
      <c r="K487" s="7"/>
      <c r="L487" s="9"/>
      <c r="M487" s="96">
        <f>N64</f>
        <v>0</v>
      </c>
      <c r="N487" s="96"/>
      <c r="O487" s="9"/>
    </row>
    <row r="488" spans="1:15" ht="15" customHeight="1" x14ac:dyDescent="0.25">
      <c r="A488" s="493" t="s">
        <v>631</v>
      </c>
      <c r="B488" s="91" t="s">
        <v>946</v>
      </c>
      <c r="C488" s="92"/>
      <c r="D488" s="204"/>
      <c r="E488" s="93" t="s">
        <v>953</v>
      </c>
      <c r="F488" s="94"/>
      <c r="G488" s="6"/>
      <c r="H488" s="7"/>
      <c r="I488" s="95">
        <f>J72</f>
        <v>0</v>
      </c>
      <c r="J488" s="95"/>
      <c r="K488" s="7"/>
      <c r="L488" s="9"/>
      <c r="M488" s="96">
        <f>N72</f>
        <v>0</v>
      </c>
      <c r="N488" s="96"/>
      <c r="O488" s="9"/>
    </row>
    <row r="489" spans="1:15" ht="15" customHeight="1" x14ac:dyDescent="0.25">
      <c r="A489" s="493" t="s">
        <v>631</v>
      </c>
      <c r="B489" s="91" t="s">
        <v>946</v>
      </c>
      <c r="C489" s="92"/>
      <c r="D489" s="204"/>
      <c r="E489" s="93" t="s">
        <v>954</v>
      </c>
      <c r="F489" s="94"/>
      <c r="G489" s="6"/>
      <c r="H489" s="7"/>
      <c r="I489" s="95">
        <f>J82</f>
        <v>0</v>
      </c>
      <c r="J489" s="95"/>
      <c r="K489" s="7"/>
      <c r="L489" s="9"/>
      <c r="M489" s="96">
        <f>N82</f>
        <v>0</v>
      </c>
      <c r="N489" s="96"/>
      <c r="O489" s="9"/>
    </row>
    <row r="490" spans="1:15" ht="15" customHeight="1" x14ac:dyDescent="0.25">
      <c r="A490" s="493" t="s">
        <v>631</v>
      </c>
      <c r="B490" s="91" t="s">
        <v>946</v>
      </c>
      <c r="C490" s="92"/>
      <c r="D490" s="204"/>
      <c r="E490" s="93" t="s">
        <v>955</v>
      </c>
      <c r="F490" s="94"/>
      <c r="G490" s="6"/>
      <c r="H490" s="7"/>
      <c r="I490" s="95">
        <f>J93</f>
        <v>0</v>
      </c>
      <c r="J490" s="95"/>
      <c r="K490" s="7"/>
      <c r="L490" s="9"/>
      <c r="M490" s="96">
        <f>N93</f>
        <v>0</v>
      </c>
      <c r="N490" s="96"/>
      <c r="O490" s="9"/>
    </row>
    <row r="491" spans="1:15" ht="15" customHeight="1" x14ac:dyDescent="0.25">
      <c r="A491" s="493" t="s">
        <v>631</v>
      </c>
      <c r="B491" s="91" t="s">
        <v>946</v>
      </c>
      <c r="C491" s="92"/>
      <c r="D491" s="204"/>
      <c r="E491" s="93" t="s">
        <v>956</v>
      </c>
      <c r="F491" s="94"/>
      <c r="G491" s="6"/>
      <c r="H491" s="7"/>
      <c r="I491" s="95">
        <f>J105</f>
        <v>0</v>
      </c>
      <c r="J491" s="95"/>
      <c r="K491" s="7"/>
      <c r="L491" s="9"/>
      <c r="M491" s="96">
        <f>N105</f>
        <v>0</v>
      </c>
      <c r="N491" s="96"/>
      <c r="O491" s="9"/>
    </row>
    <row r="492" spans="1:15" ht="15" customHeight="1" x14ac:dyDescent="0.25">
      <c r="A492" s="493" t="s">
        <v>631</v>
      </c>
      <c r="B492" s="91" t="s">
        <v>946</v>
      </c>
      <c r="C492" s="92"/>
      <c r="D492" s="204"/>
      <c r="E492" s="93" t="s">
        <v>957</v>
      </c>
      <c r="F492" s="94"/>
      <c r="G492" s="6"/>
      <c r="H492" s="7"/>
      <c r="I492" s="95">
        <f>J113</f>
        <v>0</v>
      </c>
      <c r="J492" s="95"/>
      <c r="K492" s="7"/>
      <c r="L492" s="9"/>
      <c r="M492" s="96">
        <f>N113</f>
        <v>0</v>
      </c>
      <c r="N492" s="96"/>
      <c r="O492" s="9"/>
    </row>
    <row r="493" spans="1:15" ht="15" customHeight="1" x14ac:dyDescent="0.25">
      <c r="A493" s="493" t="s">
        <v>631</v>
      </c>
      <c r="B493" s="91" t="s">
        <v>946</v>
      </c>
      <c r="C493" s="92"/>
      <c r="D493" s="204"/>
      <c r="E493" s="93" t="s">
        <v>958</v>
      </c>
      <c r="F493" s="94"/>
      <c r="G493" s="6"/>
      <c r="H493" s="7"/>
      <c r="I493" s="95">
        <f>J121</f>
        <v>0</v>
      </c>
      <c r="J493" s="95"/>
      <c r="K493" s="7"/>
      <c r="L493" s="9"/>
      <c r="M493" s="96">
        <f>N121</f>
        <v>0</v>
      </c>
      <c r="N493" s="96"/>
      <c r="O493" s="9"/>
    </row>
    <row r="494" spans="1:15" ht="15" customHeight="1" x14ac:dyDescent="0.25">
      <c r="A494" s="493" t="s">
        <v>631</v>
      </c>
      <c r="B494" s="91" t="s">
        <v>946</v>
      </c>
      <c r="C494" s="92"/>
      <c r="D494" s="204"/>
      <c r="E494" s="93" t="s">
        <v>959</v>
      </c>
      <c r="F494" s="94"/>
      <c r="G494" s="6"/>
      <c r="H494" s="7"/>
      <c r="I494" s="95">
        <f>J131</f>
        <v>0</v>
      </c>
      <c r="J494" s="95"/>
      <c r="K494" s="7"/>
      <c r="L494" s="9"/>
      <c r="M494" s="96">
        <f>N131</f>
        <v>0</v>
      </c>
      <c r="N494" s="96"/>
      <c r="O494" s="9"/>
    </row>
    <row r="495" spans="1:15" ht="15" customHeight="1" x14ac:dyDescent="0.25">
      <c r="A495" s="493" t="s">
        <v>631</v>
      </c>
      <c r="B495" s="91" t="s">
        <v>946</v>
      </c>
      <c r="C495" s="92"/>
      <c r="D495" s="204"/>
      <c r="E495" s="93" t="s">
        <v>960</v>
      </c>
      <c r="F495" s="94"/>
      <c r="G495" s="12"/>
      <c r="H495" s="13"/>
      <c r="I495" s="95">
        <f>J140</f>
        <v>0</v>
      </c>
      <c r="J495" s="95"/>
      <c r="K495" s="7"/>
      <c r="L495" s="14"/>
      <c r="M495" s="96">
        <f>N140</f>
        <v>0</v>
      </c>
      <c r="N495" s="96"/>
      <c r="O495" s="9"/>
    </row>
    <row r="496" spans="1:15" ht="15" customHeight="1" x14ac:dyDescent="0.25">
      <c r="A496" s="493" t="s">
        <v>631</v>
      </c>
      <c r="B496" s="91" t="s">
        <v>946</v>
      </c>
      <c r="C496" s="92"/>
      <c r="D496" s="204"/>
      <c r="E496" s="93" t="s">
        <v>961</v>
      </c>
      <c r="F496" s="94"/>
      <c r="G496" s="6"/>
      <c r="H496" s="7"/>
      <c r="I496" s="95">
        <f>J148</f>
        <v>0</v>
      </c>
      <c r="J496" s="95"/>
      <c r="K496" s="7"/>
      <c r="L496" s="9"/>
      <c r="M496" s="96">
        <f>N148</f>
        <v>0</v>
      </c>
      <c r="N496" s="96"/>
      <c r="O496" s="9"/>
    </row>
    <row r="497" spans="1:15" ht="15" customHeight="1" x14ac:dyDescent="0.25">
      <c r="A497" s="493" t="s">
        <v>631</v>
      </c>
      <c r="B497" s="91" t="s">
        <v>946</v>
      </c>
      <c r="C497" s="92"/>
      <c r="D497" s="204"/>
      <c r="E497" s="93" t="s">
        <v>962</v>
      </c>
      <c r="F497" s="94"/>
      <c r="G497" s="6"/>
      <c r="H497" s="7"/>
      <c r="I497" s="95">
        <f>J158</f>
        <v>0</v>
      </c>
      <c r="J497" s="95"/>
      <c r="K497" s="7"/>
      <c r="L497" s="9"/>
      <c r="M497" s="96">
        <f>N158</f>
        <v>0</v>
      </c>
      <c r="N497" s="96"/>
      <c r="O497" s="9"/>
    </row>
    <row r="498" spans="1:15" ht="15" customHeight="1" x14ac:dyDescent="0.25">
      <c r="A498" s="493" t="s">
        <v>631</v>
      </c>
      <c r="B498" s="91" t="s">
        <v>946</v>
      </c>
      <c r="C498" s="92"/>
      <c r="D498" s="204"/>
      <c r="E498" s="93" t="s">
        <v>963</v>
      </c>
      <c r="F498" s="94"/>
      <c r="G498" s="6"/>
      <c r="H498" s="7"/>
      <c r="I498" s="95">
        <f>J165</f>
        <v>0</v>
      </c>
      <c r="J498" s="95"/>
      <c r="K498" s="7"/>
      <c r="L498" s="9"/>
      <c r="M498" s="96">
        <f>N165</f>
        <v>0</v>
      </c>
      <c r="N498" s="96"/>
      <c r="O498" s="9"/>
    </row>
    <row r="499" spans="1:15" ht="15" customHeight="1" x14ac:dyDescent="0.25">
      <c r="A499" s="493" t="s">
        <v>631</v>
      </c>
      <c r="B499" s="91" t="s">
        <v>946</v>
      </c>
      <c r="C499" s="92"/>
      <c r="D499" s="204"/>
      <c r="E499" s="93" t="s">
        <v>964</v>
      </c>
      <c r="F499" s="94"/>
      <c r="G499" s="6"/>
      <c r="H499" s="7"/>
      <c r="I499" s="95">
        <f>J174</f>
        <v>0</v>
      </c>
      <c r="J499" s="95"/>
      <c r="K499" s="7"/>
      <c r="L499" s="9"/>
      <c r="M499" s="96">
        <f>N174</f>
        <v>0</v>
      </c>
      <c r="N499" s="96"/>
      <c r="O499" s="9"/>
    </row>
    <row r="500" spans="1:15" ht="15" customHeight="1" x14ac:dyDescent="0.25">
      <c r="A500" s="493" t="s">
        <v>631</v>
      </c>
      <c r="B500" s="91" t="s">
        <v>946</v>
      </c>
      <c r="C500" s="92"/>
      <c r="D500" s="204"/>
      <c r="E500" s="93" t="s">
        <v>965</v>
      </c>
      <c r="F500" s="94"/>
      <c r="G500" s="6"/>
      <c r="H500" s="7"/>
      <c r="I500" s="95">
        <f>J186</f>
        <v>0</v>
      </c>
      <c r="J500" s="95"/>
      <c r="K500" s="7"/>
      <c r="L500" s="9"/>
      <c r="M500" s="96">
        <f>N186</f>
        <v>0</v>
      </c>
      <c r="N500" s="96"/>
      <c r="O500" s="9"/>
    </row>
    <row r="501" spans="1:15" ht="15" customHeight="1" x14ac:dyDescent="0.25">
      <c r="A501" s="493" t="s">
        <v>631</v>
      </c>
      <c r="B501" s="91" t="s">
        <v>946</v>
      </c>
      <c r="C501" s="92"/>
      <c r="D501" s="204"/>
      <c r="E501" s="93" t="s">
        <v>966</v>
      </c>
      <c r="F501" s="94"/>
      <c r="G501" s="6"/>
      <c r="H501" s="7"/>
      <c r="I501" s="95">
        <f>J195</f>
        <v>0</v>
      </c>
      <c r="J501" s="95"/>
      <c r="K501" s="7"/>
      <c r="L501" s="9"/>
      <c r="M501" s="96">
        <f>N195</f>
        <v>0</v>
      </c>
      <c r="N501" s="96"/>
      <c r="O501" s="9"/>
    </row>
    <row r="502" spans="1:15" ht="15" customHeight="1" x14ac:dyDescent="0.25">
      <c r="A502" s="493" t="s">
        <v>631</v>
      </c>
      <c r="B502" s="91" t="s">
        <v>946</v>
      </c>
      <c r="C502" s="92"/>
      <c r="D502" s="204"/>
      <c r="E502" s="93" t="s">
        <v>967</v>
      </c>
      <c r="F502" s="94"/>
      <c r="G502" s="6"/>
      <c r="H502" s="7"/>
      <c r="I502" s="95">
        <f>J204</f>
        <v>0</v>
      </c>
      <c r="J502" s="95"/>
      <c r="K502" s="7"/>
      <c r="L502" s="9"/>
      <c r="M502" s="96">
        <f>N204</f>
        <v>0</v>
      </c>
      <c r="N502" s="96"/>
      <c r="O502" s="9"/>
    </row>
    <row r="503" spans="1:15" ht="15" customHeight="1" x14ac:dyDescent="0.25">
      <c r="A503" s="493" t="s">
        <v>631</v>
      </c>
      <c r="B503" s="213" t="str">
        <f>+B502</f>
        <v>Sec1/51</v>
      </c>
      <c r="C503" s="214"/>
      <c r="D503" s="215"/>
      <c r="E503" s="216" t="s">
        <v>1833</v>
      </c>
      <c r="F503" s="217"/>
      <c r="G503" s="218"/>
      <c r="H503" s="219"/>
      <c r="I503" s="220"/>
      <c r="J503" s="220">
        <f>SUM(I482:I502)</f>
        <v>0</v>
      </c>
      <c r="K503" s="219"/>
      <c r="L503" s="221"/>
      <c r="M503" s="222"/>
      <c r="N503" s="220">
        <f>SUM(M482:M502)</f>
        <v>0</v>
      </c>
      <c r="O503" s="221"/>
    </row>
    <row r="504" spans="1:15" ht="15" customHeight="1" x14ac:dyDescent="0.25">
      <c r="A504" s="493" t="s">
        <v>631</v>
      </c>
      <c r="B504" s="91" t="s">
        <v>968</v>
      </c>
      <c r="C504" s="92"/>
      <c r="D504" s="204"/>
      <c r="E504" s="93" t="s">
        <v>969</v>
      </c>
      <c r="F504" s="94"/>
      <c r="G504" s="6"/>
      <c r="H504" s="7"/>
      <c r="I504" s="95">
        <f>J212</f>
        <v>0</v>
      </c>
      <c r="J504" s="95"/>
      <c r="K504" s="7"/>
      <c r="L504" s="9"/>
      <c r="M504" s="96">
        <f>N212</f>
        <v>0</v>
      </c>
      <c r="N504" s="96"/>
      <c r="O504" s="9"/>
    </row>
    <row r="505" spans="1:15" ht="15" customHeight="1" x14ac:dyDescent="0.25">
      <c r="A505" s="493" t="s">
        <v>631</v>
      </c>
      <c r="B505" s="91" t="s">
        <v>968</v>
      </c>
      <c r="C505" s="92"/>
      <c r="D505" s="204"/>
      <c r="E505" s="93" t="s">
        <v>970</v>
      </c>
      <c r="F505" s="94"/>
      <c r="G505" s="6"/>
      <c r="H505" s="7"/>
      <c r="I505" s="95">
        <f>J221</f>
        <v>0</v>
      </c>
      <c r="J505" s="95"/>
      <c r="K505" s="7"/>
      <c r="L505" s="9"/>
      <c r="M505" s="96">
        <f>N221</f>
        <v>0</v>
      </c>
      <c r="N505" s="96"/>
      <c r="O505" s="9"/>
    </row>
    <row r="506" spans="1:15" ht="15" customHeight="1" x14ac:dyDescent="0.25">
      <c r="A506" s="493" t="s">
        <v>631</v>
      </c>
      <c r="B506" s="91" t="s">
        <v>968</v>
      </c>
      <c r="C506" s="92"/>
      <c r="D506" s="204"/>
      <c r="E506" s="93" t="s">
        <v>971</v>
      </c>
      <c r="F506" s="94"/>
      <c r="G506" s="6"/>
      <c r="H506" s="7"/>
      <c r="I506" s="95">
        <f>J229</f>
        <v>0</v>
      </c>
      <c r="J506" s="95"/>
      <c r="K506" s="7"/>
      <c r="L506" s="9"/>
      <c r="M506" s="96">
        <f>N229</f>
        <v>0</v>
      </c>
      <c r="N506" s="96"/>
      <c r="O506" s="9"/>
    </row>
    <row r="507" spans="1:15" ht="15" customHeight="1" x14ac:dyDescent="0.25">
      <c r="A507" s="493" t="s">
        <v>631</v>
      </c>
      <c r="B507" s="91" t="s">
        <v>968</v>
      </c>
      <c r="C507" s="92"/>
      <c r="D507" s="204"/>
      <c r="E507" s="93" t="s">
        <v>972</v>
      </c>
      <c r="F507" s="94"/>
      <c r="G507" s="6"/>
      <c r="H507" s="7"/>
      <c r="I507" s="95">
        <f>J239</f>
        <v>0</v>
      </c>
      <c r="J507" s="95"/>
      <c r="K507" s="7"/>
      <c r="L507" s="9"/>
      <c r="M507" s="96">
        <f>N239</f>
        <v>0</v>
      </c>
      <c r="N507" s="96"/>
      <c r="O507" s="9"/>
    </row>
    <row r="508" spans="1:15" ht="15" customHeight="1" x14ac:dyDescent="0.25">
      <c r="A508" s="493" t="s">
        <v>631</v>
      </c>
      <c r="B508" s="91" t="s">
        <v>968</v>
      </c>
      <c r="C508" s="92"/>
      <c r="D508" s="204"/>
      <c r="E508" s="93" t="s">
        <v>973</v>
      </c>
      <c r="F508" s="94"/>
      <c r="G508" s="6"/>
      <c r="H508" s="7"/>
      <c r="I508" s="95">
        <f>J246</f>
        <v>0</v>
      </c>
      <c r="J508" s="95"/>
      <c r="K508" s="7"/>
      <c r="L508" s="9"/>
      <c r="M508" s="96">
        <f>N246</f>
        <v>0</v>
      </c>
      <c r="N508" s="96"/>
      <c r="O508" s="9"/>
    </row>
    <row r="509" spans="1:15" ht="15" customHeight="1" x14ac:dyDescent="0.25">
      <c r="A509" s="493" t="s">
        <v>631</v>
      </c>
      <c r="B509" s="91" t="s">
        <v>968</v>
      </c>
      <c r="C509" s="92"/>
      <c r="D509" s="204"/>
      <c r="E509" s="93" t="s">
        <v>974</v>
      </c>
      <c r="F509" s="94"/>
      <c r="G509" s="6"/>
      <c r="H509" s="7"/>
      <c r="I509" s="95">
        <f>J255</f>
        <v>0</v>
      </c>
      <c r="J509" s="95"/>
      <c r="K509" s="7"/>
      <c r="L509" s="9"/>
      <c r="M509" s="96">
        <f>N255</f>
        <v>0</v>
      </c>
      <c r="N509" s="96"/>
      <c r="O509" s="9"/>
    </row>
    <row r="510" spans="1:15" ht="15" customHeight="1" x14ac:dyDescent="0.25">
      <c r="A510" s="493" t="s">
        <v>631</v>
      </c>
      <c r="B510" s="91" t="s">
        <v>968</v>
      </c>
      <c r="C510" s="92"/>
      <c r="D510" s="204"/>
      <c r="E510" s="93" t="s">
        <v>975</v>
      </c>
      <c r="F510" s="94"/>
      <c r="G510" s="6"/>
      <c r="H510" s="7"/>
      <c r="I510" s="95">
        <f>J265</f>
        <v>0</v>
      </c>
      <c r="J510" s="95"/>
      <c r="K510" s="7"/>
      <c r="L510" s="9"/>
      <c r="M510" s="96">
        <f>N265</f>
        <v>0</v>
      </c>
      <c r="N510" s="96"/>
      <c r="O510" s="9"/>
    </row>
    <row r="511" spans="1:15" ht="15" customHeight="1" x14ac:dyDescent="0.25">
      <c r="A511" s="493" t="s">
        <v>631</v>
      </c>
      <c r="B511" s="91" t="s">
        <v>968</v>
      </c>
      <c r="C511" s="92"/>
      <c r="D511" s="204"/>
      <c r="E511" s="93" t="s">
        <v>976</v>
      </c>
      <c r="F511" s="94"/>
      <c r="G511" s="6"/>
      <c r="H511" s="7"/>
      <c r="I511" s="95">
        <f>J275</f>
        <v>0</v>
      </c>
      <c r="J511" s="95"/>
      <c r="K511" s="7"/>
      <c r="L511" s="9"/>
      <c r="M511" s="96">
        <f>N275</f>
        <v>0</v>
      </c>
      <c r="N511" s="96"/>
      <c r="O511" s="9"/>
    </row>
    <row r="512" spans="1:15" ht="15" customHeight="1" x14ac:dyDescent="0.25">
      <c r="A512" s="493" t="s">
        <v>631</v>
      </c>
      <c r="B512" s="91" t="s">
        <v>968</v>
      </c>
      <c r="C512" s="92"/>
      <c r="D512" s="204"/>
      <c r="E512" s="93" t="s">
        <v>977</v>
      </c>
      <c r="F512" s="94"/>
      <c r="G512" s="6"/>
      <c r="H512" s="7"/>
      <c r="I512" s="95">
        <f>J286</f>
        <v>0</v>
      </c>
      <c r="J512" s="95"/>
      <c r="K512" s="7"/>
      <c r="L512" s="9"/>
      <c r="M512" s="96">
        <f>N286</f>
        <v>0</v>
      </c>
      <c r="N512" s="96"/>
      <c r="O512" s="9"/>
    </row>
    <row r="513" spans="1:15" ht="15" customHeight="1" x14ac:dyDescent="0.25">
      <c r="A513" s="493" t="s">
        <v>631</v>
      </c>
      <c r="B513" s="91" t="s">
        <v>968</v>
      </c>
      <c r="C513" s="92"/>
      <c r="D513" s="204"/>
      <c r="E513" s="93" t="s">
        <v>978</v>
      </c>
      <c r="F513" s="94"/>
      <c r="G513" s="6"/>
      <c r="H513" s="7"/>
      <c r="I513" s="95">
        <f>J294</f>
        <v>0</v>
      </c>
      <c r="J513" s="95"/>
      <c r="K513" s="7"/>
      <c r="L513" s="9"/>
      <c r="M513" s="96">
        <f>N294</f>
        <v>0</v>
      </c>
      <c r="N513" s="96"/>
      <c r="O513" s="9"/>
    </row>
    <row r="514" spans="1:15" ht="15" customHeight="1" x14ac:dyDescent="0.25">
      <c r="A514" s="493" t="s">
        <v>631</v>
      </c>
      <c r="B514" s="91" t="s">
        <v>968</v>
      </c>
      <c r="C514" s="92"/>
      <c r="D514" s="204"/>
      <c r="E514" s="93" t="s">
        <v>979</v>
      </c>
      <c r="F514" s="94"/>
      <c r="G514" s="6"/>
      <c r="H514" s="7"/>
      <c r="I514" s="95">
        <f>J303</f>
        <v>0</v>
      </c>
      <c r="J514" s="95"/>
      <c r="K514" s="7"/>
      <c r="L514" s="9"/>
      <c r="M514" s="96">
        <f>N303</f>
        <v>0</v>
      </c>
      <c r="N514" s="96"/>
      <c r="O514" s="9"/>
    </row>
    <row r="515" spans="1:15" ht="15" customHeight="1" x14ac:dyDescent="0.25">
      <c r="A515" s="493" t="s">
        <v>631</v>
      </c>
      <c r="B515" s="91" t="s">
        <v>968</v>
      </c>
      <c r="C515" s="92"/>
      <c r="D515" s="204"/>
      <c r="E515" s="93" t="s">
        <v>980</v>
      </c>
      <c r="F515" s="94"/>
      <c r="G515" s="6"/>
      <c r="H515" s="7"/>
      <c r="I515" s="95">
        <f>J311</f>
        <v>0</v>
      </c>
      <c r="J515" s="95"/>
      <c r="K515" s="7"/>
      <c r="L515" s="9"/>
      <c r="M515" s="96">
        <f>N311</f>
        <v>0</v>
      </c>
      <c r="N515" s="96"/>
      <c r="O515" s="9"/>
    </row>
    <row r="516" spans="1:15" ht="15" customHeight="1" x14ac:dyDescent="0.25">
      <c r="A516" s="493" t="s">
        <v>631</v>
      </c>
      <c r="B516" s="91" t="s">
        <v>968</v>
      </c>
      <c r="C516" s="92"/>
      <c r="D516" s="204"/>
      <c r="E516" s="93" t="s">
        <v>981</v>
      </c>
      <c r="F516" s="94"/>
      <c r="G516" s="6"/>
      <c r="H516" s="7"/>
      <c r="I516" s="95">
        <f>J320</f>
        <v>0</v>
      </c>
      <c r="J516" s="95"/>
      <c r="K516" s="7"/>
      <c r="L516" s="9"/>
      <c r="M516" s="96">
        <f>N320</f>
        <v>0</v>
      </c>
      <c r="N516" s="96"/>
      <c r="O516" s="9"/>
    </row>
    <row r="517" spans="1:15" ht="15" customHeight="1" x14ac:dyDescent="0.25">
      <c r="A517" s="493" t="s">
        <v>631</v>
      </c>
      <c r="B517" s="91" t="s">
        <v>968</v>
      </c>
      <c r="C517" s="92"/>
      <c r="D517" s="204"/>
      <c r="E517" s="93" t="s">
        <v>982</v>
      </c>
      <c r="F517" s="94"/>
      <c r="G517" s="6"/>
      <c r="H517" s="7"/>
      <c r="I517" s="95">
        <f>J326</f>
        <v>0</v>
      </c>
      <c r="J517" s="95"/>
      <c r="K517" s="7"/>
      <c r="L517" s="9"/>
      <c r="M517" s="96">
        <f>N326</f>
        <v>0</v>
      </c>
      <c r="N517" s="96"/>
      <c r="O517" s="9"/>
    </row>
    <row r="518" spans="1:15" ht="15" customHeight="1" x14ac:dyDescent="0.25">
      <c r="A518" s="493" t="s">
        <v>631</v>
      </c>
      <c r="B518" s="91" t="s">
        <v>968</v>
      </c>
      <c r="C518" s="92"/>
      <c r="D518" s="204"/>
      <c r="E518" s="93" t="s">
        <v>983</v>
      </c>
      <c r="F518" s="94"/>
      <c r="G518" s="6"/>
      <c r="H518" s="7"/>
      <c r="I518" s="95">
        <f>J334</f>
        <v>0</v>
      </c>
      <c r="J518" s="95"/>
      <c r="K518" s="7"/>
      <c r="L518" s="9"/>
      <c r="M518" s="96">
        <f>N334</f>
        <v>0</v>
      </c>
      <c r="N518" s="96"/>
      <c r="O518" s="9"/>
    </row>
    <row r="519" spans="1:15" ht="15" customHeight="1" x14ac:dyDescent="0.25">
      <c r="A519" s="493" t="s">
        <v>631</v>
      </c>
      <c r="B519" s="91" t="s">
        <v>968</v>
      </c>
      <c r="C519" s="92"/>
      <c r="D519" s="204"/>
      <c r="E519" s="93" t="s">
        <v>984</v>
      </c>
      <c r="F519" s="94"/>
      <c r="G519" s="6"/>
      <c r="H519" s="7"/>
      <c r="I519" s="95">
        <f>J345</f>
        <v>0</v>
      </c>
      <c r="J519" s="95"/>
      <c r="K519" s="7"/>
      <c r="L519" s="9"/>
      <c r="M519" s="96">
        <f>N345</f>
        <v>0</v>
      </c>
      <c r="N519" s="96"/>
      <c r="O519" s="9"/>
    </row>
    <row r="520" spans="1:15" ht="15" customHeight="1" x14ac:dyDescent="0.25">
      <c r="A520" s="493" t="s">
        <v>631</v>
      </c>
      <c r="B520" s="91" t="s">
        <v>968</v>
      </c>
      <c r="C520" s="92"/>
      <c r="D520" s="204"/>
      <c r="E520" s="93" t="s">
        <v>985</v>
      </c>
      <c r="F520" s="94"/>
      <c r="G520" s="6"/>
      <c r="H520" s="7"/>
      <c r="I520" s="95">
        <f>J354</f>
        <v>0</v>
      </c>
      <c r="J520" s="95"/>
      <c r="K520" s="7"/>
      <c r="L520" s="9"/>
      <c r="M520" s="96">
        <f>N354</f>
        <v>0</v>
      </c>
      <c r="N520" s="96"/>
      <c r="O520" s="9"/>
    </row>
    <row r="521" spans="1:15" ht="15" customHeight="1" x14ac:dyDescent="0.25">
      <c r="A521" s="493" t="s">
        <v>631</v>
      </c>
      <c r="B521" s="91" t="s">
        <v>968</v>
      </c>
      <c r="C521" s="92"/>
      <c r="D521" s="204"/>
      <c r="E521" s="93" t="s">
        <v>986</v>
      </c>
      <c r="F521" s="94"/>
      <c r="G521" s="6"/>
      <c r="H521" s="7"/>
      <c r="I521" s="95">
        <f>J362</f>
        <v>0</v>
      </c>
      <c r="J521" s="95"/>
      <c r="K521" s="7"/>
      <c r="L521" s="9"/>
      <c r="M521" s="96">
        <f>N362</f>
        <v>0</v>
      </c>
      <c r="N521" s="96"/>
      <c r="O521" s="9"/>
    </row>
    <row r="522" spans="1:15" ht="15" customHeight="1" x14ac:dyDescent="0.25">
      <c r="A522" s="493" t="s">
        <v>631</v>
      </c>
      <c r="B522" s="91" t="s">
        <v>968</v>
      </c>
      <c r="C522" s="92"/>
      <c r="D522" s="204"/>
      <c r="E522" s="93" t="s">
        <v>987</v>
      </c>
      <c r="F522" s="94"/>
      <c r="G522" s="6"/>
      <c r="H522" s="7"/>
      <c r="I522" s="95">
        <f>J371</f>
        <v>0</v>
      </c>
      <c r="J522" s="95"/>
      <c r="K522" s="7"/>
      <c r="L522" s="9"/>
      <c r="M522" s="96">
        <f>N371</f>
        <v>0</v>
      </c>
      <c r="N522" s="96"/>
      <c r="O522" s="9"/>
    </row>
    <row r="523" spans="1:15" ht="15" customHeight="1" x14ac:dyDescent="0.25">
      <c r="A523" s="493" t="s">
        <v>631</v>
      </c>
      <c r="B523" s="91" t="s">
        <v>968</v>
      </c>
      <c r="C523" s="92"/>
      <c r="D523" s="204"/>
      <c r="E523" s="93" t="s">
        <v>988</v>
      </c>
      <c r="F523" s="94"/>
      <c r="G523" s="6"/>
      <c r="H523" s="7"/>
      <c r="I523" s="95">
        <f>J385</f>
        <v>0</v>
      </c>
      <c r="J523" s="95"/>
      <c r="K523" s="7"/>
      <c r="L523" s="9"/>
      <c r="M523" s="96">
        <f>N385</f>
        <v>0</v>
      </c>
      <c r="N523" s="96"/>
      <c r="O523" s="9"/>
    </row>
    <row r="524" spans="1:15" ht="15" customHeight="1" x14ac:dyDescent="0.25">
      <c r="A524" s="493" t="s">
        <v>631</v>
      </c>
      <c r="B524" s="213" t="str">
        <f>+B523</f>
        <v>Sec1/52</v>
      </c>
      <c r="C524" s="214"/>
      <c r="D524" s="215"/>
      <c r="E524" s="216" t="s">
        <v>1833</v>
      </c>
      <c r="F524" s="217"/>
      <c r="G524" s="218"/>
      <c r="H524" s="219"/>
      <c r="I524" s="220"/>
      <c r="J524" s="220">
        <f>SUM(I503:I523)</f>
        <v>0</v>
      </c>
      <c r="K524" s="219"/>
      <c r="L524" s="221"/>
      <c r="M524" s="222"/>
      <c r="N524" s="220">
        <f>SUM(M503:M523)</f>
        <v>0</v>
      </c>
      <c r="O524" s="221"/>
    </row>
    <row r="525" spans="1:15" ht="15" customHeight="1" x14ac:dyDescent="0.25">
      <c r="A525" s="493" t="s">
        <v>631</v>
      </c>
      <c r="B525" s="91" t="s">
        <v>989</v>
      </c>
      <c r="C525" s="92"/>
      <c r="D525" s="204"/>
      <c r="E525" s="93" t="s">
        <v>990</v>
      </c>
      <c r="F525" s="94"/>
      <c r="G525" s="6"/>
      <c r="H525" s="7"/>
      <c r="I525" s="95">
        <f>J398</f>
        <v>0</v>
      </c>
      <c r="J525" s="95"/>
      <c r="K525" s="7"/>
      <c r="L525" s="9"/>
      <c r="M525" s="96">
        <f>N398</f>
        <v>0</v>
      </c>
      <c r="N525" s="96"/>
      <c r="O525" s="9"/>
    </row>
    <row r="526" spans="1:15" ht="15" customHeight="1" x14ac:dyDescent="0.25">
      <c r="A526" s="493" t="s">
        <v>631</v>
      </c>
      <c r="B526" s="91" t="s">
        <v>989</v>
      </c>
      <c r="C526" s="92"/>
      <c r="D526" s="204"/>
      <c r="E526" s="93" t="s">
        <v>991</v>
      </c>
      <c r="F526" s="94"/>
      <c r="G526" s="6"/>
      <c r="H526" s="7"/>
      <c r="I526" s="95">
        <f>J413</f>
        <v>0</v>
      </c>
      <c r="J526" s="95"/>
      <c r="K526" s="7"/>
      <c r="L526" s="9"/>
      <c r="M526" s="96">
        <f>N413</f>
        <v>0</v>
      </c>
      <c r="N526" s="96"/>
      <c r="O526" s="9"/>
    </row>
    <row r="527" spans="1:15" ht="15" customHeight="1" x14ac:dyDescent="0.25">
      <c r="A527" s="493" t="s">
        <v>631</v>
      </c>
      <c r="B527" s="91" t="s">
        <v>989</v>
      </c>
      <c r="C527" s="92"/>
      <c r="D527" s="204"/>
      <c r="E527" s="93" t="s">
        <v>992</v>
      </c>
      <c r="F527" s="94"/>
      <c r="G527" s="6"/>
      <c r="H527" s="7"/>
      <c r="I527" s="95">
        <f>J423</f>
        <v>0</v>
      </c>
      <c r="J527" s="95"/>
      <c r="K527" s="7"/>
      <c r="L527" s="9"/>
      <c r="M527" s="96">
        <f>N423</f>
        <v>0</v>
      </c>
      <c r="N527" s="96"/>
      <c r="O527" s="9"/>
    </row>
    <row r="528" spans="1:15" ht="15" customHeight="1" x14ac:dyDescent="0.25">
      <c r="A528" s="493" t="s">
        <v>631</v>
      </c>
      <c r="B528" s="91" t="s">
        <v>989</v>
      </c>
      <c r="C528" s="92"/>
      <c r="D528" s="204"/>
      <c r="E528" s="93" t="s">
        <v>993</v>
      </c>
      <c r="F528" s="94"/>
      <c r="G528" s="6"/>
      <c r="H528" s="7"/>
      <c r="I528" s="95">
        <f>J431</f>
        <v>0</v>
      </c>
      <c r="J528" s="95"/>
      <c r="K528" s="7"/>
      <c r="L528" s="9"/>
      <c r="M528" s="96">
        <f>N431</f>
        <v>0</v>
      </c>
      <c r="N528" s="96"/>
      <c r="O528" s="9"/>
    </row>
    <row r="529" spans="1:15" ht="15" customHeight="1" x14ac:dyDescent="0.25">
      <c r="A529" s="493" t="s">
        <v>631</v>
      </c>
      <c r="B529" s="91" t="s">
        <v>989</v>
      </c>
      <c r="C529" s="92"/>
      <c r="D529" s="204"/>
      <c r="E529" s="93" t="s">
        <v>994</v>
      </c>
      <c r="F529" s="94"/>
      <c r="G529" s="6"/>
      <c r="H529" s="7"/>
      <c r="I529" s="95">
        <f>J445</f>
        <v>0</v>
      </c>
      <c r="J529" s="95"/>
      <c r="K529" s="7"/>
      <c r="L529" s="9"/>
      <c r="M529" s="96">
        <f>N445</f>
        <v>0</v>
      </c>
      <c r="N529" s="96"/>
      <c r="O529" s="9"/>
    </row>
    <row r="530" spans="1:15" ht="15" customHeight="1" x14ac:dyDescent="0.25">
      <c r="A530" s="493" t="s">
        <v>631</v>
      </c>
      <c r="B530" s="91" t="s">
        <v>989</v>
      </c>
      <c r="C530" s="92"/>
      <c r="D530" s="204"/>
      <c r="E530" s="93" t="s">
        <v>995</v>
      </c>
      <c r="F530" s="94"/>
      <c r="G530" s="6"/>
      <c r="H530" s="7"/>
      <c r="I530" s="95">
        <f>J452</f>
        <v>0</v>
      </c>
      <c r="J530" s="95"/>
      <c r="K530" s="7"/>
      <c r="L530" s="9"/>
      <c r="M530" s="96">
        <f>N452</f>
        <v>0</v>
      </c>
      <c r="N530" s="96"/>
      <c r="O530" s="9"/>
    </row>
    <row r="531" spans="1:15" ht="15" customHeight="1" x14ac:dyDescent="0.25">
      <c r="A531" s="493" t="s">
        <v>631</v>
      </c>
      <c r="B531" s="91" t="s">
        <v>989</v>
      </c>
      <c r="C531" s="92"/>
      <c r="D531" s="204"/>
      <c r="E531" s="93" t="s">
        <v>996</v>
      </c>
      <c r="F531" s="94"/>
      <c r="G531" s="6"/>
      <c r="H531" s="7"/>
      <c r="I531" s="95">
        <f>J460</f>
        <v>0</v>
      </c>
      <c r="J531" s="95"/>
      <c r="K531" s="7"/>
      <c r="L531" s="9"/>
      <c r="M531" s="96">
        <f>N460</f>
        <v>0</v>
      </c>
      <c r="N531" s="96"/>
      <c r="O531" s="9"/>
    </row>
    <row r="532" spans="1:15" ht="15" customHeight="1" x14ac:dyDescent="0.25">
      <c r="A532" s="493" t="s">
        <v>631</v>
      </c>
      <c r="B532" s="91" t="s">
        <v>989</v>
      </c>
      <c r="C532" s="92"/>
      <c r="D532" s="204"/>
      <c r="E532" s="93" t="s">
        <v>997</v>
      </c>
      <c r="F532" s="94"/>
      <c r="G532" s="6"/>
      <c r="H532" s="7"/>
      <c r="I532" s="95">
        <f>J468</f>
        <v>0</v>
      </c>
      <c r="J532" s="95"/>
      <c r="K532" s="7"/>
      <c r="L532" s="9"/>
      <c r="M532" s="96">
        <f>N468</f>
        <v>0</v>
      </c>
      <c r="N532" s="96"/>
      <c r="O532" s="9"/>
    </row>
    <row r="533" spans="1:15" ht="15" customHeight="1" x14ac:dyDescent="0.25">
      <c r="A533" s="493" t="s">
        <v>631</v>
      </c>
      <c r="B533" s="91" t="s">
        <v>989</v>
      </c>
      <c r="C533" s="92"/>
      <c r="D533" s="204"/>
      <c r="E533" s="93" t="s">
        <v>998</v>
      </c>
      <c r="F533" s="94"/>
      <c r="G533" s="6"/>
      <c r="H533" s="7"/>
      <c r="I533" s="95">
        <f>J474</f>
        <v>0</v>
      </c>
      <c r="J533" s="95"/>
      <c r="K533" s="7"/>
      <c r="L533" s="9"/>
      <c r="M533" s="96">
        <f>N474</f>
        <v>0</v>
      </c>
      <c r="N533" s="96"/>
      <c r="O533" s="9"/>
    </row>
    <row r="534" spans="1:15" ht="15" customHeight="1" x14ac:dyDescent="0.25">
      <c r="A534" s="493" t="s">
        <v>631</v>
      </c>
      <c r="B534" s="91" t="s">
        <v>989</v>
      </c>
      <c r="C534" s="92"/>
      <c r="D534" s="204"/>
      <c r="E534" s="93" t="s">
        <v>999</v>
      </c>
      <c r="F534" s="94"/>
      <c r="G534" s="6"/>
      <c r="H534" s="7"/>
      <c r="I534" s="95">
        <f>J481</f>
        <v>0</v>
      </c>
      <c r="J534" s="95"/>
      <c r="K534" s="7"/>
      <c r="L534" s="9"/>
      <c r="M534" s="96">
        <f>N481</f>
        <v>0</v>
      </c>
      <c r="N534" s="96"/>
      <c r="O534" s="9"/>
    </row>
    <row r="535" spans="1:15" ht="15" customHeight="1" x14ac:dyDescent="0.25">
      <c r="A535" s="493" t="s">
        <v>631</v>
      </c>
      <c r="B535" s="223" t="s">
        <v>989</v>
      </c>
      <c r="C535" s="214"/>
      <c r="D535" s="215"/>
      <c r="E535" s="216" t="s">
        <v>1000</v>
      </c>
      <c r="F535" s="217"/>
      <c r="G535" s="218"/>
      <c r="H535" s="219"/>
      <c r="I535" s="224"/>
      <c r="J535" s="224">
        <f>SUM(I525:I534)</f>
        <v>0</v>
      </c>
      <c r="K535" s="219"/>
      <c r="L535" s="221"/>
      <c r="M535" s="225"/>
      <c r="N535" s="224">
        <f>SUM(M525:M534)</f>
        <v>0</v>
      </c>
      <c r="O535" s="221"/>
    </row>
    <row r="536" spans="1:15" ht="15" customHeight="1" x14ac:dyDescent="0.25">
      <c r="A536" s="493"/>
      <c r="B536" s="205"/>
      <c r="C536" s="97"/>
      <c r="D536" s="205"/>
      <c r="E536" s="100" t="s">
        <v>1000</v>
      </c>
      <c r="F536" s="97"/>
      <c r="G536" s="11"/>
      <c r="H536" s="11"/>
      <c r="I536" s="101">
        <f>I483+I484+I485+I486+I487+I488+I489+I490+I491+I492+I493+I494+I495+I496+I497+I498+I499+I500+I501+I502+I504+I505+I506+I507+I508+I509+I510+I511+I512+I513+I514+I515+I516+I517+I518+I519+I520+I521+I522+I523+I525+I526+I527+I528+I529+I530+I531+I532+I533+I534</f>
        <v>0</v>
      </c>
      <c r="J536" s="101">
        <f>+SUM(J482:J535)</f>
        <v>0</v>
      </c>
      <c r="K536" s="11"/>
      <c r="L536" s="11"/>
      <c r="M536" s="101">
        <f>M483+M484+M485+M486+M487+M488+M489+M490+M491+M492+M493+M494+M495+M496+M497+M498+M499+M500+M501+M502+M504+M505+M506+M507+M508+M509+M510+M511+M512+M513+M514+M515+M516+M517+M518+M519+M520+M521+M522+M523+M525+M526+M527+M528+M529+M530+M531+M532+M533+M534</f>
        <v>0</v>
      </c>
      <c r="N536" s="101">
        <f>+SUM(N482:N535)</f>
        <v>0</v>
      </c>
      <c r="O536" s="11"/>
    </row>
    <row r="537" spans="1:15" x14ac:dyDescent="0.25">
      <c r="I537" s="3" t="b">
        <f>+SUM(I3:I481)=I536</f>
        <v>1</v>
      </c>
      <c r="J537" s="3" t="b">
        <f>+SUM(J3:J481)/2=J536</f>
        <v>1</v>
      </c>
      <c r="M537" s="3" t="b">
        <f>+SUM(M3:M481)=M536</f>
        <v>1</v>
      </c>
      <c r="N537" s="3" t="b">
        <f>+SUM(N3:N481)/2=N536</f>
        <v>1</v>
      </c>
    </row>
    <row r="540" spans="1:15" ht="15.75" thickBot="1" x14ac:dyDescent="0.3"/>
    <row r="541" spans="1:15" x14ac:dyDescent="0.25">
      <c r="D541" s="462"/>
      <c r="E541" s="463"/>
      <c r="F541" s="464"/>
      <c r="G541" s="465"/>
    </row>
    <row r="542" spans="1:15" x14ac:dyDescent="0.25">
      <c r="D542" s="466"/>
      <c r="E542" s="467" t="s">
        <v>2043</v>
      </c>
      <c r="F542" s="468"/>
      <c r="G542" s="469">
        <v>100000000</v>
      </c>
    </row>
    <row r="543" spans="1:15" x14ac:dyDescent="0.25">
      <c r="D543" s="466"/>
      <c r="E543" s="467" t="s">
        <v>2044</v>
      </c>
      <c r="F543" s="490">
        <v>30</v>
      </c>
      <c r="G543" s="470"/>
    </row>
    <row r="544" spans="1:15" x14ac:dyDescent="0.25">
      <c r="D544" s="466"/>
      <c r="E544" s="467" t="s">
        <v>2045</v>
      </c>
      <c r="F544" s="491">
        <v>12</v>
      </c>
      <c r="G544" s="471"/>
    </row>
    <row r="545" spans="4:7" x14ac:dyDescent="0.25">
      <c r="D545" s="466"/>
      <c r="E545" s="467"/>
      <c r="F545" s="468"/>
      <c r="G545" s="471"/>
    </row>
    <row r="546" spans="4:7" x14ac:dyDescent="0.25">
      <c r="D546" s="466"/>
      <c r="E546" s="472" t="s">
        <v>2046</v>
      </c>
      <c r="F546" s="473"/>
      <c r="G546" s="471"/>
    </row>
    <row r="547" spans="4:7" x14ac:dyDescent="0.25">
      <c r="D547" s="466"/>
      <c r="E547" s="467" t="s">
        <v>2043</v>
      </c>
      <c r="F547" s="474"/>
      <c r="G547" s="471">
        <f>+G542</f>
        <v>100000000</v>
      </c>
    </row>
    <row r="548" spans="4:7" x14ac:dyDescent="0.25">
      <c r="D548" s="466"/>
      <c r="E548" s="475" t="s">
        <v>2047</v>
      </c>
      <c r="F548" s="489">
        <v>0.1</v>
      </c>
      <c r="G548" s="476">
        <f>+G547*F548</f>
        <v>10000000</v>
      </c>
    </row>
    <row r="549" spans="4:7" x14ac:dyDescent="0.25">
      <c r="D549" s="466"/>
      <c r="E549" s="475" t="s">
        <v>2048</v>
      </c>
      <c r="F549" s="477">
        <v>6.0000000000000001E-3</v>
      </c>
      <c r="G549" s="478">
        <f>(F543+10+6)/12*F549*G548</f>
        <v>230000.00000000003</v>
      </c>
    </row>
    <row r="550" spans="4:7" x14ac:dyDescent="0.25">
      <c r="D550" s="466"/>
      <c r="E550" s="475" t="s">
        <v>2049</v>
      </c>
      <c r="F550" s="477">
        <v>6.0000000000000001E-3</v>
      </c>
      <c r="G550" s="478">
        <f>(F544+6)/12*F550*G548</f>
        <v>90000.000000000015</v>
      </c>
    </row>
    <row r="551" spans="4:7" ht="15.75" thickBot="1" x14ac:dyDescent="0.3">
      <c r="D551" s="466"/>
      <c r="E551" s="475" t="s">
        <v>2050</v>
      </c>
      <c r="F551" s="479"/>
      <c r="G551" s="480">
        <f>SUBTOTAL(9,G549:G550)</f>
        <v>320000.00000000006</v>
      </c>
    </row>
    <row r="552" spans="4:7" ht="15.75" thickTop="1" x14ac:dyDescent="0.25">
      <c r="D552" s="466"/>
      <c r="E552" s="475"/>
      <c r="F552" s="481"/>
      <c r="G552" s="482"/>
    </row>
    <row r="553" spans="4:7" x14ac:dyDescent="0.25">
      <c r="D553" s="466"/>
      <c r="E553" s="472" t="s">
        <v>2051</v>
      </c>
      <c r="F553" s="479"/>
      <c r="G553" s="476"/>
    </row>
    <row r="554" spans="4:7" x14ac:dyDescent="0.25">
      <c r="D554" s="466"/>
      <c r="E554" s="467" t="s">
        <v>2043</v>
      </c>
      <c r="F554" s="474"/>
      <c r="G554" s="471">
        <f>+G542</f>
        <v>100000000</v>
      </c>
    </row>
    <row r="555" spans="4:7" x14ac:dyDescent="0.25">
      <c r="D555" s="466"/>
      <c r="E555" s="475" t="s">
        <v>2047</v>
      </c>
      <c r="F555" s="474">
        <v>0.2</v>
      </c>
      <c r="G555" s="476">
        <f>+G554*F555</f>
        <v>20000000</v>
      </c>
    </row>
    <row r="556" spans="4:7" ht="15.75" thickBot="1" x14ac:dyDescent="0.3">
      <c r="D556" s="466"/>
      <c r="E556" s="475" t="s">
        <v>2052</v>
      </c>
      <c r="F556" s="477">
        <v>5.4999999999999997E-3</v>
      </c>
      <c r="G556" s="480">
        <f>+G555*F556</f>
        <v>110000</v>
      </c>
    </row>
    <row r="557" spans="4:7" ht="15.75" thickTop="1" x14ac:dyDescent="0.25">
      <c r="D557" s="466"/>
      <c r="E557" s="475"/>
      <c r="F557" s="481"/>
      <c r="G557" s="482"/>
    </row>
    <row r="558" spans="4:7" x14ac:dyDescent="0.25">
      <c r="D558" s="466"/>
      <c r="E558" s="472" t="s">
        <v>2053</v>
      </c>
      <c r="F558" s="479"/>
      <c r="G558" s="476"/>
    </row>
    <row r="559" spans="4:7" x14ac:dyDescent="0.25">
      <c r="D559" s="466"/>
      <c r="E559" s="467" t="s">
        <v>2043</v>
      </c>
      <c r="F559" s="474"/>
      <c r="G559" s="471">
        <f>+G542</f>
        <v>100000000</v>
      </c>
    </row>
    <row r="560" spans="4:7" x14ac:dyDescent="0.25">
      <c r="D560" s="466"/>
      <c r="E560" s="475" t="s">
        <v>2054</v>
      </c>
      <c r="F560" s="479">
        <v>0.1</v>
      </c>
      <c r="G560" s="476">
        <f>+G559*F560</f>
        <v>10000000</v>
      </c>
    </row>
    <row r="561" spans="4:7" x14ac:dyDescent="0.25">
      <c r="D561" s="466"/>
      <c r="E561" s="475" t="s">
        <v>2055</v>
      </c>
      <c r="F561" s="479">
        <v>0.05</v>
      </c>
      <c r="G561" s="476">
        <f>+G559*F561</f>
        <v>5000000</v>
      </c>
    </row>
    <row r="562" spans="4:7" x14ac:dyDescent="0.25">
      <c r="D562" s="466"/>
      <c r="E562" s="475" t="s">
        <v>2056</v>
      </c>
      <c r="F562" s="479"/>
      <c r="G562" s="476">
        <v>5000000</v>
      </c>
    </row>
    <row r="563" spans="4:7" x14ac:dyDescent="0.25">
      <c r="D563" s="466"/>
      <c r="E563" s="475" t="s">
        <v>2057</v>
      </c>
      <c r="F563" s="479">
        <v>0.09</v>
      </c>
      <c r="G563" s="476">
        <f>+G559*F563</f>
        <v>9000000</v>
      </c>
    </row>
    <row r="564" spans="4:7" x14ac:dyDescent="0.25">
      <c r="D564" s="466"/>
      <c r="E564" s="475" t="s">
        <v>2058</v>
      </c>
      <c r="F564" s="479"/>
      <c r="G564" s="476">
        <f>SUBTOTAL(9,G559:G563)</f>
        <v>129000000</v>
      </c>
    </row>
    <row r="565" spans="4:7" ht="15.75" thickBot="1" x14ac:dyDescent="0.3">
      <c r="D565" s="466"/>
      <c r="E565" s="475" t="s">
        <v>2052</v>
      </c>
      <c r="F565" s="483">
        <v>6.4999999999999997E-4</v>
      </c>
      <c r="G565" s="480">
        <f>+G564*F565</f>
        <v>83850</v>
      </c>
    </row>
    <row r="566" spans="4:7" ht="15.75" thickTop="1" x14ac:dyDescent="0.25">
      <c r="D566" s="466"/>
      <c r="E566" s="484"/>
      <c r="F566" s="481"/>
      <c r="G566" s="482"/>
    </row>
    <row r="567" spans="4:7" ht="15.75" thickBot="1" x14ac:dyDescent="0.3">
      <c r="D567" s="485"/>
      <c r="E567" s="486"/>
      <c r="F567" s="487"/>
      <c r="G567" s="488"/>
    </row>
  </sheetData>
  <mergeCells count="11">
    <mergeCell ref="A1:O1"/>
    <mergeCell ref="A2:O2"/>
    <mergeCell ref="A3:A4"/>
    <mergeCell ref="B3:B4"/>
    <mergeCell ref="C3:C4"/>
    <mergeCell ref="D3:D4"/>
    <mergeCell ref="E3:E4"/>
    <mergeCell ref="F3:F4"/>
    <mergeCell ref="G3:G4"/>
    <mergeCell ref="H3:K3"/>
    <mergeCell ref="L3:O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65"/>
  <sheetViews>
    <sheetView workbookViewId="0">
      <pane ySplit="6" topLeftCell="A7" activePane="bottomLeft" state="frozen"/>
      <selection pane="bottomLeft" activeCell="J6" sqref="J6"/>
    </sheetView>
  </sheetViews>
  <sheetFormatPr defaultColWidth="8.7109375" defaultRowHeight="15" outlineLevelRow="1" x14ac:dyDescent="0.25"/>
  <cols>
    <col min="1" max="1" width="11.85546875" style="15" customWidth="1"/>
    <col min="2" max="2" width="12.7109375" customWidth="1"/>
    <col min="3" max="3" width="6" customWidth="1"/>
    <col min="4" max="4" width="56" customWidth="1"/>
    <col min="5" max="5" width="7" customWidth="1"/>
    <col min="6" max="8" width="12" customWidth="1"/>
    <col min="9" max="9" width="11" customWidth="1"/>
    <col min="10" max="10" width="14" customWidth="1"/>
    <col min="11" max="11" width="16" customWidth="1"/>
    <col min="12" max="12" width="11" customWidth="1"/>
    <col min="13" max="13" width="14" customWidth="1"/>
    <col min="14" max="14" width="16" customWidth="1"/>
    <col min="15" max="15" width="14" customWidth="1"/>
    <col min="16" max="16" width="1.28515625" style="16" customWidth="1"/>
    <col min="17" max="17" width="10" customWidth="1"/>
    <col min="18" max="18" width="18" customWidth="1"/>
    <col min="19" max="19" width="13" customWidth="1"/>
  </cols>
  <sheetData>
    <row r="1" spans="1:20" ht="15" customHeight="1" x14ac:dyDescent="0.25">
      <c r="A1" s="15" t="s">
        <v>1001</v>
      </c>
      <c r="L1" t="s">
        <v>1002</v>
      </c>
      <c r="R1" t="s">
        <v>1003</v>
      </c>
    </row>
    <row r="2" spans="1:20" ht="15" customHeight="1" x14ac:dyDescent="0.25">
      <c r="R2" s="102" t="s">
        <v>1004</v>
      </c>
      <c r="S2" s="103">
        <v>0.2</v>
      </c>
    </row>
    <row r="3" spans="1:20" ht="15" customHeight="1" x14ac:dyDescent="0.25">
      <c r="A3" s="15" t="s">
        <v>1005</v>
      </c>
      <c r="R3" s="104" t="s">
        <v>1006</v>
      </c>
      <c r="S3" s="103">
        <v>0.1</v>
      </c>
      <c r="T3" t="s">
        <v>1007</v>
      </c>
    </row>
    <row r="4" spans="1:20" ht="15" customHeight="1" x14ac:dyDescent="0.25">
      <c r="A4" s="15" t="s">
        <v>616</v>
      </c>
      <c r="R4" s="105" t="s">
        <v>1008</v>
      </c>
    </row>
    <row r="6" spans="1:20" ht="31.5" customHeight="1" x14ac:dyDescent="0.25">
      <c r="A6" s="106" t="s">
        <v>618</v>
      </c>
      <c r="B6" s="107" t="s">
        <v>619</v>
      </c>
      <c r="C6" s="107" t="s">
        <v>620</v>
      </c>
      <c r="D6" s="106" t="s">
        <v>622</v>
      </c>
      <c r="E6" s="107" t="s">
        <v>623</v>
      </c>
      <c r="F6" s="108" t="s">
        <v>1009</v>
      </c>
      <c r="G6" s="108" t="s">
        <v>1010</v>
      </c>
      <c r="H6" s="108" t="s">
        <v>624</v>
      </c>
      <c r="I6" s="109" t="s">
        <v>1011</v>
      </c>
      <c r="J6" s="110" t="s">
        <v>1012</v>
      </c>
      <c r="K6" s="111" t="s">
        <v>1013</v>
      </c>
      <c r="L6" s="112" t="s">
        <v>1014</v>
      </c>
      <c r="M6" s="113" t="s">
        <v>1015</v>
      </c>
      <c r="N6" s="114" t="s">
        <v>1016</v>
      </c>
      <c r="O6" s="115" t="s">
        <v>630</v>
      </c>
      <c r="P6" s="116"/>
      <c r="Q6" s="117" t="s">
        <v>1017</v>
      </c>
      <c r="R6" s="118" t="s">
        <v>1018</v>
      </c>
      <c r="S6" s="118" t="s">
        <v>1018</v>
      </c>
    </row>
    <row r="7" spans="1:20" ht="15" customHeight="1" x14ac:dyDescent="0.25">
      <c r="A7" s="119" t="s">
        <v>1025</v>
      </c>
      <c r="B7" s="120" t="s">
        <v>1020</v>
      </c>
      <c r="C7" s="121"/>
      <c r="D7" s="226" t="s">
        <v>1834</v>
      </c>
      <c r="E7" s="121"/>
      <c r="F7" s="17"/>
      <c r="G7" s="17"/>
      <c r="H7" s="123">
        <f t="shared" ref="H7:H8" si="0">+SUM(F7:G7)</f>
        <v>0</v>
      </c>
      <c r="I7" s="18"/>
      <c r="J7" s="124">
        <f t="shared" ref="J7:J8" si="1">+ROUND(I7*H7,2)</f>
        <v>0</v>
      </c>
      <c r="K7" s="19"/>
      <c r="L7" s="20"/>
      <c r="M7" s="125">
        <f t="shared" ref="M7:M8" si="2">+ROUND(L7*H7,2)</f>
        <v>0</v>
      </c>
      <c r="N7" s="21"/>
      <c r="O7" s="126"/>
      <c r="P7" s="127"/>
      <c r="Q7" s="128" t="s">
        <v>1004</v>
      </c>
      <c r="R7" s="129">
        <f>+ROUND((K7)*(1+SUMIF($R$2:$R$4,Q7,$S$2:$S$4)),0)</f>
        <v>0</v>
      </c>
      <c r="S7" s="129">
        <f>+ROUND((N7)*(1+SUMIF($R$2:$R$4,Q7,$S$2:$S$4)),0)</f>
        <v>0</v>
      </c>
    </row>
    <row r="8" spans="1:20" ht="15" customHeight="1" x14ac:dyDescent="0.25">
      <c r="A8" s="119" t="s">
        <v>1025</v>
      </c>
      <c r="B8" s="120" t="str">
        <f t="shared" ref="B8" si="3">+B7</f>
        <v>Sec 2.1/1</v>
      </c>
      <c r="C8" s="121"/>
      <c r="D8" s="130"/>
      <c r="E8" s="121"/>
      <c r="F8" s="17"/>
      <c r="G8" s="17"/>
      <c r="H8" s="123">
        <f t="shared" si="0"/>
        <v>0</v>
      </c>
      <c r="I8" s="18"/>
      <c r="J8" s="124">
        <f t="shared" si="1"/>
        <v>0</v>
      </c>
      <c r="K8" s="19"/>
      <c r="L8" s="20"/>
      <c r="M8" s="125">
        <f t="shared" si="2"/>
        <v>0</v>
      </c>
      <c r="N8" s="21"/>
      <c r="O8" s="126"/>
      <c r="P8" s="127"/>
      <c r="Q8" s="128" t="s">
        <v>1004</v>
      </c>
      <c r="R8" s="129">
        <f t="shared" ref="R8:R30" si="4">+ROUND((K8)*(1+SUMIF($R$2:$R$4,Q8,$S$2:$S$4)),0)</f>
        <v>0</v>
      </c>
      <c r="S8" s="129">
        <f t="shared" ref="S8:S30" si="5">+ROUND((N8)*(1+SUMIF($R$2:$R$4,Q8,$S$2:$S$4)),0)</f>
        <v>0</v>
      </c>
    </row>
    <row r="9" spans="1:20" ht="15" customHeight="1" x14ac:dyDescent="0.25">
      <c r="A9" s="119" t="s">
        <v>1025</v>
      </c>
      <c r="B9" s="120" t="str">
        <f>+B8</f>
        <v>Sec 2.1/1</v>
      </c>
      <c r="C9" s="121">
        <v>1</v>
      </c>
      <c r="D9" s="122" t="s">
        <v>1026</v>
      </c>
      <c r="E9" s="121"/>
      <c r="F9" s="17"/>
      <c r="G9" s="17"/>
      <c r="H9" s="123">
        <f t="shared" ref="H9:H30" si="6">+SUM(F9:G9)</f>
        <v>0</v>
      </c>
      <c r="I9" s="18"/>
      <c r="J9" s="124">
        <f t="shared" ref="J9:J30" si="7">+ROUND(I9*H9,2)</f>
        <v>0</v>
      </c>
      <c r="K9" s="19"/>
      <c r="L9" s="20"/>
      <c r="M9" s="125">
        <f t="shared" ref="M9:M30" si="8">+ROUND(L9*H9,2)</f>
        <v>0</v>
      </c>
      <c r="N9" s="21"/>
      <c r="O9" s="126"/>
      <c r="P9" s="127"/>
      <c r="Q9" s="128" t="s">
        <v>1004</v>
      </c>
      <c r="R9" s="129">
        <f t="shared" si="4"/>
        <v>0</v>
      </c>
      <c r="S9" s="129">
        <f t="shared" si="5"/>
        <v>0</v>
      </c>
    </row>
    <row r="10" spans="1:20" ht="15" hidden="1" customHeight="1" outlineLevel="1" x14ac:dyDescent="0.25">
      <c r="A10" s="119" t="s">
        <v>1025</v>
      </c>
      <c r="B10" s="120" t="str">
        <f t="shared" ref="B10:B31" si="9">+B9</f>
        <v>Sec 2.1/1</v>
      </c>
      <c r="C10" s="121"/>
      <c r="D10" s="130"/>
      <c r="E10" s="121"/>
      <c r="F10" s="17"/>
      <c r="G10" s="17"/>
      <c r="H10" s="123">
        <f t="shared" si="6"/>
        <v>0</v>
      </c>
      <c r="I10" s="18"/>
      <c r="J10" s="124">
        <f t="shared" si="7"/>
        <v>0</v>
      </c>
      <c r="K10" s="19"/>
      <c r="L10" s="20"/>
      <c r="M10" s="125">
        <f t="shared" si="8"/>
        <v>0</v>
      </c>
      <c r="N10" s="21"/>
      <c r="O10" s="126"/>
      <c r="P10" s="127"/>
      <c r="Q10" s="128" t="s">
        <v>1004</v>
      </c>
      <c r="R10" s="129">
        <f t="shared" si="4"/>
        <v>0</v>
      </c>
      <c r="S10" s="129">
        <f t="shared" si="5"/>
        <v>0</v>
      </c>
    </row>
    <row r="11" spans="1:20" ht="15" hidden="1" customHeight="1" outlineLevel="1" x14ac:dyDescent="0.25">
      <c r="A11" s="119" t="s">
        <v>1025</v>
      </c>
      <c r="B11" s="120" t="str">
        <f t="shared" si="9"/>
        <v>Sec 2.1/1</v>
      </c>
      <c r="C11" s="121">
        <v>1.1000000000000001</v>
      </c>
      <c r="D11" s="227" t="s">
        <v>1027</v>
      </c>
      <c r="E11" s="121"/>
      <c r="F11" s="17"/>
      <c r="G11" s="17"/>
      <c r="H11" s="123">
        <f t="shared" si="6"/>
        <v>0</v>
      </c>
      <c r="I11" s="18"/>
      <c r="J11" s="124">
        <f t="shared" si="7"/>
        <v>0</v>
      </c>
      <c r="K11" s="19"/>
      <c r="L11" s="20"/>
      <c r="M11" s="125">
        <f t="shared" si="8"/>
        <v>0</v>
      </c>
      <c r="N11" s="21"/>
      <c r="O11" s="126"/>
      <c r="P11" s="127"/>
      <c r="Q11" s="128" t="s">
        <v>1004</v>
      </c>
      <c r="R11" s="129">
        <f t="shared" si="4"/>
        <v>0</v>
      </c>
      <c r="S11" s="129">
        <f t="shared" si="5"/>
        <v>0</v>
      </c>
    </row>
    <row r="12" spans="1:20" ht="15" hidden="1" customHeight="1" outlineLevel="1" x14ac:dyDescent="0.25">
      <c r="A12" s="119" t="s">
        <v>1025</v>
      </c>
      <c r="B12" s="120" t="str">
        <f t="shared" si="9"/>
        <v>Sec 2.1/1</v>
      </c>
      <c r="C12" s="121"/>
      <c r="D12" s="130"/>
      <c r="E12" s="121"/>
      <c r="F12" s="17"/>
      <c r="G12" s="17"/>
      <c r="H12" s="123">
        <f t="shared" si="6"/>
        <v>0</v>
      </c>
      <c r="I12" s="18"/>
      <c r="J12" s="124">
        <f t="shared" si="7"/>
        <v>0</v>
      </c>
      <c r="K12" s="19"/>
      <c r="L12" s="20"/>
      <c r="M12" s="125">
        <f t="shared" si="8"/>
        <v>0</v>
      </c>
      <c r="N12" s="21"/>
      <c r="O12" s="126"/>
      <c r="P12" s="127"/>
      <c r="Q12" s="128" t="s">
        <v>1004</v>
      </c>
      <c r="R12" s="129">
        <f t="shared" si="4"/>
        <v>0</v>
      </c>
      <c r="S12" s="129">
        <f t="shared" si="5"/>
        <v>0</v>
      </c>
    </row>
    <row r="13" spans="1:20" ht="36" hidden="1" customHeight="1" outlineLevel="1" x14ac:dyDescent="0.25">
      <c r="A13" s="119" t="s">
        <v>1025</v>
      </c>
      <c r="B13" s="120" t="str">
        <f t="shared" si="9"/>
        <v>Sec 2.1/1</v>
      </c>
      <c r="C13" s="121" t="s">
        <v>1028</v>
      </c>
      <c r="D13" s="227" t="s">
        <v>1835</v>
      </c>
      <c r="E13" s="228">
        <v>0.15</v>
      </c>
      <c r="F13" s="131"/>
      <c r="G13" s="131">
        <v>0</v>
      </c>
      <c r="H13" s="123">
        <f t="shared" si="6"/>
        <v>0</v>
      </c>
      <c r="I13" s="132"/>
      <c r="J13" s="124">
        <f t="shared" si="7"/>
        <v>0</v>
      </c>
      <c r="K13" s="133">
        <f>SUM(J13:J13)</f>
        <v>0</v>
      </c>
      <c r="L13" s="134"/>
      <c r="M13" s="125">
        <f t="shared" si="8"/>
        <v>0</v>
      </c>
      <c r="N13" s="135">
        <f>SUM(M13:M13)</f>
        <v>0</v>
      </c>
      <c r="O13" s="126"/>
      <c r="P13" s="127"/>
      <c r="Q13" s="128" t="s">
        <v>1004</v>
      </c>
      <c r="R13" s="129">
        <f t="shared" si="4"/>
        <v>0</v>
      </c>
      <c r="S13" s="129">
        <f t="shared" si="5"/>
        <v>0</v>
      </c>
    </row>
    <row r="14" spans="1:20" ht="15" hidden="1" customHeight="1" outlineLevel="1" x14ac:dyDescent="0.25">
      <c r="A14" s="119" t="s">
        <v>1025</v>
      </c>
      <c r="B14" s="120" t="str">
        <f t="shared" si="9"/>
        <v>Sec 2.1/1</v>
      </c>
      <c r="C14" s="121"/>
      <c r="D14" s="130"/>
      <c r="E14" s="121"/>
      <c r="F14" s="17"/>
      <c r="G14" s="17"/>
      <c r="H14" s="123">
        <f t="shared" si="6"/>
        <v>0</v>
      </c>
      <c r="I14" s="18"/>
      <c r="J14" s="124">
        <f t="shared" si="7"/>
        <v>0</v>
      </c>
      <c r="K14" s="19"/>
      <c r="L14" s="20"/>
      <c r="M14" s="125">
        <f t="shared" si="8"/>
        <v>0</v>
      </c>
      <c r="N14" s="21"/>
      <c r="O14" s="126"/>
      <c r="P14" s="127"/>
      <c r="Q14" s="128" t="s">
        <v>1004</v>
      </c>
      <c r="R14" s="129">
        <f t="shared" si="4"/>
        <v>0</v>
      </c>
      <c r="S14" s="129">
        <f t="shared" si="5"/>
        <v>0</v>
      </c>
    </row>
    <row r="15" spans="1:20" ht="24" hidden="1" customHeight="1" outlineLevel="1" x14ac:dyDescent="0.25">
      <c r="A15" s="119" t="s">
        <v>1025</v>
      </c>
      <c r="B15" s="120" t="str">
        <f t="shared" si="9"/>
        <v>Sec 2.1/1</v>
      </c>
      <c r="C15" s="121" t="s">
        <v>1030</v>
      </c>
      <c r="D15" s="130" t="s">
        <v>1836</v>
      </c>
      <c r="E15" s="228">
        <v>0.1</v>
      </c>
      <c r="F15" s="131"/>
      <c r="G15" s="131">
        <v>0</v>
      </c>
      <c r="H15" s="123">
        <f t="shared" si="6"/>
        <v>0</v>
      </c>
      <c r="I15" s="132"/>
      <c r="J15" s="124">
        <f t="shared" si="7"/>
        <v>0</v>
      </c>
      <c r="K15" s="133">
        <f>SUM(J15:J15)</f>
        <v>0</v>
      </c>
      <c r="L15" s="134"/>
      <c r="M15" s="125">
        <f t="shared" si="8"/>
        <v>0</v>
      </c>
      <c r="N15" s="135">
        <f>SUM(M15:M15)</f>
        <v>0</v>
      </c>
      <c r="O15" s="126"/>
      <c r="P15" s="127"/>
      <c r="Q15" s="128" t="s">
        <v>1004</v>
      </c>
      <c r="R15" s="129">
        <f t="shared" si="4"/>
        <v>0</v>
      </c>
      <c r="S15" s="129">
        <f t="shared" si="5"/>
        <v>0</v>
      </c>
    </row>
    <row r="16" spans="1:20" ht="15" hidden="1" customHeight="1" outlineLevel="1" x14ac:dyDescent="0.25">
      <c r="A16" s="119" t="s">
        <v>1025</v>
      </c>
      <c r="B16" s="120" t="str">
        <f t="shared" si="9"/>
        <v>Sec 2.1/1</v>
      </c>
      <c r="C16" s="121"/>
      <c r="D16" s="130"/>
      <c r="E16" s="121"/>
      <c r="F16" s="17"/>
      <c r="G16" s="17"/>
      <c r="H16" s="123">
        <f t="shared" si="6"/>
        <v>0</v>
      </c>
      <c r="I16" s="18"/>
      <c r="J16" s="124">
        <f t="shared" si="7"/>
        <v>0</v>
      </c>
      <c r="K16" s="19"/>
      <c r="L16" s="20"/>
      <c r="M16" s="125">
        <f t="shared" si="8"/>
        <v>0</v>
      </c>
      <c r="N16" s="21"/>
      <c r="O16" s="126"/>
      <c r="P16" s="127"/>
      <c r="Q16" s="128" t="s">
        <v>1004</v>
      </c>
      <c r="R16" s="129">
        <f t="shared" si="4"/>
        <v>0</v>
      </c>
      <c r="S16" s="129">
        <f t="shared" si="5"/>
        <v>0</v>
      </c>
    </row>
    <row r="17" spans="1:19" ht="24" hidden="1" customHeight="1" outlineLevel="1" x14ac:dyDescent="0.25">
      <c r="A17" s="119" t="s">
        <v>1025</v>
      </c>
      <c r="B17" s="120" t="str">
        <f t="shared" si="9"/>
        <v>Sec 2.1/1</v>
      </c>
      <c r="C17" s="121" t="s">
        <v>1031</v>
      </c>
      <c r="D17" s="130" t="s">
        <v>1837</v>
      </c>
      <c r="E17" s="228">
        <v>0.05</v>
      </c>
      <c r="F17" s="131"/>
      <c r="G17" s="131">
        <v>0</v>
      </c>
      <c r="H17" s="123">
        <f t="shared" si="6"/>
        <v>0</v>
      </c>
      <c r="I17" s="132"/>
      <c r="J17" s="124">
        <f t="shared" si="7"/>
        <v>0</v>
      </c>
      <c r="K17" s="133">
        <f>SUM(J17:J17)</f>
        <v>0</v>
      </c>
      <c r="L17" s="134"/>
      <c r="M17" s="125">
        <f t="shared" si="8"/>
        <v>0</v>
      </c>
      <c r="N17" s="135">
        <f>SUM(M17:M17)</f>
        <v>0</v>
      </c>
      <c r="O17" s="126"/>
      <c r="P17" s="127"/>
      <c r="Q17" s="128" t="s">
        <v>1004</v>
      </c>
      <c r="R17" s="129">
        <f t="shared" si="4"/>
        <v>0</v>
      </c>
      <c r="S17" s="129">
        <f t="shared" si="5"/>
        <v>0</v>
      </c>
    </row>
    <row r="18" spans="1:19" ht="15" hidden="1" customHeight="1" outlineLevel="1" x14ac:dyDescent="0.25">
      <c r="A18" s="119" t="s">
        <v>1025</v>
      </c>
      <c r="B18" s="120" t="str">
        <f t="shared" si="9"/>
        <v>Sec 2.1/1</v>
      </c>
      <c r="C18" s="121"/>
      <c r="D18" s="130"/>
      <c r="E18" s="121"/>
      <c r="F18" s="17"/>
      <c r="G18" s="17"/>
      <c r="H18" s="123">
        <f t="shared" si="6"/>
        <v>0</v>
      </c>
      <c r="I18" s="18"/>
      <c r="J18" s="124">
        <f t="shared" si="7"/>
        <v>0</v>
      </c>
      <c r="K18" s="19"/>
      <c r="L18" s="20"/>
      <c r="M18" s="125">
        <f t="shared" si="8"/>
        <v>0</v>
      </c>
      <c r="N18" s="21"/>
      <c r="O18" s="126"/>
      <c r="P18" s="127"/>
      <c r="Q18" s="128" t="s">
        <v>1004</v>
      </c>
      <c r="R18" s="129">
        <f t="shared" si="4"/>
        <v>0</v>
      </c>
      <c r="S18" s="129">
        <f t="shared" si="5"/>
        <v>0</v>
      </c>
    </row>
    <row r="19" spans="1:19" ht="15" hidden="1" customHeight="1" outlineLevel="1" x14ac:dyDescent="0.25">
      <c r="A19" s="119" t="s">
        <v>1025</v>
      </c>
      <c r="B19" s="120" t="str">
        <f t="shared" si="9"/>
        <v>Sec 2.1/1</v>
      </c>
      <c r="C19" s="121">
        <v>1.2</v>
      </c>
      <c r="D19" s="227" t="s">
        <v>1838</v>
      </c>
      <c r="E19" s="121"/>
      <c r="F19" s="17"/>
      <c r="G19" s="17"/>
      <c r="H19" s="123">
        <f t="shared" si="6"/>
        <v>0</v>
      </c>
      <c r="I19" s="18"/>
      <c r="J19" s="124">
        <f t="shared" si="7"/>
        <v>0</v>
      </c>
      <c r="K19" s="19"/>
      <c r="L19" s="20"/>
      <c r="M19" s="125">
        <f t="shared" si="8"/>
        <v>0</v>
      </c>
      <c r="N19" s="21"/>
      <c r="O19" s="126"/>
      <c r="P19" s="127"/>
      <c r="Q19" s="128" t="s">
        <v>1004</v>
      </c>
      <c r="R19" s="129">
        <f t="shared" si="4"/>
        <v>0</v>
      </c>
      <c r="S19" s="129">
        <f t="shared" si="5"/>
        <v>0</v>
      </c>
    </row>
    <row r="20" spans="1:19" ht="15" hidden="1" customHeight="1" outlineLevel="1" x14ac:dyDescent="0.25">
      <c r="A20" s="119" t="s">
        <v>1025</v>
      </c>
      <c r="B20" s="120" t="str">
        <f t="shared" si="9"/>
        <v>Sec 2.1/1</v>
      </c>
      <c r="C20" s="121"/>
      <c r="D20" s="130"/>
      <c r="E20" s="121"/>
      <c r="F20" s="17"/>
      <c r="G20" s="17"/>
      <c r="H20" s="123">
        <f t="shared" si="6"/>
        <v>0</v>
      </c>
      <c r="I20" s="18"/>
      <c r="J20" s="124">
        <f t="shared" si="7"/>
        <v>0</v>
      </c>
      <c r="K20" s="19"/>
      <c r="L20" s="20"/>
      <c r="M20" s="125">
        <f t="shared" si="8"/>
        <v>0</v>
      </c>
      <c r="N20" s="21"/>
      <c r="O20" s="126"/>
      <c r="P20" s="127"/>
      <c r="Q20" s="128" t="s">
        <v>1004</v>
      </c>
      <c r="R20" s="129">
        <f t="shared" si="4"/>
        <v>0</v>
      </c>
      <c r="S20" s="129">
        <f t="shared" si="5"/>
        <v>0</v>
      </c>
    </row>
    <row r="21" spans="1:19" ht="24" hidden="1" customHeight="1" outlineLevel="1" x14ac:dyDescent="0.25">
      <c r="A21" s="119" t="s">
        <v>1025</v>
      </c>
      <c r="B21" s="120" t="str">
        <f t="shared" si="9"/>
        <v>Sec 2.1/1</v>
      </c>
      <c r="C21" s="229" t="s">
        <v>1028</v>
      </c>
      <c r="D21" s="227" t="s">
        <v>1839</v>
      </c>
      <c r="E21" s="228">
        <v>0.5</v>
      </c>
      <c r="F21" s="131"/>
      <c r="G21" s="131">
        <v>0</v>
      </c>
      <c r="H21" s="123">
        <f t="shared" si="6"/>
        <v>0</v>
      </c>
      <c r="I21" s="132"/>
      <c r="J21" s="124">
        <f t="shared" si="7"/>
        <v>0</v>
      </c>
      <c r="K21" s="133">
        <f>SUM(J21:J21)</f>
        <v>0</v>
      </c>
      <c r="L21" s="134"/>
      <c r="M21" s="125">
        <f t="shared" si="8"/>
        <v>0</v>
      </c>
      <c r="N21" s="135">
        <f>SUM(M21:M21)</f>
        <v>0</v>
      </c>
      <c r="O21" s="126"/>
      <c r="P21" s="127"/>
      <c r="Q21" s="128" t="s">
        <v>1004</v>
      </c>
      <c r="R21" s="129">
        <f t="shared" si="4"/>
        <v>0</v>
      </c>
      <c r="S21" s="129">
        <f t="shared" si="5"/>
        <v>0</v>
      </c>
    </row>
    <row r="22" spans="1:19" ht="15" hidden="1" customHeight="1" outlineLevel="1" x14ac:dyDescent="0.25">
      <c r="A22" s="119" t="s">
        <v>1025</v>
      </c>
      <c r="B22" s="120" t="str">
        <f t="shared" si="9"/>
        <v>Sec 2.1/1</v>
      </c>
      <c r="C22" s="121"/>
      <c r="D22" s="130"/>
      <c r="E22" s="121"/>
      <c r="F22" s="17"/>
      <c r="G22" s="17"/>
      <c r="H22" s="123">
        <f t="shared" si="6"/>
        <v>0</v>
      </c>
      <c r="I22" s="18"/>
      <c r="J22" s="124">
        <f t="shared" si="7"/>
        <v>0</v>
      </c>
      <c r="K22" s="19"/>
      <c r="L22" s="20"/>
      <c r="M22" s="125">
        <f t="shared" si="8"/>
        <v>0</v>
      </c>
      <c r="N22" s="21"/>
      <c r="O22" s="126"/>
      <c r="P22" s="127"/>
      <c r="Q22" s="128" t="s">
        <v>1004</v>
      </c>
      <c r="R22" s="129">
        <f t="shared" si="4"/>
        <v>0</v>
      </c>
      <c r="S22" s="129">
        <f t="shared" si="5"/>
        <v>0</v>
      </c>
    </row>
    <row r="23" spans="1:19" ht="15" hidden="1" customHeight="1" outlineLevel="1" x14ac:dyDescent="0.25">
      <c r="A23" s="119" t="s">
        <v>1025</v>
      </c>
      <c r="B23" s="120" t="str">
        <f t="shared" si="9"/>
        <v>Sec 2.1/1</v>
      </c>
      <c r="C23" s="121">
        <v>1.3</v>
      </c>
      <c r="D23" s="227" t="s">
        <v>1840</v>
      </c>
      <c r="E23" s="121"/>
      <c r="F23" s="17"/>
      <c r="G23" s="17"/>
      <c r="H23" s="123">
        <f t="shared" si="6"/>
        <v>0</v>
      </c>
      <c r="I23" s="18"/>
      <c r="J23" s="124">
        <f t="shared" si="7"/>
        <v>0</v>
      </c>
      <c r="K23" s="19"/>
      <c r="L23" s="20"/>
      <c r="M23" s="125">
        <f t="shared" si="8"/>
        <v>0</v>
      </c>
      <c r="N23" s="21"/>
      <c r="O23" s="126"/>
      <c r="P23" s="127"/>
      <c r="Q23" s="128" t="s">
        <v>1004</v>
      </c>
      <c r="R23" s="129">
        <f t="shared" si="4"/>
        <v>0</v>
      </c>
      <c r="S23" s="129">
        <f t="shared" si="5"/>
        <v>0</v>
      </c>
    </row>
    <row r="24" spans="1:19" ht="15" hidden="1" customHeight="1" outlineLevel="1" x14ac:dyDescent="0.25">
      <c r="A24" s="119" t="s">
        <v>1025</v>
      </c>
      <c r="B24" s="120" t="str">
        <f t="shared" si="9"/>
        <v>Sec 2.1/1</v>
      </c>
      <c r="C24" s="121"/>
      <c r="D24" s="130"/>
      <c r="E24" s="121"/>
      <c r="F24" s="17"/>
      <c r="G24" s="17"/>
      <c r="H24" s="123">
        <f t="shared" si="6"/>
        <v>0</v>
      </c>
      <c r="I24" s="18"/>
      <c r="J24" s="124">
        <f t="shared" si="7"/>
        <v>0</v>
      </c>
      <c r="K24" s="19"/>
      <c r="L24" s="20"/>
      <c r="M24" s="125">
        <f t="shared" si="8"/>
        <v>0</v>
      </c>
      <c r="N24" s="21"/>
      <c r="O24" s="126"/>
      <c r="P24" s="127"/>
      <c r="Q24" s="128" t="s">
        <v>1004</v>
      </c>
      <c r="R24" s="129">
        <f t="shared" si="4"/>
        <v>0</v>
      </c>
      <c r="S24" s="129">
        <f t="shared" si="5"/>
        <v>0</v>
      </c>
    </row>
    <row r="25" spans="1:19" ht="24" hidden="1" customHeight="1" outlineLevel="1" x14ac:dyDescent="0.25">
      <c r="A25" s="119" t="s">
        <v>1025</v>
      </c>
      <c r="B25" s="120" t="str">
        <f t="shared" si="9"/>
        <v>Sec 2.1/1</v>
      </c>
      <c r="C25" s="229" t="s">
        <v>1028</v>
      </c>
      <c r="D25" s="227" t="s">
        <v>1841</v>
      </c>
      <c r="E25" s="228">
        <v>0.1</v>
      </c>
      <c r="F25" s="131"/>
      <c r="G25" s="131">
        <v>0</v>
      </c>
      <c r="H25" s="123">
        <f t="shared" si="6"/>
        <v>0</v>
      </c>
      <c r="I25" s="132"/>
      <c r="J25" s="124">
        <f t="shared" si="7"/>
        <v>0</v>
      </c>
      <c r="K25" s="133">
        <f>SUM(J25:J25)</f>
        <v>0</v>
      </c>
      <c r="L25" s="134"/>
      <c r="M25" s="125">
        <f t="shared" si="8"/>
        <v>0</v>
      </c>
      <c r="N25" s="135">
        <f>SUM(M25:M25)</f>
        <v>0</v>
      </c>
      <c r="O25" s="126"/>
      <c r="P25" s="127"/>
      <c r="Q25" s="128" t="s">
        <v>1004</v>
      </c>
      <c r="R25" s="129">
        <f t="shared" si="4"/>
        <v>0</v>
      </c>
      <c r="S25" s="129">
        <f t="shared" si="5"/>
        <v>0</v>
      </c>
    </row>
    <row r="26" spans="1:19" ht="15" hidden="1" customHeight="1" outlineLevel="1" x14ac:dyDescent="0.25">
      <c r="A26" s="119" t="s">
        <v>1025</v>
      </c>
      <c r="B26" s="120" t="str">
        <f t="shared" si="9"/>
        <v>Sec 2.1/1</v>
      </c>
      <c r="C26" s="121"/>
      <c r="D26" s="130"/>
      <c r="E26" s="121"/>
      <c r="F26" s="17"/>
      <c r="G26" s="17"/>
      <c r="H26" s="123">
        <f t="shared" si="6"/>
        <v>0</v>
      </c>
      <c r="I26" s="18"/>
      <c r="J26" s="124">
        <f t="shared" si="7"/>
        <v>0</v>
      </c>
      <c r="K26" s="19"/>
      <c r="L26" s="20"/>
      <c r="M26" s="125">
        <f t="shared" si="8"/>
        <v>0</v>
      </c>
      <c r="N26" s="21"/>
      <c r="O26" s="126"/>
      <c r="P26" s="127"/>
      <c r="Q26" s="128" t="s">
        <v>1004</v>
      </c>
      <c r="R26" s="129">
        <f t="shared" si="4"/>
        <v>0</v>
      </c>
      <c r="S26" s="129">
        <f t="shared" si="5"/>
        <v>0</v>
      </c>
    </row>
    <row r="27" spans="1:19" ht="24" hidden="1" customHeight="1" outlineLevel="1" x14ac:dyDescent="0.25">
      <c r="A27" s="119" t="s">
        <v>1025</v>
      </c>
      <c r="B27" s="120" t="str">
        <f t="shared" si="9"/>
        <v>Sec 2.1/1</v>
      </c>
      <c r="C27" s="229" t="s">
        <v>1030</v>
      </c>
      <c r="D27" s="227" t="s">
        <v>1842</v>
      </c>
      <c r="E27" s="228">
        <v>0.05</v>
      </c>
      <c r="F27" s="131"/>
      <c r="G27" s="131">
        <v>0</v>
      </c>
      <c r="H27" s="123">
        <f t="shared" si="6"/>
        <v>0</v>
      </c>
      <c r="I27" s="132"/>
      <c r="J27" s="124">
        <f t="shared" si="7"/>
        <v>0</v>
      </c>
      <c r="K27" s="133">
        <f>SUM(J27:J27)</f>
        <v>0</v>
      </c>
      <c r="L27" s="134"/>
      <c r="M27" s="125">
        <f t="shared" si="8"/>
        <v>0</v>
      </c>
      <c r="N27" s="135">
        <f>SUM(M27:M27)</f>
        <v>0</v>
      </c>
      <c r="O27" s="126"/>
      <c r="P27" s="127"/>
      <c r="Q27" s="128" t="s">
        <v>1004</v>
      </c>
      <c r="R27" s="129">
        <f t="shared" si="4"/>
        <v>0</v>
      </c>
      <c r="S27" s="129">
        <f t="shared" si="5"/>
        <v>0</v>
      </c>
    </row>
    <row r="28" spans="1:19" ht="15" hidden="1" customHeight="1" outlineLevel="1" x14ac:dyDescent="0.25">
      <c r="A28" s="119" t="s">
        <v>1025</v>
      </c>
      <c r="B28" s="120" t="str">
        <f t="shared" si="9"/>
        <v>Sec 2.1/1</v>
      </c>
      <c r="C28" s="121"/>
      <c r="D28" s="130"/>
      <c r="E28" s="121"/>
      <c r="F28" s="17"/>
      <c r="G28" s="17"/>
      <c r="H28" s="123">
        <f t="shared" si="6"/>
        <v>0</v>
      </c>
      <c r="I28" s="18"/>
      <c r="J28" s="124">
        <f t="shared" si="7"/>
        <v>0</v>
      </c>
      <c r="K28" s="19"/>
      <c r="L28" s="20"/>
      <c r="M28" s="125">
        <f t="shared" si="8"/>
        <v>0</v>
      </c>
      <c r="N28" s="21"/>
      <c r="O28" s="126"/>
      <c r="P28" s="127"/>
      <c r="Q28" s="128" t="s">
        <v>1004</v>
      </c>
      <c r="R28" s="129">
        <f t="shared" si="4"/>
        <v>0</v>
      </c>
      <c r="S28" s="129">
        <f t="shared" si="5"/>
        <v>0</v>
      </c>
    </row>
    <row r="29" spans="1:19" ht="24" hidden="1" customHeight="1" outlineLevel="1" x14ac:dyDescent="0.25">
      <c r="A29" s="119" t="s">
        <v>1025</v>
      </c>
      <c r="B29" s="120" t="str">
        <f t="shared" si="9"/>
        <v>Sec 2.1/1</v>
      </c>
      <c r="C29" s="229" t="s">
        <v>1031</v>
      </c>
      <c r="D29" s="227" t="s">
        <v>1843</v>
      </c>
      <c r="E29" s="228">
        <v>0.05</v>
      </c>
      <c r="F29" s="131"/>
      <c r="G29" s="131">
        <v>0</v>
      </c>
      <c r="H29" s="123">
        <f t="shared" si="6"/>
        <v>0</v>
      </c>
      <c r="I29" s="132"/>
      <c r="J29" s="124">
        <f t="shared" si="7"/>
        <v>0</v>
      </c>
      <c r="K29" s="133">
        <f>SUM(J29:J29)</f>
        <v>0</v>
      </c>
      <c r="L29" s="134"/>
      <c r="M29" s="125">
        <f t="shared" si="8"/>
        <v>0</v>
      </c>
      <c r="N29" s="135">
        <f>SUM(M29:M29)</f>
        <v>0</v>
      </c>
      <c r="O29" s="126"/>
      <c r="P29" s="127"/>
      <c r="Q29" s="128" t="s">
        <v>1004</v>
      </c>
      <c r="R29" s="129">
        <f t="shared" si="4"/>
        <v>0</v>
      </c>
      <c r="S29" s="129">
        <f t="shared" si="5"/>
        <v>0</v>
      </c>
    </row>
    <row r="30" spans="1:19" ht="15" hidden="1" customHeight="1" outlineLevel="1" x14ac:dyDescent="0.25">
      <c r="A30" s="119" t="s">
        <v>1025</v>
      </c>
      <c r="B30" s="120" t="str">
        <f t="shared" si="9"/>
        <v>Sec 2.1/1</v>
      </c>
      <c r="C30" s="121"/>
      <c r="D30" s="130"/>
      <c r="E30" s="121"/>
      <c r="F30" s="17"/>
      <c r="G30" s="17"/>
      <c r="H30" s="123">
        <f t="shared" si="6"/>
        <v>0</v>
      </c>
      <c r="I30" s="18"/>
      <c r="J30" s="124">
        <f t="shared" si="7"/>
        <v>0</v>
      </c>
      <c r="K30" s="19"/>
      <c r="L30" s="20"/>
      <c r="M30" s="125">
        <f t="shared" si="8"/>
        <v>0</v>
      </c>
      <c r="N30" s="21"/>
      <c r="O30" s="126"/>
      <c r="P30" s="127"/>
      <c r="Q30" s="128" t="s">
        <v>1004</v>
      </c>
      <c r="R30" s="129">
        <f t="shared" si="4"/>
        <v>0</v>
      </c>
      <c r="S30" s="129">
        <f t="shared" si="5"/>
        <v>0</v>
      </c>
    </row>
    <row r="31" spans="1:19" ht="15" customHeight="1" collapsed="1" x14ac:dyDescent="0.25">
      <c r="A31" s="231" t="s">
        <v>1022</v>
      </c>
      <c r="B31" s="232" t="str">
        <f t="shared" si="9"/>
        <v>Sec 2.1/1</v>
      </c>
      <c r="C31" s="233"/>
      <c r="D31" s="233" t="s">
        <v>1023</v>
      </c>
      <c r="E31" s="233"/>
      <c r="F31" s="233"/>
      <c r="G31" s="233"/>
      <c r="H31" s="233"/>
      <c r="I31" s="233"/>
      <c r="J31" s="233"/>
      <c r="K31" s="234">
        <f>SUM(K8:K30)</f>
        <v>0</v>
      </c>
      <c r="L31" s="233"/>
      <c r="M31" s="233"/>
      <c r="N31" s="234">
        <f>SUM(N7:N30)</f>
        <v>0</v>
      </c>
      <c r="O31" s="233"/>
      <c r="P31" s="235"/>
      <c r="Q31" s="233"/>
      <c r="R31" s="234">
        <f>SUM(R7:R30)</f>
        <v>0</v>
      </c>
      <c r="S31" s="234">
        <f>SUM(S7:S30)</f>
        <v>0</v>
      </c>
    </row>
    <row r="32" spans="1:19" ht="15" customHeight="1" x14ac:dyDescent="0.25">
      <c r="A32" s="119" t="s">
        <v>1037</v>
      </c>
      <c r="B32" s="230" t="s">
        <v>1844</v>
      </c>
      <c r="C32" s="121"/>
      <c r="D32" s="122"/>
      <c r="E32" s="121"/>
      <c r="F32" s="17"/>
      <c r="G32" s="17"/>
      <c r="H32" s="123">
        <f t="shared" ref="H32" si="10">+SUM(F32:G32)</f>
        <v>0</v>
      </c>
      <c r="I32" s="18"/>
      <c r="J32" s="124">
        <f t="shared" ref="J32" si="11">+ROUND(I32*H32,2)</f>
        <v>0</v>
      </c>
      <c r="K32" s="19"/>
      <c r="L32" s="20"/>
      <c r="M32" s="125">
        <f t="shared" ref="M32" si="12">+ROUND(L32*H32,2)</f>
        <v>0</v>
      </c>
      <c r="N32" s="21"/>
      <c r="O32" s="126"/>
      <c r="P32" s="127"/>
      <c r="Q32" s="128" t="s">
        <v>1004</v>
      </c>
      <c r="R32" s="129">
        <f t="shared" ref="R32" si="13">+ROUND((K32)*(1+SUMIF($R$2:$R$4,Q32,$S$2:$S$4)),0)</f>
        <v>0</v>
      </c>
      <c r="S32" s="129">
        <f t="shared" ref="S32" si="14">+ROUND((N32)*(1+SUMIF($R$2:$R$4,Q32,$S$2:$S$4)),0)</f>
        <v>0</v>
      </c>
    </row>
    <row r="33" spans="1:19" ht="15" customHeight="1" x14ac:dyDescent="0.25">
      <c r="A33" s="119" t="s">
        <v>1037</v>
      </c>
      <c r="B33" s="230" t="s">
        <v>1844</v>
      </c>
      <c r="C33" s="121">
        <v>2</v>
      </c>
      <c r="D33" s="122" t="s">
        <v>1038</v>
      </c>
      <c r="E33" s="121"/>
      <c r="F33" s="17"/>
      <c r="G33" s="17"/>
      <c r="H33" s="123">
        <f t="shared" ref="H33:H56" si="15">+SUM(F33:G33)</f>
        <v>0</v>
      </c>
      <c r="I33" s="18"/>
      <c r="J33" s="124">
        <f t="shared" ref="J33:J56" si="16">+ROUND(I33*H33,2)</f>
        <v>0</v>
      </c>
      <c r="K33" s="19"/>
      <c r="L33" s="20"/>
      <c r="M33" s="125">
        <f t="shared" ref="M33:M56" si="17">+ROUND(L33*H33,2)</f>
        <v>0</v>
      </c>
      <c r="N33" s="21"/>
      <c r="O33" s="126"/>
      <c r="P33" s="127"/>
      <c r="Q33" s="128" t="s">
        <v>1004</v>
      </c>
      <c r="R33" s="129">
        <f t="shared" ref="R33:R56" si="18">+ROUND((K33)*(1+SUMIF($R$2:$R$4,Q33,$S$2:$S$4)),0)</f>
        <v>0</v>
      </c>
      <c r="S33" s="129">
        <f t="shared" ref="S33:S56" si="19">+ROUND((N33)*(1+SUMIF($R$2:$R$4,Q33,$S$2:$S$4)),0)</f>
        <v>0</v>
      </c>
    </row>
    <row r="34" spans="1:19" ht="15" hidden="1" customHeight="1" outlineLevel="1" x14ac:dyDescent="0.25">
      <c r="A34" s="119" t="s">
        <v>1037</v>
      </c>
      <c r="B34" s="120" t="str">
        <f t="shared" ref="B34:B57" si="20">+B33</f>
        <v>Sec 2.1/2</v>
      </c>
      <c r="C34" s="121"/>
      <c r="D34" s="130"/>
      <c r="E34" s="121"/>
      <c r="F34" s="17"/>
      <c r="G34" s="17"/>
      <c r="H34" s="123">
        <f t="shared" si="15"/>
        <v>0</v>
      </c>
      <c r="I34" s="18"/>
      <c r="J34" s="124">
        <f t="shared" si="16"/>
        <v>0</v>
      </c>
      <c r="K34" s="19"/>
      <c r="L34" s="20"/>
      <c r="M34" s="125">
        <f t="shared" si="17"/>
        <v>0</v>
      </c>
      <c r="N34" s="21"/>
      <c r="O34" s="126"/>
      <c r="P34" s="127"/>
      <c r="Q34" s="128" t="s">
        <v>1004</v>
      </c>
      <c r="R34" s="129">
        <f t="shared" si="18"/>
        <v>0</v>
      </c>
      <c r="S34" s="129">
        <f t="shared" si="19"/>
        <v>0</v>
      </c>
    </row>
    <row r="35" spans="1:19" ht="15" hidden="1" customHeight="1" outlineLevel="1" x14ac:dyDescent="0.25">
      <c r="A35" s="119" t="s">
        <v>1037</v>
      </c>
      <c r="B35" s="120" t="str">
        <f t="shared" si="20"/>
        <v>Sec 2.1/2</v>
      </c>
      <c r="C35" s="121">
        <v>2.1</v>
      </c>
      <c r="D35" s="227" t="s">
        <v>1027</v>
      </c>
      <c r="E35" s="121"/>
      <c r="F35" s="17"/>
      <c r="G35" s="17"/>
      <c r="H35" s="123">
        <f t="shared" si="15"/>
        <v>0</v>
      </c>
      <c r="I35" s="18"/>
      <c r="J35" s="124">
        <f t="shared" si="16"/>
        <v>0</v>
      </c>
      <c r="K35" s="19"/>
      <c r="L35" s="20"/>
      <c r="M35" s="125">
        <f t="shared" si="17"/>
        <v>0</v>
      </c>
      <c r="N35" s="21"/>
      <c r="O35" s="126"/>
      <c r="P35" s="127"/>
      <c r="Q35" s="128" t="s">
        <v>1004</v>
      </c>
      <c r="R35" s="129">
        <f t="shared" si="18"/>
        <v>0</v>
      </c>
      <c r="S35" s="129">
        <f t="shared" si="19"/>
        <v>0</v>
      </c>
    </row>
    <row r="36" spans="1:19" ht="15" hidden="1" customHeight="1" outlineLevel="1" x14ac:dyDescent="0.25">
      <c r="A36" s="119" t="s">
        <v>1037</v>
      </c>
      <c r="B36" s="120" t="str">
        <f t="shared" si="20"/>
        <v>Sec 2.1/2</v>
      </c>
      <c r="C36" s="121"/>
      <c r="D36" s="130"/>
      <c r="E36" s="121"/>
      <c r="F36" s="17"/>
      <c r="G36" s="17"/>
      <c r="H36" s="123">
        <f t="shared" si="15"/>
        <v>0</v>
      </c>
      <c r="I36" s="18"/>
      <c r="J36" s="124">
        <f t="shared" si="16"/>
        <v>0</v>
      </c>
      <c r="K36" s="19"/>
      <c r="L36" s="20"/>
      <c r="M36" s="125">
        <f t="shared" si="17"/>
        <v>0</v>
      </c>
      <c r="N36" s="21"/>
      <c r="O36" s="126"/>
      <c r="P36" s="127"/>
      <c r="Q36" s="128" t="s">
        <v>1004</v>
      </c>
      <c r="R36" s="129">
        <f t="shared" si="18"/>
        <v>0</v>
      </c>
      <c r="S36" s="129">
        <f t="shared" si="19"/>
        <v>0</v>
      </c>
    </row>
    <row r="37" spans="1:19" ht="24" hidden="1" customHeight="1" outlineLevel="1" x14ac:dyDescent="0.25">
      <c r="A37" s="119" t="s">
        <v>1037</v>
      </c>
      <c r="B37" s="120" t="str">
        <f t="shared" si="20"/>
        <v>Sec 2.1/2</v>
      </c>
      <c r="C37" s="121" t="s">
        <v>1028</v>
      </c>
      <c r="D37" s="130" t="s">
        <v>1039</v>
      </c>
      <c r="E37" s="228">
        <v>0.1</v>
      </c>
      <c r="F37" s="131"/>
      <c r="G37" s="131">
        <v>0</v>
      </c>
      <c r="H37" s="123">
        <f t="shared" si="15"/>
        <v>0</v>
      </c>
      <c r="I37" s="132"/>
      <c r="J37" s="124">
        <f t="shared" si="16"/>
        <v>0</v>
      </c>
      <c r="K37" s="133">
        <f>SUM(J37:J37)</f>
        <v>0</v>
      </c>
      <c r="L37" s="134"/>
      <c r="M37" s="125">
        <f t="shared" si="17"/>
        <v>0</v>
      </c>
      <c r="N37" s="135">
        <f>SUM(M37:M37)</f>
        <v>0</v>
      </c>
      <c r="O37" s="126"/>
      <c r="P37" s="127"/>
      <c r="Q37" s="128" t="s">
        <v>1004</v>
      </c>
      <c r="R37" s="129">
        <f t="shared" si="18"/>
        <v>0</v>
      </c>
      <c r="S37" s="129">
        <f t="shared" si="19"/>
        <v>0</v>
      </c>
    </row>
    <row r="38" spans="1:19" ht="15" hidden="1" customHeight="1" outlineLevel="1" x14ac:dyDescent="0.25">
      <c r="A38" s="119" t="s">
        <v>1037</v>
      </c>
      <c r="B38" s="120" t="str">
        <f t="shared" si="20"/>
        <v>Sec 2.1/2</v>
      </c>
      <c r="C38" s="121"/>
      <c r="D38" s="130"/>
      <c r="E38" s="121"/>
      <c r="F38" s="17"/>
      <c r="G38" s="17"/>
      <c r="H38" s="123">
        <f t="shared" si="15"/>
        <v>0</v>
      </c>
      <c r="I38" s="18"/>
      <c r="J38" s="124">
        <f t="shared" si="16"/>
        <v>0</v>
      </c>
      <c r="K38" s="19"/>
      <c r="L38" s="20"/>
      <c r="M38" s="125">
        <f t="shared" si="17"/>
        <v>0</v>
      </c>
      <c r="N38" s="21"/>
      <c r="O38" s="126"/>
      <c r="P38" s="127"/>
      <c r="Q38" s="128" t="s">
        <v>1004</v>
      </c>
      <c r="R38" s="129">
        <f t="shared" si="18"/>
        <v>0</v>
      </c>
      <c r="S38" s="129">
        <f t="shared" si="19"/>
        <v>0</v>
      </c>
    </row>
    <row r="39" spans="1:19" ht="24" hidden="1" outlineLevel="1" x14ac:dyDescent="0.25">
      <c r="A39" s="119" t="s">
        <v>1037</v>
      </c>
      <c r="B39" s="120" t="str">
        <f t="shared" si="20"/>
        <v>Sec 2.1/2</v>
      </c>
      <c r="C39" s="121" t="s">
        <v>1030</v>
      </c>
      <c r="D39" s="227" t="s">
        <v>1845</v>
      </c>
      <c r="E39" s="228">
        <v>0.05</v>
      </c>
      <c r="F39" s="131"/>
      <c r="G39" s="131">
        <v>0</v>
      </c>
      <c r="H39" s="123">
        <f t="shared" si="15"/>
        <v>0</v>
      </c>
      <c r="I39" s="132"/>
      <c r="J39" s="124">
        <f t="shared" si="16"/>
        <v>0</v>
      </c>
      <c r="K39" s="133">
        <f>SUM(J39:J39)</f>
        <v>0</v>
      </c>
      <c r="L39" s="134"/>
      <c r="M39" s="125">
        <f t="shared" si="17"/>
        <v>0</v>
      </c>
      <c r="N39" s="135">
        <f>SUM(M39:M39)</f>
        <v>0</v>
      </c>
      <c r="O39" s="126"/>
      <c r="P39" s="127"/>
      <c r="Q39" s="128" t="s">
        <v>1004</v>
      </c>
      <c r="R39" s="129">
        <f t="shared" si="18"/>
        <v>0</v>
      </c>
      <c r="S39" s="129">
        <f t="shared" si="19"/>
        <v>0</v>
      </c>
    </row>
    <row r="40" spans="1:19" ht="15" hidden="1" customHeight="1" outlineLevel="1" x14ac:dyDescent="0.25">
      <c r="A40" s="119" t="s">
        <v>1037</v>
      </c>
      <c r="B40" s="120" t="str">
        <f t="shared" si="20"/>
        <v>Sec 2.1/2</v>
      </c>
      <c r="C40" s="121"/>
      <c r="D40" s="130"/>
      <c r="E40" s="121"/>
      <c r="F40" s="17"/>
      <c r="G40" s="17"/>
      <c r="H40" s="123">
        <f t="shared" si="15"/>
        <v>0</v>
      </c>
      <c r="I40" s="18"/>
      <c r="J40" s="124">
        <f t="shared" si="16"/>
        <v>0</v>
      </c>
      <c r="K40" s="19"/>
      <c r="L40" s="20"/>
      <c r="M40" s="125">
        <f t="shared" si="17"/>
        <v>0</v>
      </c>
      <c r="N40" s="21"/>
      <c r="O40" s="126"/>
      <c r="P40" s="127"/>
      <c r="Q40" s="128" t="s">
        <v>1004</v>
      </c>
      <c r="R40" s="129">
        <f t="shared" si="18"/>
        <v>0</v>
      </c>
      <c r="S40" s="129">
        <f t="shared" si="19"/>
        <v>0</v>
      </c>
    </row>
    <row r="41" spans="1:19" ht="15" hidden="1" customHeight="1" outlineLevel="1" x14ac:dyDescent="0.25">
      <c r="A41" s="119" t="s">
        <v>1037</v>
      </c>
      <c r="B41" s="120" t="str">
        <f t="shared" si="20"/>
        <v>Sec 2.1/2</v>
      </c>
      <c r="C41" s="121" t="s">
        <v>1031</v>
      </c>
      <c r="D41" s="227" t="s">
        <v>1040</v>
      </c>
      <c r="E41" s="228">
        <v>0.05</v>
      </c>
      <c r="F41" s="131"/>
      <c r="G41" s="131">
        <v>0</v>
      </c>
      <c r="H41" s="123">
        <f t="shared" si="15"/>
        <v>0</v>
      </c>
      <c r="I41" s="132"/>
      <c r="J41" s="124">
        <f t="shared" si="16"/>
        <v>0</v>
      </c>
      <c r="K41" s="133">
        <f>SUM(J41:J41)</f>
        <v>0</v>
      </c>
      <c r="L41" s="134"/>
      <c r="M41" s="125">
        <f t="shared" si="17"/>
        <v>0</v>
      </c>
      <c r="N41" s="135">
        <f>SUM(M41:M41)</f>
        <v>0</v>
      </c>
      <c r="O41" s="126"/>
      <c r="P41" s="127"/>
      <c r="Q41" s="128" t="s">
        <v>1004</v>
      </c>
      <c r="R41" s="129">
        <f t="shared" si="18"/>
        <v>0</v>
      </c>
      <c r="S41" s="129">
        <f t="shared" si="19"/>
        <v>0</v>
      </c>
    </row>
    <row r="42" spans="1:19" ht="15" hidden="1" customHeight="1" outlineLevel="1" x14ac:dyDescent="0.25">
      <c r="A42" s="119" t="s">
        <v>1037</v>
      </c>
      <c r="B42" s="120" t="str">
        <f t="shared" si="20"/>
        <v>Sec 2.1/2</v>
      </c>
      <c r="C42" s="121"/>
      <c r="D42" s="130"/>
      <c r="E42" s="121"/>
      <c r="F42" s="17"/>
      <c r="G42" s="17"/>
      <c r="H42" s="123">
        <f t="shared" si="15"/>
        <v>0</v>
      </c>
      <c r="I42" s="18"/>
      <c r="J42" s="124">
        <f t="shared" si="16"/>
        <v>0</v>
      </c>
      <c r="K42" s="19"/>
      <c r="L42" s="20"/>
      <c r="M42" s="125">
        <f t="shared" si="17"/>
        <v>0</v>
      </c>
      <c r="N42" s="21"/>
      <c r="O42" s="126"/>
      <c r="P42" s="127"/>
      <c r="Q42" s="128" t="s">
        <v>1004</v>
      </c>
      <c r="R42" s="129">
        <f t="shared" si="18"/>
        <v>0</v>
      </c>
      <c r="S42" s="129">
        <f t="shared" si="19"/>
        <v>0</v>
      </c>
    </row>
    <row r="43" spans="1:19" ht="15" hidden="1" customHeight="1" outlineLevel="1" x14ac:dyDescent="0.25">
      <c r="A43" s="119" t="s">
        <v>1037</v>
      </c>
      <c r="B43" s="120" t="str">
        <f t="shared" si="20"/>
        <v>Sec 2.1/2</v>
      </c>
      <c r="C43" s="121" t="s">
        <v>1033</v>
      </c>
      <c r="D43" s="130" t="s">
        <v>1042</v>
      </c>
      <c r="E43" s="121">
        <v>5</v>
      </c>
      <c r="F43" s="131"/>
      <c r="G43" s="131">
        <v>0</v>
      </c>
      <c r="H43" s="123">
        <f t="shared" si="15"/>
        <v>0</v>
      </c>
      <c r="I43" s="132"/>
      <c r="J43" s="124">
        <f t="shared" si="16"/>
        <v>0</v>
      </c>
      <c r="K43" s="133">
        <f>SUM(J43:J43)</f>
        <v>0</v>
      </c>
      <c r="L43" s="134"/>
      <c r="M43" s="125">
        <f t="shared" si="17"/>
        <v>0</v>
      </c>
      <c r="N43" s="135">
        <f>SUM(M43:M43)</f>
        <v>0</v>
      </c>
      <c r="O43" s="126"/>
      <c r="P43" s="127"/>
      <c r="Q43" s="128" t="s">
        <v>1004</v>
      </c>
      <c r="R43" s="129">
        <f t="shared" si="18"/>
        <v>0</v>
      </c>
      <c r="S43" s="129">
        <f t="shared" si="19"/>
        <v>0</v>
      </c>
    </row>
    <row r="44" spans="1:19" ht="15" hidden="1" customHeight="1" outlineLevel="1" x14ac:dyDescent="0.25">
      <c r="A44" s="119" t="s">
        <v>1037</v>
      </c>
      <c r="B44" s="120" t="str">
        <f t="shared" si="20"/>
        <v>Sec 2.1/2</v>
      </c>
      <c r="C44" s="121"/>
      <c r="D44" s="130"/>
      <c r="E44" s="121"/>
      <c r="F44" s="17"/>
      <c r="G44" s="17"/>
      <c r="H44" s="123">
        <f t="shared" si="15"/>
        <v>0</v>
      </c>
      <c r="I44" s="18"/>
      <c r="J44" s="124">
        <f t="shared" si="16"/>
        <v>0</v>
      </c>
      <c r="K44" s="19"/>
      <c r="L44" s="20"/>
      <c r="M44" s="125">
        <f t="shared" si="17"/>
        <v>0</v>
      </c>
      <c r="N44" s="21"/>
      <c r="O44" s="126"/>
      <c r="P44" s="127"/>
      <c r="Q44" s="128" t="s">
        <v>1004</v>
      </c>
      <c r="R44" s="129">
        <f t="shared" si="18"/>
        <v>0</v>
      </c>
      <c r="S44" s="129">
        <f t="shared" si="19"/>
        <v>0</v>
      </c>
    </row>
    <row r="45" spans="1:19" ht="24" hidden="1" customHeight="1" outlineLevel="1" x14ac:dyDescent="0.25">
      <c r="A45" s="119" t="s">
        <v>1037</v>
      </c>
      <c r="B45" s="120" t="str">
        <f t="shared" si="20"/>
        <v>Sec 2.1/2</v>
      </c>
      <c r="C45" s="121" t="s">
        <v>1035</v>
      </c>
      <c r="D45" s="130" t="s">
        <v>1041</v>
      </c>
      <c r="E45" s="228">
        <v>0.05</v>
      </c>
      <c r="F45" s="131"/>
      <c r="G45" s="131">
        <v>0</v>
      </c>
      <c r="H45" s="123">
        <f t="shared" si="15"/>
        <v>0</v>
      </c>
      <c r="I45" s="132"/>
      <c r="J45" s="124">
        <f t="shared" si="16"/>
        <v>0</v>
      </c>
      <c r="K45" s="133">
        <f>SUM(J45:J45)</f>
        <v>0</v>
      </c>
      <c r="L45" s="134"/>
      <c r="M45" s="125">
        <f t="shared" si="17"/>
        <v>0</v>
      </c>
      <c r="N45" s="135">
        <f>SUM(M45:M45)</f>
        <v>0</v>
      </c>
      <c r="O45" s="126"/>
      <c r="P45" s="127"/>
      <c r="Q45" s="128" t="s">
        <v>1004</v>
      </c>
      <c r="R45" s="129">
        <f t="shared" si="18"/>
        <v>0</v>
      </c>
      <c r="S45" s="129">
        <f t="shared" si="19"/>
        <v>0</v>
      </c>
    </row>
    <row r="46" spans="1:19" ht="15" hidden="1" customHeight="1" outlineLevel="1" x14ac:dyDescent="0.25">
      <c r="A46" s="119" t="s">
        <v>1037</v>
      </c>
      <c r="B46" s="120" t="str">
        <f t="shared" si="20"/>
        <v>Sec 2.1/2</v>
      </c>
      <c r="C46" s="121"/>
      <c r="D46" s="130"/>
      <c r="E46" s="121"/>
      <c r="F46" s="17"/>
      <c r="G46" s="17"/>
      <c r="H46" s="123">
        <f t="shared" si="15"/>
        <v>0</v>
      </c>
      <c r="I46" s="18"/>
      <c r="J46" s="124">
        <f t="shared" si="16"/>
        <v>0</v>
      </c>
      <c r="K46" s="19"/>
      <c r="L46" s="20"/>
      <c r="M46" s="125">
        <f t="shared" si="17"/>
        <v>0</v>
      </c>
      <c r="N46" s="21"/>
      <c r="O46" s="126"/>
      <c r="P46" s="127"/>
      <c r="Q46" s="128" t="s">
        <v>1004</v>
      </c>
      <c r="R46" s="129">
        <f t="shared" si="18"/>
        <v>0</v>
      </c>
      <c r="S46" s="129">
        <f t="shared" si="19"/>
        <v>0</v>
      </c>
    </row>
    <row r="47" spans="1:19" ht="15" hidden="1" customHeight="1" outlineLevel="1" x14ac:dyDescent="0.25">
      <c r="A47" s="119" t="s">
        <v>1037</v>
      </c>
      <c r="B47" s="120" t="str">
        <f t="shared" si="20"/>
        <v>Sec 2.1/2</v>
      </c>
      <c r="C47" s="121">
        <v>2.2000000000000002</v>
      </c>
      <c r="D47" s="227" t="s">
        <v>1032</v>
      </c>
      <c r="E47" s="121"/>
      <c r="F47" s="17"/>
      <c r="G47" s="17"/>
      <c r="H47" s="123">
        <f t="shared" si="15"/>
        <v>0</v>
      </c>
      <c r="I47" s="18"/>
      <c r="J47" s="124">
        <f t="shared" si="16"/>
        <v>0</v>
      </c>
      <c r="K47" s="19"/>
      <c r="L47" s="20"/>
      <c r="M47" s="125">
        <f t="shared" si="17"/>
        <v>0</v>
      </c>
      <c r="N47" s="21"/>
      <c r="O47" s="126"/>
      <c r="P47" s="127"/>
      <c r="Q47" s="128" t="s">
        <v>1004</v>
      </c>
      <c r="R47" s="129">
        <f t="shared" si="18"/>
        <v>0</v>
      </c>
      <c r="S47" s="129">
        <f t="shared" si="19"/>
        <v>0</v>
      </c>
    </row>
    <row r="48" spans="1:19" ht="15" hidden="1" customHeight="1" outlineLevel="1" x14ac:dyDescent="0.25">
      <c r="A48" s="119" t="s">
        <v>1037</v>
      </c>
      <c r="B48" s="120" t="str">
        <f t="shared" si="20"/>
        <v>Sec 2.1/2</v>
      </c>
      <c r="C48" s="121"/>
      <c r="D48" s="130"/>
      <c r="E48" s="121"/>
      <c r="F48" s="17"/>
      <c r="G48" s="17"/>
      <c r="H48" s="123">
        <f t="shared" si="15"/>
        <v>0</v>
      </c>
      <c r="I48" s="18"/>
      <c r="J48" s="124">
        <f t="shared" si="16"/>
        <v>0</v>
      </c>
      <c r="K48" s="19"/>
      <c r="L48" s="20"/>
      <c r="M48" s="125">
        <f t="shared" si="17"/>
        <v>0</v>
      </c>
      <c r="N48" s="21"/>
      <c r="O48" s="126"/>
      <c r="P48" s="127"/>
      <c r="Q48" s="128" t="s">
        <v>1004</v>
      </c>
      <c r="R48" s="129">
        <f t="shared" si="18"/>
        <v>0</v>
      </c>
      <c r="S48" s="129">
        <f t="shared" si="19"/>
        <v>0</v>
      </c>
    </row>
    <row r="49" spans="1:19" ht="24" hidden="1" customHeight="1" outlineLevel="1" x14ac:dyDescent="0.25">
      <c r="A49" s="119" t="s">
        <v>1037</v>
      </c>
      <c r="B49" s="120" t="str">
        <f t="shared" si="20"/>
        <v>Sec 2.1/2</v>
      </c>
      <c r="C49" s="229" t="s">
        <v>1028</v>
      </c>
      <c r="D49" s="227" t="s">
        <v>1839</v>
      </c>
      <c r="E49" s="228">
        <v>0.5</v>
      </c>
      <c r="F49" s="131"/>
      <c r="G49" s="131">
        <v>0</v>
      </c>
      <c r="H49" s="123">
        <f t="shared" si="15"/>
        <v>0</v>
      </c>
      <c r="I49" s="132"/>
      <c r="J49" s="124">
        <f t="shared" si="16"/>
        <v>0</v>
      </c>
      <c r="K49" s="133">
        <f>SUM(J49:J49)</f>
        <v>0</v>
      </c>
      <c r="L49" s="134"/>
      <c r="M49" s="125">
        <f t="shared" si="17"/>
        <v>0</v>
      </c>
      <c r="N49" s="135">
        <f>SUM(M49:M49)</f>
        <v>0</v>
      </c>
      <c r="O49" s="126"/>
      <c r="P49" s="127"/>
      <c r="Q49" s="128" t="s">
        <v>1004</v>
      </c>
      <c r="R49" s="129">
        <f t="shared" si="18"/>
        <v>0</v>
      </c>
      <c r="S49" s="129">
        <f t="shared" si="19"/>
        <v>0</v>
      </c>
    </row>
    <row r="50" spans="1:19" ht="15" hidden="1" customHeight="1" outlineLevel="1" x14ac:dyDescent="0.25">
      <c r="A50" s="119" t="s">
        <v>1037</v>
      </c>
      <c r="B50" s="120" t="str">
        <f t="shared" si="20"/>
        <v>Sec 2.1/2</v>
      </c>
      <c r="C50" s="121"/>
      <c r="D50" s="130"/>
      <c r="E50" s="121"/>
      <c r="F50" s="17"/>
      <c r="G50" s="17"/>
      <c r="H50" s="123">
        <f t="shared" si="15"/>
        <v>0</v>
      </c>
      <c r="I50" s="18"/>
      <c r="J50" s="124">
        <f t="shared" si="16"/>
        <v>0</v>
      </c>
      <c r="K50" s="19"/>
      <c r="L50" s="20"/>
      <c r="M50" s="125">
        <f t="shared" si="17"/>
        <v>0</v>
      </c>
      <c r="N50" s="21"/>
      <c r="O50" s="126"/>
      <c r="P50" s="127"/>
      <c r="Q50" s="128" t="s">
        <v>1004</v>
      </c>
      <c r="R50" s="129">
        <f t="shared" si="18"/>
        <v>0</v>
      </c>
      <c r="S50" s="129">
        <f t="shared" si="19"/>
        <v>0</v>
      </c>
    </row>
    <row r="51" spans="1:19" ht="15" hidden="1" customHeight="1" outlineLevel="1" x14ac:dyDescent="0.25">
      <c r="A51" s="119" t="s">
        <v>1037</v>
      </c>
      <c r="B51" s="120" t="str">
        <f t="shared" si="20"/>
        <v>Sec 2.1/2</v>
      </c>
      <c r="C51" s="121">
        <v>2.2999999999999998</v>
      </c>
      <c r="D51" s="227" t="s">
        <v>1034</v>
      </c>
      <c r="E51" s="228"/>
      <c r="F51" s="17"/>
      <c r="G51" s="17"/>
      <c r="H51" s="123">
        <f t="shared" si="15"/>
        <v>0</v>
      </c>
      <c r="I51" s="18"/>
      <c r="J51" s="124">
        <f t="shared" si="16"/>
        <v>0</v>
      </c>
      <c r="K51" s="19"/>
      <c r="L51" s="20"/>
      <c r="M51" s="125">
        <f t="shared" si="17"/>
        <v>0</v>
      </c>
      <c r="N51" s="21"/>
      <c r="O51" s="126"/>
      <c r="P51" s="127"/>
      <c r="Q51" s="128" t="s">
        <v>1004</v>
      </c>
      <c r="R51" s="129">
        <f t="shared" si="18"/>
        <v>0</v>
      </c>
      <c r="S51" s="129">
        <f t="shared" si="19"/>
        <v>0</v>
      </c>
    </row>
    <row r="52" spans="1:19" ht="15" hidden="1" customHeight="1" outlineLevel="1" x14ac:dyDescent="0.25">
      <c r="A52" s="119" t="s">
        <v>1037</v>
      </c>
      <c r="B52" s="120" t="str">
        <f t="shared" si="20"/>
        <v>Sec 2.1/2</v>
      </c>
      <c r="C52" s="121"/>
      <c r="D52" s="130"/>
      <c r="E52" s="121"/>
      <c r="F52" s="17"/>
      <c r="G52" s="17"/>
      <c r="H52" s="123">
        <f t="shared" si="15"/>
        <v>0</v>
      </c>
      <c r="I52" s="18"/>
      <c r="J52" s="124">
        <f t="shared" si="16"/>
        <v>0</v>
      </c>
      <c r="K52" s="19"/>
      <c r="L52" s="20"/>
      <c r="M52" s="125">
        <f t="shared" si="17"/>
        <v>0</v>
      </c>
      <c r="N52" s="21"/>
      <c r="O52" s="126"/>
      <c r="P52" s="127"/>
      <c r="Q52" s="128" t="s">
        <v>1004</v>
      </c>
      <c r="R52" s="129">
        <f t="shared" si="18"/>
        <v>0</v>
      </c>
      <c r="S52" s="129">
        <f t="shared" si="19"/>
        <v>0</v>
      </c>
    </row>
    <row r="53" spans="1:19" ht="24" hidden="1" customHeight="1" outlineLevel="1" x14ac:dyDescent="0.25">
      <c r="A53" s="119" t="s">
        <v>1037</v>
      </c>
      <c r="B53" s="120" t="str">
        <f t="shared" si="20"/>
        <v>Sec 2.1/2</v>
      </c>
      <c r="C53" s="229" t="s">
        <v>1028</v>
      </c>
      <c r="D53" s="130" t="s">
        <v>1036</v>
      </c>
      <c r="E53" s="228">
        <v>0.1</v>
      </c>
      <c r="F53" s="131"/>
      <c r="G53" s="131">
        <v>0</v>
      </c>
      <c r="H53" s="123">
        <f t="shared" si="15"/>
        <v>0</v>
      </c>
      <c r="I53" s="132"/>
      <c r="J53" s="124">
        <f t="shared" si="16"/>
        <v>0</v>
      </c>
      <c r="K53" s="133">
        <f>SUM(J53:J53)</f>
        <v>0</v>
      </c>
      <c r="L53" s="134"/>
      <c r="M53" s="125">
        <f t="shared" si="17"/>
        <v>0</v>
      </c>
      <c r="N53" s="135">
        <f>SUM(M53:M53)</f>
        <v>0</v>
      </c>
      <c r="O53" s="126"/>
      <c r="P53" s="127"/>
      <c r="Q53" s="128" t="s">
        <v>1004</v>
      </c>
      <c r="R53" s="129">
        <f t="shared" si="18"/>
        <v>0</v>
      </c>
      <c r="S53" s="129">
        <f t="shared" si="19"/>
        <v>0</v>
      </c>
    </row>
    <row r="54" spans="1:19" ht="15" hidden="1" customHeight="1" outlineLevel="1" x14ac:dyDescent="0.25">
      <c r="A54" s="119" t="s">
        <v>1037</v>
      </c>
      <c r="B54" s="120" t="str">
        <f t="shared" si="20"/>
        <v>Sec 2.1/2</v>
      </c>
      <c r="C54" s="121"/>
      <c r="D54" s="130"/>
      <c r="E54" s="121"/>
      <c r="F54" s="17"/>
      <c r="G54" s="17"/>
      <c r="H54" s="123">
        <f t="shared" si="15"/>
        <v>0</v>
      </c>
      <c r="I54" s="18"/>
      <c r="J54" s="124">
        <f t="shared" si="16"/>
        <v>0</v>
      </c>
      <c r="K54" s="19"/>
      <c r="L54" s="20"/>
      <c r="M54" s="125">
        <f t="shared" si="17"/>
        <v>0</v>
      </c>
      <c r="N54" s="21"/>
      <c r="O54" s="126"/>
      <c r="P54" s="127"/>
      <c r="Q54" s="128" t="s">
        <v>1004</v>
      </c>
      <c r="R54" s="129">
        <f t="shared" si="18"/>
        <v>0</v>
      </c>
      <c r="S54" s="129">
        <f t="shared" si="19"/>
        <v>0</v>
      </c>
    </row>
    <row r="55" spans="1:19" ht="24" hidden="1" customHeight="1" outlineLevel="1" x14ac:dyDescent="0.25">
      <c r="A55" s="119" t="s">
        <v>1037</v>
      </c>
      <c r="B55" s="120" t="str">
        <f t="shared" si="20"/>
        <v>Sec 2.1/2</v>
      </c>
      <c r="C55" s="229" t="s">
        <v>1030</v>
      </c>
      <c r="D55" s="130" t="s">
        <v>1043</v>
      </c>
      <c r="E55" s="228">
        <v>0.1</v>
      </c>
      <c r="F55" s="131"/>
      <c r="G55" s="131">
        <v>0</v>
      </c>
      <c r="H55" s="123">
        <f t="shared" si="15"/>
        <v>0</v>
      </c>
      <c r="I55" s="132"/>
      <c r="J55" s="124">
        <f t="shared" si="16"/>
        <v>0</v>
      </c>
      <c r="K55" s="133">
        <f>SUM(J55:J55)</f>
        <v>0</v>
      </c>
      <c r="L55" s="134"/>
      <c r="M55" s="125">
        <f t="shared" si="17"/>
        <v>0</v>
      </c>
      <c r="N55" s="135">
        <f>SUM(M55:M55)</f>
        <v>0</v>
      </c>
      <c r="O55" s="126"/>
      <c r="P55" s="127"/>
      <c r="Q55" s="128" t="s">
        <v>1004</v>
      </c>
      <c r="R55" s="129">
        <f t="shared" si="18"/>
        <v>0</v>
      </c>
      <c r="S55" s="129">
        <f t="shared" si="19"/>
        <v>0</v>
      </c>
    </row>
    <row r="56" spans="1:19" ht="15" hidden="1" customHeight="1" outlineLevel="1" x14ac:dyDescent="0.25">
      <c r="A56" s="119" t="s">
        <v>1037</v>
      </c>
      <c r="B56" s="120" t="str">
        <f t="shared" si="20"/>
        <v>Sec 2.1/2</v>
      </c>
      <c r="C56" s="121"/>
      <c r="D56" s="130"/>
      <c r="E56" s="121"/>
      <c r="F56" s="17"/>
      <c r="G56" s="17"/>
      <c r="H56" s="123">
        <f t="shared" si="15"/>
        <v>0</v>
      </c>
      <c r="I56" s="18"/>
      <c r="J56" s="124">
        <f t="shared" si="16"/>
        <v>0</v>
      </c>
      <c r="K56" s="19"/>
      <c r="L56" s="20"/>
      <c r="M56" s="125">
        <f t="shared" si="17"/>
        <v>0</v>
      </c>
      <c r="N56" s="21"/>
      <c r="O56" s="126"/>
      <c r="P56" s="127"/>
      <c r="Q56" s="128" t="s">
        <v>1004</v>
      </c>
      <c r="R56" s="129">
        <f t="shared" si="18"/>
        <v>0</v>
      </c>
      <c r="S56" s="129">
        <f t="shared" si="19"/>
        <v>0</v>
      </c>
    </row>
    <row r="57" spans="1:19" ht="15" customHeight="1" collapsed="1" x14ac:dyDescent="0.25">
      <c r="A57" s="231" t="s">
        <v>1022</v>
      </c>
      <c r="B57" s="232" t="str">
        <f t="shared" si="20"/>
        <v>Sec 2.1/2</v>
      </c>
      <c r="C57" s="233"/>
      <c r="D57" s="233" t="s">
        <v>1023</v>
      </c>
      <c r="E57" s="233"/>
      <c r="F57" s="233"/>
      <c r="G57" s="233"/>
      <c r="H57" s="233"/>
      <c r="I57" s="233"/>
      <c r="J57" s="233"/>
      <c r="K57" s="234">
        <f>SUM(K33:K56)</f>
        <v>0</v>
      </c>
      <c r="L57" s="233"/>
      <c r="M57" s="233"/>
      <c r="N57" s="234">
        <f>SUM(N33:N56)</f>
        <v>0</v>
      </c>
      <c r="O57" s="233"/>
      <c r="P57" s="235"/>
      <c r="Q57" s="233"/>
      <c r="R57" s="234">
        <f>SUM(R33:R56)</f>
        <v>0</v>
      </c>
      <c r="S57" s="234">
        <f>SUM(S33:S56)</f>
        <v>0</v>
      </c>
    </row>
    <row r="58" spans="1:19" ht="15" customHeight="1" x14ac:dyDescent="0.25">
      <c r="A58" s="119" t="s">
        <v>1044</v>
      </c>
      <c r="B58" s="230" t="s">
        <v>1846</v>
      </c>
      <c r="C58" s="121"/>
      <c r="D58" s="122"/>
      <c r="E58" s="121"/>
      <c r="F58" s="17"/>
      <c r="G58" s="17"/>
      <c r="H58" s="123">
        <f t="shared" ref="H58" si="21">+SUM(F58:G58)</f>
        <v>0</v>
      </c>
      <c r="I58" s="18"/>
      <c r="J58" s="124">
        <f t="shared" ref="J58" si="22">+ROUND(I58*H58,2)</f>
        <v>0</v>
      </c>
      <c r="K58" s="19"/>
      <c r="L58" s="20"/>
      <c r="M58" s="125">
        <f t="shared" ref="M58" si="23">+ROUND(L58*H58,2)</f>
        <v>0</v>
      </c>
      <c r="N58" s="21"/>
      <c r="O58" s="126"/>
      <c r="P58" s="127"/>
      <c r="Q58" s="128" t="s">
        <v>1004</v>
      </c>
      <c r="R58" s="129">
        <f t="shared" ref="R58" si="24">+ROUND((K58+N58)*(1+SUMIF($R$2:$R$4,Q58,$S$2:$S$4)),0)</f>
        <v>0</v>
      </c>
      <c r="S58" s="129">
        <f t="shared" ref="S58" si="25">+ROUND((L58+O58)*(1+SUMIF($R$2:$R$4,R58,$S$2:$S$4)),0)</f>
        <v>0</v>
      </c>
    </row>
    <row r="59" spans="1:19" ht="15" customHeight="1" x14ac:dyDescent="0.25">
      <c r="A59" s="119" t="s">
        <v>1044</v>
      </c>
      <c r="B59" s="230" t="s">
        <v>1846</v>
      </c>
      <c r="C59" s="121">
        <v>3</v>
      </c>
      <c r="D59" s="122" t="s">
        <v>1045</v>
      </c>
      <c r="E59" s="121"/>
      <c r="F59" s="17"/>
      <c r="G59" s="17"/>
      <c r="H59" s="123">
        <f t="shared" ref="H59:H80" si="26">+SUM(F59:G59)</f>
        <v>0</v>
      </c>
      <c r="I59" s="18"/>
      <c r="J59" s="124">
        <f t="shared" ref="J59:J80" si="27">+ROUND(I59*H59,2)</f>
        <v>0</v>
      </c>
      <c r="K59" s="19"/>
      <c r="L59" s="20"/>
      <c r="M59" s="125">
        <f t="shared" ref="M59:M80" si="28">+ROUND(L59*H59,2)</f>
        <v>0</v>
      </c>
      <c r="N59" s="21"/>
      <c r="O59" s="126"/>
      <c r="P59" s="127"/>
      <c r="Q59" s="128" t="s">
        <v>1004</v>
      </c>
      <c r="R59" s="129">
        <f t="shared" ref="R59:S80" si="29">+ROUND((K59+N59)*(1+SUMIF($R$2:$R$4,Q59,$S$2:$S$4)),0)</f>
        <v>0</v>
      </c>
      <c r="S59" s="129">
        <f t="shared" si="29"/>
        <v>0</v>
      </c>
    </row>
    <row r="60" spans="1:19" ht="15" hidden="1" customHeight="1" outlineLevel="1" x14ac:dyDescent="0.25">
      <c r="A60" s="119" t="s">
        <v>1044</v>
      </c>
      <c r="B60" s="120" t="str">
        <f t="shared" ref="B60:B81" si="30">+B59</f>
        <v>Sec 2.1/3</v>
      </c>
      <c r="C60" s="121"/>
      <c r="D60" s="130"/>
      <c r="E60" s="121"/>
      <c r="F60" s="17"/>
      <c r="G60" s="17"/>
      <c r="H60" s="123">
        <f t="shared" si="26"/>
        <v>0</v>
      </c>
      <c r="I60" s="18"/>
      <c r="J60" s="124">
        <f t="shared" si="27"/>
        <v>0</v>
      </c>
      <c r="K60" s="19"/>
      <c r="L60" s="20"/>
      <c r="M60" s="125">
        <f t="shared" si="28"/>
        <v>0</v>
      </c>
      <c r="N60" s="21"/>
      <c r="O60" s="126"/>
      <c r="P60" s="127"/>
      <c r="Q60" s="128" t="s">
        <v>1004</v>
      </c>
      <c r="R60" s="129">
        <f t="shared" si="29"/>
        <v>0</v>
      </c>
      <c r="S60" s="129">
        <f t="shared" si="29"/>
        <v>0</v>
      </c>
    </row>
    <row r="61" spans="1:19" ht="15" hidden="1" customHeight="1" outlineLevel="1" x14ac:dyDescent="0.25">
      <c r="A61" s="119" t="s">
        <v>1044</v>
      </c>
      <c r="B61" s="120" t="str">
        <f t="shared" si="30"/>
        <v>Sec 2.1/3</v>
      </c>
      <c r="C61" s="121">
        <v>3.1</v>
      </c>
      <c r="D61" s="227" t="s">
        <v>1027</v>
      </c>
      <c r="E61" s="121"/>
      <c r="F61" s="17"/>
      <c r="G61" s="17"/>
      <c r="H61" s="123">
        <f t="shared" si="26"/>
        <v>0</v>
      </c>
      <c r="I61" s="18"/>
      <c r="J61" s="124">
        <f t="shared" si="27"/>
        <v>0</v>
      </c>
      <c r="K61" s="19"/>
      <c r="L61" s="20"/>
      <c r="M61" s="125">
        <f t="shared" si="28"/>
        <v>0</v>
      </c>
      <c r="N61" s="21"/>
      <c r="O61" s="126"/>
      <c r="P61" s="127"/>
      <c r="Q61" s="128" t="s">
        <v>1004</v>
      </c>
      <c r="R61" s="129">
        <f t="shared" si="29"/>
        <v>0</v>
      </c>
      <c r="S61" s="129">
        <f t="shared" si="29"/>
        <v>0</v>
      </c>
    </row>
    <row r="62" spans="1:19" ht="15" hidden="1" customHeight="1" outlineLevel="1" x14ac:dyDescent="0.25">
      <c r="A62" s="119" t="s">
        <v>1044</v>
      </c>
      <c r="B62" s="120" t="str">
        <f t="shared" si="30"/>
        <v>Sec 2.1/3</v>
      </c>
      <c r="C62" s="121"/>
      <c r="D62" s="130"/>
      <c r="E62" s="121"/>
      <c r="F62" s="17"/>
      <c r="G62" s="17"/>
      <c r="H62" s="123">
        <f t="shared" si="26"/>
        <v>0</v>
      </c>
      <c r="I62" s="18"/>
      <c r="J62" s="124">
        <f t="shared" si="27"/>
        <v>0</v>
      </c>
      <c r="K62" s="19"/>
      <c r="L62" s="20"/>
      <c r="M62" s="125">
        <f t="shared" si="28"/>
        <v>0</v>
      </c>
      <c r="N62" s="21"/>
      <c r="O62" s="126"/>
      <c r="P62" s="127"/>
      <c r="Q62" s="128" t="s">
        <v>1004</v>
      </c>
      <c r="R62" s="129">
        <f t="shared" si="29"/>
        <v>0</v>
      </c>
      <c r="S62" s="129">
        <f t="shared" si="29"/>
        <v>0</v>
      </c>
    </row>
    <row r="63" spans="1:19" ht="24" hidden="1" customHeight="1" outlineLevel="1" x14ac:dyDescent="0.25">
      <c r="A63" s="119" t="s">
        <v>1044</v>
      </c>
      <c r="B63" s="120" t="str">
        <f t="shared" si="30"/>
        <v>Sec 2.1/3</v>
      </c>
      <c r="C63" s="121" t="s">
        <v>1028</v>
      </c>
      <c r="D63" s="130" t="s">
        <v>1046</v>
      </c>
      <c r="E63" s="228">
        <v>0.15</v>
      </c>
      <c r="F63" s="131"/>
      <c r="G63" s="131">
        <v>0</v>
      </c>
      <c r="H63" s="123">
        <f t="shared" si="26"/>
        <v>0</v>
      </c>
      <c r="I63" s="132"/>
      <c r="J63" s="124">
        <f t="shared" si="27"/>
        <v>0</v>
      </c>
      <c r="K63" s="133">
        <f>SUM(J63:J63)</f>
        <v>0</v>
      </c>
      <c r="L63" s="134"/>
      <c r="M63" s="125">
        <f t="shared" si="28"/>
        <v>0</v>
      </c>
      <c r="N63" s="135">
        <f>SUM(M63:M63)</f>
        <v>0</v>
      </c>
      <c r="O63" s="126"/>
      <c r="P63" s="127"/>
      <c r="Q63" s="128" t="s">
        <v>1004</v>
      </c>
      <c r="R63" s="129">
        <f t="shared" si="29"/>
        <v>0</v>
      </c>
      <c r="S63" s="129">
        <f t="shared" si="29"/>
        <v>0</v>
      </c>
    </row>
    <row r="64" spans="1:19" ht="15" hidden="1" customHeight="1" outlineLevel="1" x14ac:dyDescent="0.25">
      <c r="A64" s="119" t="s">
        <v>1044</v>
      </c>
      <c r="B64" s="120" t="str">
        <f t="shared" si="30"/>
        <v>Sec 2.1/3</v>
      </c>
      <c r="C64" s="121"/>
      <c r="D64" s="130"/>
      <c r="E64" s="121"/>
      <c r="F64" s="17"/>
      <c r="G64" s="17"/>
      <c r="H64" s="123">
        <f t="shared" si="26"/>
        <v>0</v>
      </c>
      <c r="I64" s="18"/>
      <c r="J64" s="124">
        <f t="shared" si="27"/>
        <v>0</v>
      </c>
      <c r="K64" s="19"/>
      <c r="L64" s="20"/>
      <c r="M64" s="125">
        <f t="shared" si="28"/>
        <v>0</v>
      </c>
      <c r="N64" s="21"/>
      <c r="O64" s="126"/>
      <c r="P64" s="127"/>
      <c r="Q64" s="128" t="s">
        <v>1004</v>
      </c>
      <c r="R64" s="129">
        <f t="shared" si="29"/>
        <v>0</v>
      </c>
      <c r="S64" s="129">
        <f t="shared" si="29"/>
        <v>0</v>
      </c>
    </row>
    <row r="65" spans="1:19" ht="24" hidden="1" customHeight="1" outlineLevel="1" x14ac:dyDescent="0.25">
      <c r="A65" s="119" t="s">
        <v>1044</v>
      </c>
      <c r="B65" s="120" t="str">
        <f t="shared" si="30"/>
        <v>Sec 2.1/3</v>
      </c>
      <c r="C65" s="121" t="s">
        <v>1030</v>
      </c>
      <c r="D65" s="130" t="s">
        <v>1047</v>
      </c>
      <c r="E65" s="228">
        <v>0.1</v>
      </c>
      <c r="F65" s="131"/>
      <c r="G65" s="131">
        <v>0</v>
      </c>
      <c r="H65" s="123">
        <f t="shared" si="26"/>
        <v>0</v>
      </c>
      <c r="I65" s="132"/>
      <c r="J65" s="124">
        <f t="shared" si="27"/>
        <v>0</v>
      </c>
      <c r="K65" s="133">
        <f>SUM(J65:J65)</f>
        <v>0</v>
      </c>
      <c r="L65" s="134"/>
      <c r="M65" s="125">
        <f t="shared" si="28"/>
        <v>0</v>
      </c>
      <c r="N65" s="135">
        <f>SUM(M65:M65)</f>
        <v>0</v>
      </c>
      <c r="O65" s="126"/>
      <c r="P65" s="127"/>
      <c r="Q65" s="128" t="s">
        <v>1004</v>
      </c>
      <c r="R65" s="129">
        <f t="shared" si="29"/>
        <v>0</v>
      </c>
      <c r="S65" s="129">
        <f t="shared" si="29"/>
        <v>0</v>
      </c>
    </row>
    <row r="66" spans="1:19" ht="15" hidden="1" customHeight="1" outlineLevel="1" x14ac:dyDescent="0.25">
      <c r="A66" s="119" t="s">
        <v>1044</v>
      </c>
      <c r="B66" s="120" t="str">
        <f t="shared" si="30"/>
        <v>Sec 2.1/3</v>
      </c>
      <c r="C66" s="121"/>
      <c r="D66" s="130"/>
      <c r="E66" s="121"/>
      <c r="F66" s="17"/>
      <c r="G66" s="17"/>
      <c r="H66" s="123">
        <f t="shared" si="26"/>
        <v>0</v>
      </c>
      <c r="I66" s="18"/>
      <c r="J66" s="124">
        <f t="shared" si="27"/>
        <v>0</v>
      </c>
      <c r="K66" s="19"/>
      <c r="L66" s="20"/>
      <c r="M66" s="125">
        <f t="shared" si="28"/>
        <v>0</v>
      </c>
      <c r="N66" s="21"/>
      <c r="O66" s="126"/>
      <c r="P66" s="127"/>
      <c r="Q66" s="128" t="s">
        <v>1004</v>
      </c>
      <c r="R66" s="129">
        <f t="shared" si="29"/>
        <v>0</v>
      </c>
      <c r="S66" s="129">
        <f t="shared" si="29"/>
        <v>0</v>
      </c>
    </row>
    <row r="67" spans="1:19" ht="15" hidden="1" customHeight="1" outlineLevel="1" x14ac:dyDescent="0.25">
      <c r="A67" s="119" t="s">
        <v>1044</v>
      </c>
      <c r="B67" s="120" t="str">
        <f t="shared" si="30"/>
        <v>Sec 2.1/3</v>
      </c>
      <c r="C67" s="121" t="s">
        <v>1031</v>
      </c>
      <c r="D67" s="130" t="s">
        <v>1048</v>
      </c>
      <c r="E67" s="228">
        <v>0.05</v>
      </c>
      <c r="F67" s="131"/>
      <c r="G67" s="131">
        <v>0</v>
      </c>
      <c r="H67" s="123">
        <f t="shared" si="26"/>
        <v>0</v>
      </c>
      <c r="I67" s="132"/>
      <c r="J67" s="124">
        <f t="shared" si="27"/>
        <v>0</v>
      </c>
      <c r="K67" s="133">
        <f>SUM(J67:J67)</f>
        <v>0</v>
      </c>
      <c r="L67" s="134"/>
      <c r="M67" s="125">
        <f t="shared" si="28"/>
        <v>0</v>
      </c>
      <c r="N67" s="135">
        <f>SUM(M67:M67)</f>
        <v>0</v>
      </c>
      <c r="O67" s="126"/>
      <c r="P67" s="127"/>
      <c r="Q67" s="128" t="s">
        <v>1004</v>
      </c>
      <c r="R67" s="129">
        <f t="shared" si="29"/>
        <v>0</v>
      </c>
      <c r="S67" s="129">
        <f t="shared" si="29"/>
        <v>0</v>
      </c>
    </row>
    <row r="68" spans="1:19" ht="15" hidden="1" customHeight="1" outlineLevel="1" x14ac:dyDescent="0.25">
      <c r="A68" s="119" t="s">
        <v>1044</v>
      </c>
      <c r="B68" s="120" t="str">
        <f t="shared" si="30"/>
        <v>Sec 2.1/3</v>
      </c>
      <c r="C68" s="121"/>
      <c r="D68" s="130"/>
      <c r="E68" s="121"/>
      <c r="F68" s="17"/>
      <c r="G68" s="17"/>
      <c r="H68" s="123">
        <f t="shared" si="26"/>
        <v>0</v>
      </c>
      <c r="I68" s="18"/>
      <c r="J68" s="124">
        <f t="shared" si="27"/>
        <v>0</v>
      </c>
      <c r="K68" s="19"/>
      <c r="L68" s="20"/>
      <c r="M68" s="125">
        <f t="shared" si="28"/>
        <v>0</v>
      </c>
      <c r="N68" s="21"/>
      <c r="O68" s="126"/>
      <c r="P68" s="127"/>
      <c r="Q68" s="128" t="s">
        <v>1004</v>
      </c>
      <c r="R68" s="129">
        <f t="shared" si="29"/>
        <v>0</v>
      </c>
      <c r="S68" s="129">
        <f t="shared" si="29"/>
        <v>0</v>
      </c>
    </row>
    <row r="69" spans="1:19" ht="15" hidden="1" customHeight="1" outlineLevel="1" x14ac:dyDescent="0.25">
      <c r="A69" s="119" t="s">
        <v>1044</v>
      </c>
      <c r="B69" s="120" t="str">
        <f t="shared" si="30"/>
        <v>Sec 2.1/3</v>
      </c>
      <c r="C69" s="121">
        <v>3.2</v>
      </c>
      <c r="D69" s="227" t="s">
        <v>1838</v>
      </c>
      <c r="E69" s="121"/>
      <c r="F69" s="17"/>
      <c r="G69" s="17"/>
      <c r="H69" s="123">
        <f t="shared" si="26"/>
        <v>0</v>
      </c>
      <c r="I69" s="18"/>
      <c r="J69" s="124">
        <f t="shared" si="27"/>
        <v>0</v>
      </c>
      <c r="K69" s="19"/>
      <c r="L69" s="20"/>
      <c r="M69" s="125">
        <f t="shared" si="28"/>
        <v>0</v>
      </c>
      <c r="N69" s="21"/>
      <c r="O69" s="126"/>
      <c r="P69" s="127"/>
      <c r="Q69" s="128" t="s">
        <v>1004</v>
      </c>
      <c r="R69" s="129">
        <f t="shared" si="29"/>
        <v>0</v>
      </c>
      <c r="S69" s="129">
        <f t="shared" si="29"/>
        <v>0</v>
      </c>
    </row>
    <row r="70" spans="1:19" ht="15" hidden="1" customHeight="1" outlineLevel="1" x14ac:dyDescent="0.25">
      <c r="A70" s="119" t="s">
        <v>1044</v>
      </c>
      <c r="B70" s="120" t="str">
        <f t="shared" si="30"/>
        <v>Sec 2.1/3</v>
      </c>
      <c r="C70" s="121"/>
      <c r="D70" s="130"/>
      <c r="E70" s="121"/>
      <c r="F70" s="17"/>
      <c r="G70" s="17"/>
      <c r="H70" s="123">
        <f t="shared" si="26"/>
        <v>0</v>
      </c>
      <c r="I70" s="18"/>
      <c r="J70" s="124">
        <f t="shared" si="27"/>
        <v>0</v>
      </c>
      <c r="K70" s="19"/>
      <c r="L70" s="20"/>
      <c r="M70" s="125">
        <f t="shared" si="28"/>
        <v>0</v>
      </c>
      <c r="N70" s="21"/>
      <c r="O70" s="126"/>
      <c r="P70" s="127"/>
      <c r="Q70" s="128" t="s">
        <v>1004</v>
      </c>
      <c r="R70" s="129">
        <f t="shared" si="29"/>
        <v>0</v>
      </c>
      <c r="S70" s="129">
        <f t="shared" si="29"/>
        <v>0</v>
      </c>
    </row>
    <row r="71" spans="1:19" ht="24" hidden="1" customHeight="1" outlineLevel="1" x14ac:dyDescent="0.25">
      <c r="A71" s="119" t="s">
        <v>1044</v>
      </c>
      <c r="B71" s="120" t="str">
        <f t="shared" si="30"/>
        <v>Sec 2.1/3</v>
      </c>
      <c r="C71" s="229" t="s">
        <v>1028</v>
      </c>
      <c r="D71" s="227" t="s">
        <v>1839</v>
      </c>
      <c r="E71" s="228">
        <v>0.5</v>
      </c>
      <c r="F71" s="131"/>
      <c r="G71" s="131">
        <v>0</v>
      </c>
      <c r="H71" s="123">
        <f t="shared" si="26"/>
        <v>0</v>
      </c>
      <c r="I71" s="132"/>
      <c r="J71" s="124">
        <f t="shared" si="27"/>
        <v>0</v>
      </c>
      <c r="K71" s="133">
        <f>SUM(J71:J71)</f>
        <v>0</v>
      </c>
      <c r="L71" s="134"/>
      <c r="M71" s="125">
        <f t="shared" si="28"/>
        <v>0</v>
      </c>
      <c r="N71" s="135">
        <f>SUM(M71:M71)</f>
        <v>0</v>
      </c>
      <c r="O71" s="126"/>
      <c r="P71" s="127"/>
      <c r="Q71" s="128" t="s">
        <v>1004</v>
      </c>
      <c r="R71" s="129">
        <f t="shared" si="29"/>
        <v>0</v>
      </c>
      <c r="S71" s="129">
        <f t="shared" si="29"/>
        <v>0</v>
      </c>
    </row>
    <row r="72" spans="1:19" ht="15" hidden="1" customHeight="1" outlineLevel="1" x14ac:dyDescent="0.25">
      <c r="A72" s="119" t="s">
        <v>1044</v>
      </c>
      <c r="B72" s="120" t="str">
        <f t="shared" si="30"/>
        <v>Sec 2.1/3</v>
      </c>
      <c r="C72" s="121"/>
      <c r="D72" s="130"/>
      <c r="E72" s="121"/>
      <c r="F72" s="17"/>
      <c r="G72" s="17"/>
      <c r="H72" s="123">
        <f t="shared" si="26"/>
        <v>0</v>
      </c>
      <c r="I72" s="18"/>
      <c r="J72" s="124">
        <f t="shared" si="27"/>
        <v>0</v>
      </c>
      <c r="K72" s="19"/>
      <c r="L72" s="20"/>
      <c r="M72" s="125">
        <f t="shared" si="28"/>
        <v>0</v>
      </c>
      <c r="N72" s="21"/>
      <c r="O72" s="126"/>
      <c r="P72" s="127"/>
      <c r="Q72" s="128" t="s">
        <v>1004</v>
      </c>
      <c r="R72" s="129">
        <f t="shared" si="29"/>
        <v>0</v>
      </c>
      <c r="S72" s="129">
        <f t="shared" si="29"/>
        <v>0</v>
      </c>
    </row>
    <row r="73" spans="1:19" ht="15" hidden="1" customHeight="1" outlineLevel="1" x14ac:dyDescent="0.25">
      <c r="A73" s="119" t="s">
        <v>1044</v>
      </c>
      <c r="B73" s="120" t="str">
        <f t="shared" si="30"/>
        <v>Sec 2.1/3</v>
      </c>
      <c r="C73" s="121">
        <v>3.3</v>
      </c>
      <c r="D73" s="227" t="s">
        <v>1840</v>
      </c>
      <c r="E73" s="121"/>
      <c r="F73" s="17"/>
      <c r="G73" s="17"/>
      <c r="H73" s="123">
        <f t="shared" si="26"/>
        <v>0</v>
      </c>
      <c r="I73" s="18"/>
      <c r="J73" s="124">
        <f t="shared" si="27"/>
        <v>0</v>
      </c>
      <c r="K73" s="19"/>
      <c r="L73" s="20"/>
      <c r="M73" s="125">
        <f t="shared" si="28"/>
        <v>0</v>
      </c>
      <c r="N73" s="21"/>
      <c r="O73" s="126"/>
      <c r="P73" s="127"/>
      <c r="Q73" s="128" t="s">
        <v>1004</v>
      </c>
      <c r="R73" s="129">
        <f t="shared" si="29"/>
        <v>0</v>
      </c>
      <c r="S73" s="129">
        <f t="shared" si="29"/>
        <v>0</v>
      </c>
    </row>
    <row r="74" spans="1:19" ht="15" hidden="1" customHeight="1" outlineLevel="1" x14ac:dyDescent="0.25">
      <c r="A74" s="119" t="s">
        <v>1044</v>
      </c>
      <c r="B74" s="120" t="str">
        <f t="shared" si="30"/>
        <v>Sec 2.1/3</v>
      </c>
      <c r="C74" s="121"/>
      <c r="D74" s="130"/>
      <c r="E74" s="121"/>
      <c r="F74" s="17"/>
      <c r="G74" s="17"/>
      <c r="H74" s="123">
        <f t="shared" si="26"/>
        <v>0</v>
      </c>
      <c r="I74" s="18"/>
      <c r="J74" s="124">
        <f t="shared" si="27"/>
        <v>0</v>
      </c>
      <c r="K74" s="19"/>
      <c r="L74" s="20"/>
      <c r="M74" s="125">
        <f t="shared" si="28"/>
        <v>0</v>
      </c>
      <c r="N74" s="21"/>
      <c r="O74" s="126"/>
      <c r="P74" s="127"/>
      <c r="Q74" s="128" t="s">
        <v>1004</v>
      </c>
      <c r="R74" s="129">
        <f t="shared" si="29"/>
        <v>0</v>
      </c>
      <c r="S74" s="129">
        <f t="shared" si="29"/>
        <v>0</v>
      </c>
    </row>
    <row r="75" spans="1:19" ht="24" hidden="1" customHeight="1" outlineLevel="1" x14ac:dyDescent="0.25">
      <c r="A75" s="119" t="s">
        <v>1044</v>
      </c>
      <c r="B75" s="120" t="str">
        <f t="shared" si="30"/>
        <v>Sec 2.1/3</v>
      </c>
      <c r="C75" s="229" t="s">
        <v>1028</v>
      </c>
      <c r="D75" s="130" t="s">
        <v>1036</v>
      </c>
      <c r="E75" s="228">
        <v>0.1</v>
      </c>
      <c r="F75" s="131"/>
      <c r="G75" s="131">
        <v>0</v>
      </c>
      <c r="H75" s="123">
        <f t="shared" si="26"/>
        <v>0</v>
      </c>
      <c r="I75" s="132"/>
      <c r="J75" s="124">
        <f t="shared" si="27"/>
        <v>0</v>
      </c>
      <c r="K75" s="133">
        <f>SUM(J75:J75)</f>
        <v>0</v>
      </c>
      <c r="L75" s="134"/>
      <c r="M75" s="125">
        <f t="shared" si="28"/>
        <v>0</v>
      </c>
      <c r="N75" s="135">
        <f>SUM(M75:M75)</f>
        <v>0</v>
      </c>
      <c r="O75" s="126"/>
      <c r="P75" s="127"/>
      <c r="Q75" s="128" t="s">
        <v>1004</v>
      </c>
      <c r="R75" s="129">
        <f t="shared" si="29"/>
        <v>0</v>
      </c>
      <c r="S75" s="129">
        <f t="shared" si="29"/>
        <v>0</v>
      </c>
    </row>
    <row r="76" spans="1:19" ht="15" hidden="1" customHeight="1" outlineLevel="1" x14ac:dyDescent="0.25">
      <c r="A76" s="119" t="s">
        <v>1044</v>
      </c>
      <c r="B76" s="120" t="str">
        <f t="shared" si="30"/>
        <v>Sec 2.1/3</v>
      </c>
      <c r="C76" s="121"/>
      <c r="D76" s="130"/>
      <c r="E76" s="121"/>
      <c r="F76" s="17"/>
      <c r="G76" s="17"/>
      <c r="H76" s="123">
        <f t="shared" si="26"/>
        <v>0</v>
      </c>
      <c r="I76" s="18"/>
      <c r="J76" s="124">
        <f t="shared" si="27"/>
        <v>0</v>
      </c>
      <c r="K76" s="19"/>
      <c r="L76" s="20"/>
      <c r="M76" s="125">
        <f t="shared" si="28"/>
        <v>0</v>
      </c>
      <c r="N76" s="21"/>
      <c r="O76" s="126"/>
      <c r="P76" s="127"/>
      <c r="Q76" s="128" t="s">
        <v>1004</v>
      </c>
      <c r="R76" s="129">
        <f t="shared" si="29"/>
        <v>0</v>
      </c>
      <c r="S76" s="129">
        <f t="shared" si="29"/>
        <v>0</v>
      </c>
    </row>
    <row r="77" spans="1:19" ht="30" hidden="1" customHeight="1" outlineLevel="1" x14ac:dyDescent="0.25">
      <c r="A77" s="119" t="s">
        <v>1044</v>
      </c>
      <c r="B77" s="120" t="str">
        <f t="shared" si="30"/>
        <v>Sec 2.1/3</v>
      </c>
      <c r="C77" s="229" t="s">
        <v>1030</v>
      </c>
      <c r="D77" s="227" t="s">
        <v>1847</v>
      </c>
      <c r="E77" s="228">
        <v>0.05</v>
      </c>
      <c r="F77" s="131"/>
      <c r="G77" s="131">
        <v>0</v>
      </c>
      <c r="H77" s="123">
        <f t="shared" si="26"/>
        <v>0</v>
      </c>
      <c r="I77" s="132"/>
      <c r="J77" s="124">
        <f t="shared" si="27"/>
        <v>0</v>
      </c>
      <c r="K77" s="133">
        <f>SUM(J77:J77)</f>
        <v>0</v>
      </c>
      <c r="L77" s="134"/>
      <c r="M77" s="125">
        <f t="shared" si="28"/>
        <v>0</v>
      </c>
      <c r="N77" s="135">
        <f>SUM(M77:M77)</f>
        <v>0</v>
      </c>
      <c r="O77" s="126"/>
      <c r="P77" s="127"/>
      <c r="Q77" s="128" t="s">
        <v>1004</v>
      </c>
      <c r="R77" s="129">
        <f t="shared" si="29"/>
        <v>0</v>
      </c>
      <c r="S77" s="129">
        <f t="shared" si="29"/>
        <v>0</v>
      </c>
    </row>
    <row r="78" spans="1:19" ht="15" hidden="1" customHeight="1" outlineLevel="1" x14ac:dyDescent="0.25">
      <c r="A78" s="119" t="s">
        <v>1044</v>
      </c>
      <c r="B78" s="120" t="str">
        <f t="shared" si="30"/>
        <v>Sec 2.1/3</v>
      </c>
      <c r="C78" s="121"/>
      <c r="D78" s="130"/>
      <c r="E78" s="121"/>
      <c r="F78" s="17"/>
      <c r="G78" s="17"/>
      <c r="H78" s="123">
        <f t="shared" si="26"/>
        <v>0</v>
      </c>
      <c r="I78" s="18"/>
      <c r="J78" s="124">
        <f t="shared" si="27"/>
        <v>0</v>
      </c>
      <c r="K78" s="19"/>
      <c r="L78" s="20"/>
      <c r="M78" s="125">
        <f t="shared" si="28"/>
        <v>0</v>
      </c>
      <c r="N78" s="21"/>
      <c r="O78" s="126"/>
      <c r="P78" s="127"/>
      <c r="Q78" s="128" t="s">
        <v>1004</v>
      </c>
      <c r="R78" s="129">
        <f t="shared" si="29"/>
        <v>0</v>
      </c>
      <c r="S78" s="129">
        <f t="shared" si="29"/>
        <v>0</v>
      </c>
    </row>
    <row r="79" spans="1:19" ht="36" hidden="1" outlineLevel="1" x14ac:dyDescent="0.25">
      <c r="A79" s="119" t="s">
        <v>1044</v>
      </c>
      <c r="B79" s="120" t="str">
        <f t="shared" si="30"/>
        <v>Sec 2.1/3</v>
      </c>
      <c r="C79" s="229" t="s">
        <v>1031</v>
      </c>
      <c r="D79" s="227" t="s">
        <v>1843</v>
      </c>
      <c r="E79" s="228">
        <v>0.05</v>
      </c>
      <c r="F79" s="131"/>
      <c r="G79" s="131">
        <v>0</v>
      </c>
      <c r="H79" s="123">
        <f t="shared" si="26"/>
        <v>0</v>
      </c>
      <c r="I79" s="132"/>
      <c r="J79" s="124">
        <f t="shared" si="27"/>
        <v>0</v>
      </c>
      <c r="K79" s="133">
        <f>SUM(J79:J79)</f>
        <v>0</v>
      </c>
      <c r="L79" s="134"/>
      <c r="M79" s="125">
        <f t="shared" si="28"/>
        <v>0</v>
      </c>
      <c r="N79" s="135">
        <f>SUM(M79:M79)</f>
        <v>0</v>
      </c>
      <c r="O79" s="126"/>
      <c r="P79" s="127"/>
      <c r="Q79" s="128" t="s">
        <v>1004</v>
      </c>
      <c r="R79" s="129">
        <f t="shared" si="29"/>
        <v>0</v>
      </c>
      <c r="S79" s="129">
        <f t="shared" si="29"/>
        <v>0</v>
      </c>
    </row>
    <row r="80" spans="1:19" ht="15" hidden="1" customHeight="1" outlineLevel="1" x14ac:dyDescent="0.25">
      <c r="A80" s="119" t="s">
        <v>1044</v>
      </c>
      <c r="B80" s="120" t="str">
        <f t="shared" si="30"/>
        <v>Sec 2.1/3</v>
      </c>
      <c r="C80" s="121"/>
      <c r="D80" s="130"/>
      <c r="E80" s="121"/>
      <c r="F80" s="17"/>
      <c r="G80" s="17"/>
      <c r="H80" s="123">
        <f t="shared" si="26"/>
        <v>0</v>
      </c>
      <c r="I80" s="18"/>
      <c r="J80" s="124">
        <f t="shared" si="27"/>
        <v>0</v>
      </c>
      <c r="K80" s="19"/>
      <c r="L80" s="20"/>
      <c r="M80" s="125">
        <f t="shared" si="28"/>
        <v>0</v>
      </c>
      <c r="N80" s="21"/>
      <c r="O80" s="126"/>
      <c r="P80" s="127"/>
      <c r="Q80" s="128" t="s">
        <v>1004</v>
      </c>
      <c r="R80" s="129">
        <f t="shared" si="29"/>
        <v>0</v>
      </c>
      <c r="S80" s="129">
        <f t="shared" si="29"/>
        <v>0</v>
      </c>
    </row>
    <row r="81" spans="1:19" ht="15" customHeight="1" collapsed="1" x14ac:dyDescent="0.25">
      <c r="A81" s="231" t="s">
        <v>1022</v>
      </c>
      <c r="B81" s="232" t="str">
        <f t="shared" si="30"/>
        <v>Sec 2.1/3</v>
      </c>
      <c r="C81" s="233"/>
      <c r="D81" s="233" t="s">
        <v>1023</v>
      </c>
      <c r="E81" s="233"/>
      <c r="F81" s="233"/>
      <c r="G81" s="233"/>
      <c r="H81" s="233"/>
      <c r="I81" s="233"/>
      <c r="J81" s="233"/>
      <c r="K81" s="234">
        <f>SUM(K59:K80)</f>
        <v>0</v>
      </c>
      <c r="L81" s="233"/>
      <c r="M81" s="233"/>
      <c r="N81" s="234">
        <f>SUM(N59:N80)</f>
        <v>0</v>
      </c>
      <c r="O81" s="233"/>
      <c r="P81" s="235"/>
      <c r="Q81" s="233"/>
      <c r="R81" s="234">
        <f>SUM(R59:R80)</f>
        <v>0</v>
      </c>
      <c r="S81" s="234">
        <f>SUM(S59:S80)</f>
        <v>0</v>
      </c>
    </row>
    <row r="82" spans="1:19" x14ac:dyDescent="0.25">
      <c r="A82" s="443" t="s">
        <v>1022</v>
      </c>
      <c r="B82" s="444" t="s">
        <v>1848</v>
      </c>
      <c r="C82" s="445"/>
      <c r="D82" s="446" t="s">
        <v>1022</v>
      </c>
      <c r="E82" s="447"/>
      <c r="F82" s="448"/>
      <c r="G82" s="448"/>
      <c r="H82" s="449"/>
      <c r="I82" s="450"/>
      <c r="J82" s="451"/>
      <c r="K82" s="452"/>
      <c r="L82" s="453"/>
      <c r="M82" s="454"/>
      <c r="N82" s="455"/>
      <c r="O82" s="456"/>
      <c r="P82" s="457"/>
      <c r="Q82" s="458"/>
      <c r="R82" s="459"/>
      <c r="S82" s="459"/>
    </row>
    <row r="83" spans="1:19" x14ac:dyDescent="0.25">
      <c r="A83" s="443" t="s">
        <v>1022</v>
      </c>
      <c r="B83" s="460" t="str">
        <f t="shared" ref="B83:B91" si="31">+B82</f>
        <v>Sec 2.1/4</v>
      </c>
      <c r="C83" s="445"/>
      <c r="D83" s="461"/>
      <c r="E83" s="447"/>
      <c r="F83" s="448"/>
      <c r="G83" s="448"/>
      <c r="H83" s="449"/>
      <c r="I83" s="450"/>
      <c r="J83" s="451"/>
      <c r="K83" s="452"/>
      <c r="L83" s="453"/>
      <c r="M83" s="454"/>
      <c r="N83" s="455"/>
      <c r="O83" s="456"/>
      <c r="P83" s="457"/>
      <c r="Q83" s="458"/>
      <c r="R83" s="459"/>
      <c r="S83" s="459"/>
    </row>
    <row r="84" spans="1:19" x14ac:dyDescent="0.25">
      <c r="A84" s="443" t="s">
        <v>1022</v>
      </c>
      <c r="B84" s="460" t="str">
        <f t="shared" si="31"/>
        <v>Sec 2.1/4</v>
      </c>
      <c r="C84" s="445"/>
      <c r="D84" s="461" t="s">
        <v>1849</v>
      </c>
      <c r="E84" s="447"/>
      <c r="F84" s="448"/>
      <c r="G84" s="448"/>
      <c r="H84" s="449"/>
      <c r="I84" s="450"/>
      <c r="J84" s="451"/>
      <c r="K84" s="452">
        <f>+K31</f>
        <v>0</v>
      </c>
      <c r="L84" s="453"/>
      <c r="M84" s="454"/>
      <c r="N84" s="455">
        <f>+N31</f>
        <v>0</v>
      </c>
      <c r="O84" s="456"/>
      <c r="P84" s="457"/>
      <c r="Q84" s="458"/>
      <c r="R84" s="459">
        <f>+R31</f>
        <v>0</v>
      </c>
      <c r="S84" s="459">
        <f>+S31</f>
        <v>0</v>
      </c>
    </row>
    <row r="85" spans="1:19" x14ac:dyDescent="0.25">
      <c r="A85" s="443" t="s">
        <v>1022</v>
      </c>
      <c r="B85" s="460" t="str">
        <f t="shared" si="31"/>
        <v>Sec 2.1/4</v>
      </c>
      <c r="C85" s="445"/>
      <c r="D85" s="461"/>
      <c r="E85" s="447"/>
      <c r="F85" s="448"/>
      <c r="G85" s="448"/>
      <c r="H85" s="449"/>
      <c r="I85" s="450"/>
      <c r="J85" s="451"/>
      <c r="K85" s="452"/>
      <c r="L85" s="453"/>
      <c r="M85" s="454"/>
      <c r="N85" s="455"/>
      <c r="O85" s="456"/>
      <c r="P85" s="457"/>
      <c r="Q85" s="458"/>
      <c r="R85" s="459"/>
      <c r="S85" s="459"/>
    </row>
    <row r="86" spans="1:19" x14ac:dyDescent="0.25">
      <c r="A86" s="443" t="s">
        <v>1022</v>
      </c>
      <c r="B86" s="460" t="str">
        <f t="shared" si="31"/>
        <v>Sec 2.1/4</v>
      </c>
      <c r="C86" s="445"/>
      <c r="D86" s="461" t="s">
        <v>1850</v>
      </c>
      <c r="E86" s="447"/>
      <c r="F86" s="448"/>
      <c r="G86" s="448"/>
      <c r="H86" s="449"/>
      <c r="I86" s="450"/>
      <c r="J86" s="451"/>
      <c r="K86" s="452">
        <f>+K57</f>
        <v>0</v>
      </c>
      <c r="L86" s="453"/>
      <c r="M86" s="454"/>
      <c r="N86" s="455">
        <f>+N57</f>
        <v>0</v>
      </c>
      <c r="O86" s="456"/>
      <c r="P86" s="457"/>
      <c r="Q86" s="458"/>
      <c r="R86" s="459">
        <f>+R57</f>
        <v>0</v>
      </c>
      <c r="S86" s="459">
        <f>+S57</f>
        <v>0</v>
      </c>
    </row>
    <row r="87" spans="1:19" x14ac:dyDescent="0.25">
      <c r="A87" s="443" t="s">
        <v>1022</v>
      </c>
      <c r="B87" s="460" t="str">
        <f t="shared" si="31"/>
        <v>Sec 2.1/4</v>
      </c>
      <c r="C87" s="445"/>
      <c r="D87" s="461"/>
      <c r="E87" s="447"/>
      <c r="F87" s="448"/>
      <c r="G87" s="448"/>
      <c r="H87" s="449"/>
      <c r="I87" s="450"/>
      <c r="J87" s="451"/>
      <c r="K87" s="452"/>
      <c r="L87" s="453"/>
      <c r="M87" s="454"/>
      <c r="N87" s="455"/>
      <c r="O87" s="456"/>
      <c r="P87" s="457"/>
      <c r="Q87" s="458"/>
      <c r="R87" s="459"/>
      <c r="S87" s="459"/>
    </row>
    <row r="88" spans="1:19" x14ac:dyDescent="0.25">
      <c r="A88" s="443" t="s">
        <v>1022</v>
      </c>
      <c r="B88" s="460" t="str">
        <f t="shared" si="31"/>
        <v>Sec 2.1/4</v>
      </c>
      <c r="C88" s="445"/>
      <c r="D88" s="461" t="s">
        <v>1851</v>
      </c>
      <c r="E88" s="447"/>
      <c r="F88" s="448"/>
      <c r="G88" s="448"/>
      <c r="H88" s="449"/>
      <c r="I88" s="450"/>
      <c r="J88" s="451"/>
      <c r="K88" s="452">
        <f>+K81</f>
        <v>0</v>
      </c>
      <c r="L88" s="453"/>
      <c r="M88" s="454"/>
      <c r="N88" s="455">
        <f>+N81</f>
        <v>0</v>
      </c>
      <c r="O88" s="456"/>
      <c r="P88" s="457"/>
      <c r="Q88" s="458"/>
      <c r="R88" s="459">
        <f>+R81</f>
        <v>0</v>
      </c>
      <c r="S88" s="459">
        <f>+S81</f>
        <v>0</v>
      </c>
    </row>
    <row r="89" spans="1:19" x14ac:dyDescent="0.25">
      <c r="A89" s="443" t="s">
        <v>1022</v>
      </c>
      <c r="B89" s="460" t="str">
        <f t="shared" si="31"/>
        <v>Sec 2.1/4</v>
      </c>
      <c r="C89" s="445"/>
      <c r="D89" s="461"/>
      <c r="E89" s="447"/>
      <c r="F89" s="448"/>
      <c r="G89" s="448"/>
      <c r="H89" s="449"/>
      <c r="I89" s="450"/>
      <c r="J89" s="451"/>
      <c r="K89" s="452"/>
      <c r="L89" s="453"/>
      <c r="M89" s="454"/>
      <c r="N89" s="455"/>
      <c r="O89" s="456"/>
      <c r="P89" s="457"/>
      <c r="Q89" s="458"/>
      <c r="R89" s="459"/>
      <c r="S89" s="459"/>
    </row>
    <row r="90" spans="1:19" x14ac:dyDescent="0.25">
      <c r="A90" s="443" t="s">
        <v>1022</v>
      </c>
      <c r="B90" s="460" t="str">
        <f t="shared" si="31"/>
        <v>Sec 2.1/4</v>
      </c>
      <c r="C90" s="445"/>
      <c r="D90" s="461"/>
      <c r="E90" s="447"/>
      <c r="F90" s="448"/>
      <c r="G90" s="448"/>
      <c r="H90" s="449"/>
      <c r="I90" s="450"/>
      <c r="J90" s="451"/>
      <c r="K90" s="452">
        <f>SUM(K84:K89)</f>
        <v>0</v>
      </c>
      <c r="L90" s="453"/>
      <c r="M90" s="454"/>
      <c r="N90" s="455">
        <f>SUM(N84:N89)</f>
        <v>0</v>
      </c>
      <c r="O90" s="456"/>
      <c r="P90" s="457"/>
      <c r="Q90" s="458"/>
      <c r="R90" s="459"/>
      <c r="S90" s="459"/>
    </row>
    <row r="91" spans="1:19" x14ac:dyDescent="0.25">
      <c r="A91" s="443" t="s">
        <v>1022</v>
      </c>
      <c r="B91" s="460" t="str">
        <f t="shared" si="31"/>
        <v>Sec 2.1/4</v>
      </c>
      <c r="C91" s="445"/>
      <c r="D91" s="461"/>
      <c r="E91" s="447"/>
      <c r="F91" s="448"/>
      <c r="G91" s="448"/>
      <c r="H91" s="449"/>
      <c r="I91" s="450"/>
      <c r="J91" s="451"/>
      <c r="K91" s="452"/>
      <c r="L91" s="453"/>
      <c r="M91" s="454"/>
      <c r="N91" s="455"/>
      <c r="O91" s="456"/>
      <c r="P91" s="457"/>
      <c r="Q91" s="458"/>
      <c r="R91" s="459"/>
      <c r="S91" s="459"/>
    </row>
    <row r="92" spans="1:19" ht="15" customHeight="1" x14ac:dyDescent="0.25">
      <c r="A92" s="231" t="s">
        <v>1022</v>
      </c>
      <c r="B92" s="232" t="str">
        <f>+B91</f>
        <v>Sec 2.1/4</v>
      </c>
      <c r="C92" s="233"/>
      <c r="D92" s="233" t="s">
        <v>1024</v>
      </c>
      <c r="E92" s="233"/>
      <c r="F92" s="233"/>
      <c r="G92" s="233"/>
      <c r="H92" s="233"/>
      <c r="I92" s="233"/>
      <c r="J92" s="233"/>
      <c r="K92" s="234">
        <f>SUM(K82:K91)</f>
        <v>0</v>
      </c>
      <c r="L92" s="233"/>
      <c r="M92" s="233"/>
      <c r="N92" s="234">
        <f>SUM(N82:N91)</f>
        <v>0</v>
      </c>
      <c r="O92" s="233"/>
      <c r="P92" s="235"/>
      <c r="Q92" s="233"/>
      <c r="R92" s="234">
        <f>SUM(R82:R91)</f>
        <v>0</v>
      </c>
      <c r="S92" s="234">
        <f>SUM(S82:S91)</f>
        <v>0</v>
      </c>
    </row>
    <row r="94" spans="1:19" ht="15.75" thickBot="1" x14ac:dyDescent="0.3">
      <c r="K94" t="b">
        <f>+K92=K265</f>
        <v>1</v>
      </c>
    </row>
    <row r="95" spans="1:19" ht="21.75" customHeight="1" thickBot="1" x14ac:dyDescent="0.3">
      <c r="A95" s="136" t="s">
        <v>1049</v>
      </c>
      <c r="B95" s="137"/>
      <c r="C95" s="137"/>
      <c r="D95" s="138" t="s">
        <v>1050</v>
      </c>
      <c r="E95" s="137"/>
      <c r="F95" s="137"/>
      <c r="G95" s="137"/>
      <c r="H95" s="137"/>
      <c r="I95" s="137"/>
      <c r="J95" s="137"/>
      <c r="K95" s="137"/>
      <c r="L95" s="137"/>
      <c r="M95" s="137"/>
      <c r="N95" s="137"/>
      <c r="O95" s="137"/>
      <c r="P95" s="139"/>
      <c r="Q95" s="137"/>
      <c r="R95" s="137"/>
      <c r="S95" s="137"/>
    </row>
    <row r="96" spans="1:19" ht="24.75" thickBot="1" x14ac:dyDescent="0.3">
      <c r="A96" s="140" t="s">
        <v>618</v>
      </c>
      <c r="B96" s="140" t="s">
        <v>622</v>
      </c>
      <c r="C96" s="141"/>
      <c r="D96" s="141"/>
      <c r="E96" s="141"/>
      <c r="F96" s="141"/>
      <c r="G96" s="141"/>
      <c r="H96" s="141"/>
      <c r="I96" s="141"/>
      <c r="J96" s="141"/>
      <c r="K96" s="236" t="s">
        <v>1013</v>
      </c>
      <c r="L96" s="237"/>
      <c r="M96" s="237"/>
      <c r="N96" s="238" t="s">
        <v>1016</v>
      </c>
      <c r="O96" s="237"/>
      <c r="P96" s="239"/>
      <c r="Q96" s="142" t="s">
        <v>1017</v>
      </c>
      <c r="R96" s="142" t="s">
        <v>1051</v>
      </c>
      <c r="S96" s="142" t="s">
        <v>1051</v>
      </c>
    </row>
    <row r="97" spans="1:19" ht="13.5" hidden="1" customHeight="1" outlineLevel="1" x14ac:dyDescent="0.25">
      <c r="A97" s="143" t="s">
        <v>631</v>
      </c>
      <c r="B97" s="240" t="s">
        <v>1052</v>
      </c>
      <c r="C97" s="144"/>
      <c r="D97" s="144"/>
      <c r="E97" s="144"/>
      <c r="F97" s="144"/>
      <c r="G97" s="144"/>
      <c r="H97" s="144"/>
      <c r="I97" s="144"/>
      <c r="J97" s="144"/>
      <c r="K97" s="133">
        <f t="shared" ref="K97:K128" si="32">SUMIF($A$7:$A$92,A97,$K$7:$K$92)</f>
        <v>0</v>
      </c>
      <c r="L97" s="144"/>
      <c r="M97" s="144"/>
      <c r="N97" s="135">
        <f t="shared" ref="N97:N128" si="33">SUMIF($A$7:$A$92,A97,$N$7:$N$92)</f>
        <v>0</v>
      </c>
      <c r="O97" s="144"/>
      <c r="P97" s="127"/>
      <c r="Q97" s="128" t="s">
        <v>1004</v>
      </c>
      <c r="R97" s="129">
        <f t="shared" ref="R97:S128" si="34">+ROUND((K97+N97)*(1+SUMIF($R$2:$R$4,Q97,$S$2:$S$4)),0)</f>
        <v>0</v>
      </c>
      <c r="S97" s="129">
        <f t="shared" si="34"/>
        <v>0</v>
      </c>
    </row>
    <row r="98" spans="1:19" ht="13.5" hidden="1" customHeight="1" outlineLevel="1" x14ac:dyDescent="0.25">
      <c r="A98" s="143" t="s">
        <v>1053</v>
      </c>
      <c r="B98" s="241" t="s">
        <v>1054</v>
      </c>
      <c r="C98" s="145"/>
      <c r="D98" s="145"/>
      <c r="E98" s="145"/>
      <c r="F98" s="145"/>
      <c r="G98" s="145"/>
      <c r="H98" s="145"/>
      <c r="I98" s="145"/>
      <c r="J98" s="145"/>
      <c r="K98" s="133">
        <f t="shared" si="32"/>
        <v>0</v>
      </c>
      <c r="L98" s="145"/>
      <c r="M98" s="145"/>
      <c r="N98" s="135">
        <f t="shared" si="33"/>
        <v>0</v>
      </c>
      <c r="O98" s="145"/>
      <c r="P98" s="127"/>
      <c r="Q98" s="128" t="s">
        <v>1004</v>
      </c>
      <c r="R98" s="129">
        <f t="shared" si="34"/>
        <v>0</v>
      </c>
      <c r="S98" s="129">
        <f t="shared" si="34"/>
        <v>0</v>
      </c>
    </row>
    <row r="99" spans="1:19" ht="13.5" hidden="1" customHeight="1" outlineLevel="1" x14ac:dyDescent="0.25">
      <c r="A99" s="143" t="s">
        <v>1055</v>
      </c>
      <c r="B99" s="240" t="s">
        <v>1055</v>
      </c>
      <c r="C99" s="144"/>
      <c r="D99" s="144"/>
      <c r="E99" s="144"/>
      <c r="F99" s="144"/>
      <c r="G99" s="144"/>
      <c r="H99" s="144"/>
      <c r="I99" s="144"/>
      <c r="J99" s="144"/>
      <c r="K99" s="133">
        <f t="shared" si="32"/>
        <v>0</v>
      </c>
      <c r="L99" s="144"/>
      <c r="M99" s="144"/>
      <c r="N99" s="135">
        <f t="shared" si="33"/>
        <v>0</v>
      </c>
      <c r="O99" s="144"/>
      <c r="P99" s="127"/>
      <c r="Q99" s="128" t="s">
        <v>1004</v>
      </c>
      <c r="R99" s="129">
        <f t="shared" si="34"/>
        <v>0</v>
      </c>
      <c r="S99" s="129">
        <f t="shared" si="34"/>
        <v>0</v>
      </c>
    </row>
    <row r="100" spans="1:19" ht="13.5" hidden="1" customHeight="1" outlineLevel="1" x14ac:dyDescent="0.25">
      <c r="A100" s="143" t="s">
        <v>1056</v>
      </c>
      <c r="B100" s="241" t="s">
        <v>1057</v>
      </c>
      <c r="C100" s="145"/>
      <c r="D100" s="145"/>
      <c r="E100" s="145"/>
      <c r="F100" s="145"/>
      <c r="G100" s="145"/>
      <c r="H100" s="145"/>
      <c r="I100" s="145"/>
      <c r="J100" s="145"/>
      <c r="K100" s="133">
        <f t="shared" si="32"/>
        <v>0</v>
      </c>
      <c r="L100" s="145"/>
      <c r="M100" s="145"/>
      <c r="N100" s="135">
        <f t="shared" si="33"/>
        <v>0</v>
      </c>
      <c r="O100" s="145"/>
      <c r="P100" s="127"/>
      <c r="Q100" s="128" t="s">
        <v>1004</v>
      </c>
      <c r="R100" s="129">
        <f t="shared" si="34"/>
        <v>0</v>
      </c>
      <c r="S100" s="129">
        <f t="shared" si="34"/>
        <v>0</v>
      </c>
    </row>
    <row r="101" spans="1:19" ht="13.5" hidden="1" customHeight="1" outlineLevel="1" x14ac:dyDescent="0.25">
      <c r="A101" s="143" t="s">
        <v>1058</v>
      </c>
      <c r="B101" s="240" t="s">
        <v>1059</v>
      </c>
      <c r="C101" s="144"/>
      <c r="D101" s="144"/>
      <c r="E101" s="144"/>
      <c r="F101" s="144"/>
      <c r="G101" s="144"/>
      <c r="H101" s="144"/>
      <c r="I101" s="144"/>
      <c r="J101" s="144"/>
      <c r="K101" s="133">
        <f t="shared" si="32"/>
        <v>0</v>
      </c>
      <c r="L101" s="144"/>
      <c r="M101" s="144"/>
      <c r="N101" s="135">
        <f t="shared" si="33"/>
        <v>0</v>
      </c>
      <c r="O101" s="144"/>
      <c r="P101" s="127"/>
      <c r="Q101" s="128" t="s">
        <v>1004</v>
      </c>
      <c r="R101" s="129">
        <f t="shared" si="34"/>
        <v>0</v>
      </c>
      <c r="S101" s="129">
        <f t="shared" si="34"/>
        <v>0</v>
      </c>
    </row>
    <row r="102" spans="1:19" ht="13.5" hidden="1" customHeight="1" outlineLevel="1" x14ac:dyDescent="0.25">
      <c r="A102" s="143" t="s">
        <v>1060</v>
      </c>
      <c r="B102" s="241" t="s">
        <v>1060</v>
      </c>
      <c r="C102" s="145"/>
      <c r="D102" s="145"/>
      <c r="E102" s="145"/>
      <c r="F102" s="145"/>
      <c r="G102" s="145"/>
      <c r="H102" s="145"/>
      <c r="I102" s="145"/>
      <c r="J102" s="145"/>
      <c r="K102" s="133">
        <f t="shared" si="32"/>
        <v>0</v>
      </c>
      <c r="L102" s="145"/>
      <c r="M102" s="145"/>
      <c r="N102" s="135">
        <f t="shared" si="33"/>
        <v>0</v>
      </c>
      <c r="O102" s="145"/>
      <c r="P102" s="127"/>
      <c r="Q102" s="128" t="s">
        <v>1004</v>
      </c>
      <c r="R102" s="129">
        <f t="shared" si="34"/>
        <v>0</v>
      </c>
      <c r="S102" s="129">
        <f t="shared" si="34"/>
        <v>0</v>
      </c>
    </row>
    <row r="103" spans="1:19" ht="13.5" hidden="1" customHeight="1" outlineLevel="1" x14ac:dyDescent="0.25">
      <c r="A103" s="143" t="s">
        <v>1061</v>
      </c>
      <c r="B103" s="240" t="s">
        <v>1062</v>
      </c>
      <c r="C103" s="144"/>
      <c r="D103" s="144"/>
      <c r="E103" s="144"/>
      <c r="F103" s="144"/>
      <c r="G103" s="144"/>
      <c r="H103" s="144"/>
      <c r="I103" s="144"/>
      <c r="J103" s="144"/>
      <c r="K103" s="133">
        <f t="shared" si="32"/>
        <v>0</v>
      </c>
      <c r="L103" s="144"/>
      <c r="M103" s="144"/>
      <c r="N103" s="135">
        <f t="shared" si="33"/>
        <v>0</v>
      </c>
      <c r="O103" s="144"/>
      <c r="P103" s="127"/>
      <c r="Q103" s="128" t="s">
        <v>1004</v>
      </c>
      <c r="R103" s="129">
        <f t="shared" si="34"/>
        <v>0</v>
      </c>
      <c r="S103" s="129">
        <f t="shared" si="34"/>
        <v>0</v>
      </c>
    </row>
    <row r="104" spans="1:19" ht="13.5" hidden="1" customHeight="1" outlineLevel="1" x14ac:dyDescent="0.25">
      <c r="A104" s="143" t="s">
        <v>1063</v>
      </c>
      <c r="B104" s="241" t="s">
        <v>1064</v>
      </c>
      <c r="C104" s="145"/>
      <c r="D104" s="145"/>
      <c r="E104" s="145"/>
      <c r="F104" s="145"/>
      <c r="G104" s="145"/>
      <c r="H104" s="145"/>
      <c r="I104" s="145"/>
      <c r="J104" s="145"/>
      <c r="K104" s="133">
        <f t="shared" si="32"/>
        <v>0</v>
      </c>
      <c r="L104" s="145"/>
      <c r="M104" s="145"/>
      <c r="N104" s="135">
        <f t="shared" si="33"/>
        <v>0</v>
      </c>
      <c r="O104" s="145"/>
      <c r="P104" s="127"/>
      <c r="Q104" s="128" t="s">
        <v>1004</v>
      </c>
      <c r="R104" s="129">
        <f t="shared" si="34"/>
        <v>0</v>
      </c>
      <c r="S104" s="129">
        <f t="shared" si="34"/>
        <v>0</v>
      </c>
    </row>
    <row r="105" spans="1:19" ht="13.5" hidden="1" customHeight="1" outlineLevel="1" x14ac:dyDescent="0.25">
      <c r="A105" s="143" t="s">
        <v>1065</v>
      </c>
      <c r="B105" s="240" t="s">
        <v>1066</v>
      </c>
      <c r="C105" s="144"/>
      <c r="D105" s="144"/>
      <c r="E105" s="144"/>
      <c r="F105" s="144"/>
      <c r="G105" s="144"/>
      <c r="H105" s="144"/>
      <c r="I105" s="144"/>
      <c r="J105" s="144"/>
      <c r="K105" s="133">
        <f t="shared" si="32"/>
        <v>0</v>
      </c>
      <c r="L105" s="144"/>
      <c r="M105" s="144"/>
      <c r="N105" s="135">
        <f t="shared" si="33"/>
        <v>0</v>
      </c>
      <c r="O105" s="144"/>
      <c r="P105" s="127"/>
      <c r="Q105" s="128" t="s">
        <v>1004</v>
      </c>
      <c r="R105" s="129">
        <f t="shared" si="34"/>
        <v>0</v>
      </c>
      <c r="S105" s="129">
        <f t="shared" si="34"/>
        <v>0</v>
      </c>
    </row>
    <row r="106" spans="1:19" ht="13.5" hidden="1" customHeight="1" outlineLevel="1" x14ac:dyDescent="0.25">
      <c r="A106" s="143" t="s">
        <v>1067</v>
      </c>
      <c r="B106" s="241" t="s">
        <v>1068</v>
      </c>
      <c r="C106" s="145"/>
      <c r="D106" s="145"/>
      <c r="E106" s="145"/>
      <c r="F106" s="145"/>
      <c r="G106" s="145"/>
      <c r="H106" s="145"/>
      <c r="I106" s="145"/>
      <c r="J106" s="145"/>
      <c r="K106" s="133">
        <f t="shared" si="32"/>
        <v>0</v>
      </c>
      <c r="L106" s="145"/>
      <c r="M106" s="145"/>
      <c r="N106" s="135">
        <f t="shared" si="33"/>
        <v>0</v>
      </c>
      <c r="O106" s="145"/>
      <c r="P106" s="127"/>
      <c r="Q106" s="128" t="s">
        <v>1004</v>
      </c>
      <c r="R106" s="129">
        <f t="shared" si="34"/>
        <v>0</v>
      </c>
      <c r="S106" s="129">
        <f t="shared" si="34"/>
        <v>0</v>
      </c>
    </row>
    <row r="107" spans="1:19" ht="13.5" hidden="1" customHeight="1" outlineLevel="1" x14ac:dyDescent="0.25">
      <c r="A107" s="143" t="s">
        <v>1069</v>
      </c>
      <c r="B107" s="240" t="s">
        <v>1070</v>
      </c>
      <c r="C107" s="144"/>
      <c r="D107" s="144"/>
      <c r="E107" s="144"/>
      <c r="F107" s="144"/>
      <c r="G107" s="144"/>
      <c r="H107" s="144"/>
      <c r="I107" s="144"/>
      <c r="J107" s="144"/>
      <c r="K107" s="133">
        <f t="shared" si="32"/>
        <v>0</v>
      </c>
      <c r="L107" s="144"/>
      <c r="M107" s="144"/>
      <c r="N107" s="135">
        <f t="shared" si="33"/>
        <v>0</v>
      </c>
      <c r="O107" s="144"/>
      <c r="P107" s="127"/>
      <c r="Q107" s="128" t="s">
        <v>1004</v>
      </c>
      <c r="R107" s="129">
        <f t="shared" si="34"/>
        <v>0</v>
      </c>
      <c r="S107" s="129">
        <f t="shared" si="34"/>
        <v>0</v>
      </c>
    </row>
    <row r="108" spans="1:19" ht="13.5" hidden="1" customHeight="1" outlineLevel="1" x14ac:dyDescent="0.25">
      <c r="A108" s="143" t="s">
        <v>1071</v>
      </c>
      <c r="B108" s="241" t="s">
        <v>1072</v>
      </c>
      <c r="C108" s="145"/>
      <c r="D108" s="145"/>
      <c r="E108" s="145"/>
      <c r="F108" s="145"/>
      <c r="G108" s="145"/>
      <c r="H108" s="145"/>
      <c r="I108" s="145"/>
      <c r="J108" s="145"/>
      <c r="K108" s="133">
        <f t="shared" si="32"/>
        <v>0</v>
      </c>
      <c r="L108" s="145"/>
      <c r="M108" s="145"/>
      <c r="N108" s="135">
        <f t="shared" si="33"/>
        <v>0</v>
      </c>
      <c r="O108" s="145"/>
      <c r="P108" s="127"/>
      <c r="Q108" s="128" t="s">
        <v>1004</v>
      </c>
      <c r="R108" s="129">
        <f t="shared" si="34"/>
        <v>0</v>
      </c>
      <c r="S108" s="129">
        <f t="shared" si="34"/>
        <v>0</v>
      </c>
    </row>
    <row r="109" spans="1:19" ht="13.5" hidden="1" customHeight="1" outlineLevel="1" x14ac:dyDescent="0.25">
      <c r="A109" s="143" t="s">
        <v>1073</v>
      </c>
      <c r="B109" s="240" t="s">
        <v>1074</v>
      </c>
      <c r="C109" s="144"/>
      <c r="D109" s="144"/>
      <c r="E109" s="144"/>
      <c r="F109" s="144"/>
      <c r="G109" s="144"/>
      <c r="H109" s="144"/>
      <c r="I109" s="144"/>
      <c r="J109" s="144"/>
      <c r="K109" s="133">
        <f t="shared" si="32"/>
        <v>0</v>
      </c>
      <c r="L109" s="144"/>
      <c r="M109" s="144"/>
      <c r="N109" s="135">
        <f t="shared" si="33"/>
        <v>0</v>
      </c>
      <c r="O109" s="144"/>
      <c r="P109" s="127"/>
      <c r="Q109" s="128" t="s">
        <v>1004</v>
      </c>
      <c r="R109" s="129">
        <f t="shared" si="34"/>
        <v>0</v>
      </c>
      <c r="S109" s="129">
        <f t="shared" si="34"/>
        <v>0</v>
      </c>
    </row>
    <row r="110" spans="1:19" ht="13.5" hidden="1" customHeight="1" outlineLevel="1" x14ac:dyDescent="0.25">
      <c r="A110" s="143" t="s">
        <v>1075</v>
      </c>
      <c r="B110" s="241" t="s">
        <v>1076</v>
      </c>
      <c r="C110" s="145"/>
      <c r="D110" s="145"/>
      <c r="E110" s="145"/>
      <c r="F110" s="145"/>
      <c r="G110" s="145"/>
      <c r="H110" s="145"/>
      <c r="I110" s="145"/>
      <c r="J110" s="145"/>
      <c r="K110" s="133">
        <f t="shared" si="32"/>
        <v>0</v>
      </c>
      <c r="L110" s="145"/>
      <c r="M110" s="145"/>
      <c r="N110" s="135">
        <f t="shared" si="33"/>
        <v>0</v>
      </c>
      <c r="O110" s="145"/>
      <c r="P110" s="127"/>
      <c r="Q110" s="128" t="s">
        <v>1004</v>
      </c>
      <c r="R110" s="129">
        <f t="shared" si="34"/>
        <v>0</v>
      </c>
      <c r="S110" s="129">
        <f t="shared" si="34"/>
        <v>0</v>
      </c>
    </row>
    <row r="111" spans="1:19" ht="13.5" hidden="1" customHeight="1" outlineLevel="1" x14ac:dyDescent="0.25">
      <c r="A111" s="143" t="s">
        <v>1077</v>
      </c>
      <c r="B111" s="240" t="s">
        <v>1078</v>
      </c>
      <c r="C111" s="144"/>
      <c r="D111" s="144"/>
      <c r="E111" s="144"/>
      <c r="F111" s="144"/>
      <c r="G111" s="144"/>
      <c r="H111" s="144"/>
      <c r="I111" s="144"/>
      <c r="J111" s="144"/>
      <c r="K111" s="133">
        <f t="shared" si="32"/>
        <v>0</v>
      </c>
      <c r="L111" s="144"/>
      <c r="M111" s="144"/>
      <c r="N111" s="135">
        <f t="shared" si="33"/>
        <v>0</v>
      </c>
      <c r="O111" s="144"/>
      <c r="P111" s="127"/>
      <c r="Q111" s="128" t="s">
        <v>1004</v>
      </c>
      <c r="R111" s="129">
        <f t="shared" si="34"/>
        <v>0</v>
      </c>
      <c r="S111" s="129">
        <f t="shared" si="34"/>
        <v>0</v>
      </c>
    </row>
    <row r="112" spans="1:19" ht="13.5" hidden="1" customHeight="1" outlineLevel="1" x14ac:dyDescent="0.25">
      <c r="A112" s="143" t="s">
        <v>1079</v>
      </c>
      <c r="B112" s="241" t="s">
        <v>1080</v>
      </c>
      <c r="C112" s="145"/>
      <c r="D112" s="145"/>
      <c r="E112" s="145"/>
      <c r="F112" s="145"/>
      <c r="G112" s="145"/>
      <c r="H112" s="145"/>
      <c r="I112" s="145"/>
      <c r="J112" s="145"/>
      <c r="K112" s="133">
        <f t="shared" si="32"/>
        <v>0</v>
      </c>
      <c r="L112" s="145"/>
      <c r="M112" s="145"/>
      <c r="N112" s="135">
        <f t="shared" si="33"/>
        <v>0</v>
      </c>
      <c r="O112" s="145"/>
      <c r="P112" s="127"/>
      <c r="Q112" s="128" t="s">
        <v>1004</v>
      </c>
      <c r="R112" s="129">
        <f t="shared" si="34"/>
        <v>0</v>
      </c>
      <c r="S112" s="129">
        <f t="shared" si="34"/>
        <v>0</v>
      </c>
    </row>
    <row r="113" spans="1:19" ht="13.5" hidden="1" customHeight="1" outlineLevel="1" x14ac:dyDescent="0.25">
      <c r="A113" s="143" t="s">
        <v>1081</v>
      </c>
      <c r="B113" s="240" t="s">
        <v>1082</v>
      </c>
      <c r="C113" s="144"/>
      <c r="D113" s="144"/>
      <c r="E113" s="144"/>
      <c r="F113" s="144"/>
      <c r="G113" s="144"/>
      <c r="H113" s="144"/>
      <c r="I113" s="144"/>
      <c r="J113" s="144"/>
      <c r="K113" s="133">
        <f t="shared" si="32"/>
        <v>0</v>
      </c>
      <c r="L113" s="144"/>
      <c r="M113" s="144"/>
      <c r="N113" s="135">
        <f t="shared" si="33"/>
        <v>0</v>
      </c>
      <c r="O113" s="144"/>
      <c r="P113" s="127"/>
      <c r="Q113" s="128" t="s">
        <v>1004</v>
      </c>
      <c r="R113" s="129">
        <f t="shared" si="34"/>
        <v>0</v>
      </c>
      <c r="S113" s="129">
        <f t="shared" si="34"/>
        <v>0</v>
      </c>
    </row>
    <row r="114" spans="1:19" ht="13.5" hidden="1" customHeight="1" outlineLevel="1" x14ac:dyDescent="0.25">
      <c r="A114" s="143" t="s">
        <v>1083</v>
      </c>
      <c r="B114" s="241" t="s">
        <v>1084</v>
      </c>
      <c r="C114" s="145"/>
      <c r="D114" s="145"/>
      <c r="E114" s="145"/>
      <c r="F114" s="145"/>
      <c r="G114" s="145"/>
      <c r="H114" s="145"/>
      <c r="I114" s="145"/>
      <c r="J114" s="145"/>
      <c r="K114" s="133">
        <f t="shared" si="32"/>
        <v>0</v>
      </c>
      <c r="L114" s="145"/>
      <c r="M114" s="145"/>
      <c r="N114" s="135">
        <f t="shared" si="33"/>
        <v>0</v>
      </c>
      <c r="O114" s="145"/>
      <c r="P114" s="127"/>
      <c r="Q114" s="128" t="s">
        <v>1004</v>
      </c>
      <c r="R114" s="129">
        <f t="shared" si="34"/>
        <v>0</v>
      </c>
      <c r="S114" s="129">
        <f t="shared" si="34"/>
        <v>0</v>
      </c>
    </row>
    <row r="115" spans="1:19" ht="13.5" hidden="1" customHeight="1" outlineLevel="1" x14ac:dyDescent="0.25">
      <c r="A115" s="143" t="s">
        <v>1085</v>
      </c>
      <c r="B115" s="240" t="s">
        <v>1086</v>
      </c>
      <c r="C115" s="144"/>
      <c r="D115" s="144"/>
      <c r="E115" s="144"/>
      <c r="F115" s="144"/>
      <c r="G115" s="144"/>
      <c r="H115" s="144"/>
      <c r="I115" s="144"/>
      <c r="J115" s="144"/>
      <c r="K115" s="133">
        <f t="shared" si="32"/>
        <v>0</v>
      </c>
      <c r="L115" s="144"/>
      <c r="M115" s="144"/>
      <c r="N115" s="135">
        <f t="shared" si="33"/>
        <v>0</v>
      </c>
      <c r="O115" s="144"/>
      <c r="P115" s="127"/>
      <c r="Q115" s="128" t="s">
        <v>1004</v>
      </c>
      <c r="R115" s="129">
        <f t="shared" si="34"/>
        <v>0</v>
      </c>
      <c r="S115" s="129">
        <f t="shared" si="34"/>
        <v>0</v>
      </c>
    </row>
    <row r="116" spans="1:19" ht="13.5" hidden="1" customHeight="1" outlineLevel="1" x14ac:dyDescent="0.25">
      <c r="A116" s="143" t="s">
        <v>1087</v>
      </c>
      <c r="B116" s="241" t="s">
        <v>1088</v>
      </c>
      <c r="C116" s="145"/>
      <c r="D116" s="145"/>
      <c r="E116" s="145"/>
      <c r="F116" s="145"/>
      <c r="G116" s="145"/>
      <c r="H116" s="145"/>
      <c r="I116" s="145"/>
      <c r="J116" s="145"/>
      <c r="K116" s="133">
        <f t="shared" si="32"/>
        <v>0</v>
      </c>
      <c r="L116" s="145"/>
      <c r="M116" s="145"/>
      <c r="N116" s="135">
        <f t="shared" si="33"/>
        <v>0</v>
      </c>
      <c r="O116" s="145"/>
      <c r="P116" s="127"/>
      <c r="Q116" s="128" t="s">
        <v>1004</v>
      </c>
      <c r="R116" s="129">
        <f t="shared" si="34"/>
        <v>0</v>
      </c>
      <c r="S116" s="129">
        <f t="shared" si="34"/>
        <v>0</v>
      </c>
    </row>
    <row r="117" spans="1:19" ht="13.5" hidden="1" customHeight="1" outlineLevel="1" x14ac:dyDescent="0.25">
      <c r="A117" s="143" t="s">
        <v>1089</v>
      </c>
      <c r="B117" s="240" t="s">
        <v>1090</v>
      </c>
      <c r="C117" s="144"/>
      <c r="D117" s="144"/>
      <c r="E117" s="144"/>
      <c r="F117" s="144"/>
      <c r="G117" s="144"/>
      <c r="H117" s="144"/>
      <c r="I117" s="144"/>
      <c r="J117" s="144"/>
      <c r="K117" s="133">
        <f t="shared" si="32"/>
        <v>0</v>
      </c>
      <c r="L117" s="144"/>
      <c r="M117" s="144"/>
      <c r="N117" s="135">
        <f t="shared" si="33"/>
        <v>0</v>
      </c>
      <c r="O117" s="144"/>
      <c r="P117" s="127"/>
      <c r="Q117" s="128" t="s">
        <v>1004</v>
      </c>
      <c r="R117" s="129">
        <f t="shared" si="34"/>
        <v>0</v>
      </c>
      <c r="S117" s="129">
        <f t="shared" si="34"/>
        <v>0</v>
      </c>
    </row>
    <row r="118" spans="1:19" ht="13.5" hidden="1" customHeight="1" outlineLevel="1" x14ac:dyDescent="0.25">
      <c r="A118" s="143" t="s">
        <v>1091</v>
      </c>
      <c r="B118" s="241" t="s">
        <v>1092</v>
      </c>
      <c r="C118" s="145"/>
      <c r="D118" s="145"/>
      <c r="E118" s="145"/>
      <c r="F118" s="145"/>
      <c r="G118" s="145"/>
      <c r="H118" s="145"/>
      <c r="I118" s="145"/>
      <c r="J118" s="145"/>
      <c r="K118" s="133">
        <f t="shared" si="32"/>
        <v>0</v>
      </c>
      <c r="L118" s="145"/>
      <c r="M118" s="145"/>
      <c r="N118" s="135">
        <f t="shared" si="33"/>
        <v>0</v>
      </c>
      <c r="O118" s="145"/>
      <c r="P118" s="127"/>
      <c r="Q118" s="128" t="s">
        <v>1004</v>
      </c>
      <c r="R118" s="129">
        <f t="shared" si="34"/>
        <v>0</v>
      </c>
      <c r="S118" s="129">
        <f t="shared" si="34"/>
        <v>0</v>
      </c>
    </row>
    <row r="119" spans="1:19" ht="13.5" hidden="1" customHeight="1" outlineLevel="1" x14ac:dyDescent="0.25">
      <c r="A119" s="143" t="s">
        <v>1093</v>
      </c>
      <c r="B119" s="240" t="s">
        <v>1094</v>
      </c>
      <c r="C119" s="144"/>
      <c r="D119" s="144"/>
      <c r="E119" s="144"/>
      <c r="F119" s="144"/>
      <c r="G119" s="144"/>
      <c r="H119" s="144"/>
      <c r="I119" s="144"/>
      <c r="J119" s="144"/>
      <c r="K119" s="133">
        <f t="shared" si="32"/>
        <v>0</v>
      </c>
      <c r="L119" s="144"/>
      <c r="M119" s="144"/>
      <c r="N119" s="135">
        <f t="shared" si="33"/>
        <v>0</v>
      </c>
      <c r="O119" s="144"/>
      <c r="P119" s="127"/>
      <c r="Q119" s="128" t="s">
        <v>1004</v>
      </c>
      <c r="R119" s="129">
        <f t="shared" si="34"/>
        <v>0</v>
      </c>
      <c r="S119" s="129">
        <f t="shared" si="34"/>
        <v>0</v>
      </c>
    </row>
    <row r="120" spans="1:19" ht="13.5" hidden="1" customHeight="1" outlineLevel="1" x14ac:dyDescent="0.25">
      <c r="A120" s="143" t="s">
        <v>1095</v>
      </c>
      <c r="B120" s="241" t="s">
        <v>1096</v>
      </c>
      <c r="C120" s="145"/>
      <c r="D120" s="145"/>
      <c r="E120" s="145"/>
      <c r="F120" s="145"/>
      <c r="G120" s="145"/>
      <c r="H120" s="145"/>
      <c r="I120" s="145"/>
      <c r="J120" s="145"/>
      <c r="K120" s="133">
        <f t="shared" si="32"/>
        <v>0</v>
      </c>
      <c r="L120" s="145"/>
      <c r="M120" s="145"/>
      <c r="N120" s="135">
        <f t="shared" si="33"/>
        <v>0</v>
      </c>
      <c r="O120" s="145"/>
      <c r="P120" s="127"/>
      <c r="Q120" s="128" t="s">
        <v>1004</v>
      </c>
      <c r="R120" s="129">
        <f t="shared" si="34"/>
        <v>0</v>
      </c>
      <c r="S120" s="129">
        <f t="shared" si="34"/>
        <v>0</v>
      </c>
    </row>
    <row r="121" spans="1:19" ht="13.5" hidden="1" customHeight="1" outlineLevel="1" x14ac:dyDescent="0.25">
      <c r="A121" s="143" t="s">
        <v>1097</v>
      </c>
      <c r="B121" s="240" t="s">
        <v>1098</v>
      </c>
      <c r="C121" s="144"/>
      <c r="D121" s="144"/>
      <c r="E121" s="144"/>
      <c r="F121" s="144"/>
      <c r="G121" s="144"/>
      <c r="H121" s="144"/>
      <c r="I121" s="144"/>
      <c r="J121" s="144"/>
      <c r="K121" s="133">
        <f t="shared" si="32"/>
        <v>0</v>
      </c>
      <c r="L121" s="144"/>
      <c r="M121" s="144"/>
      <c r="N121" s="135">
        <f t="shared" si="33"/>
        <v>0</v>
      </c>
      <c r="O121" s="144"/>
      <c r="P121" s="127"/>
      <c r="Q121" s="128" t="s">
        <v>1004</v>
      </c>
      <c r="R121" s="129">
        <f t="shared" si="34"/>
        <v>0</v>
      </c>
      <c r="S121" s="129">
        <f t="shared" si="34"/>
        <v>0</v>
      </c>
    </row>
    <row r="122" spans="1:19" ht="13.5" hidden="1" customHeight="1" outlineLevel="1" x14ac:dyDescent="0.25">
      <c r="A122" s="143" t="s">
        <v>1099</v>
      </c>
      <c r="B122" s="241" t="s">
        <v>1100</v>
      </c>
      <c r="C122" s="145"/>
      <c r="D122" s="145"/>
      <c r="E122" s="145"/>
      <c r="F122" s="145"/>
      <c r="G122" s="145"/>
      <c r="H122" s="145"/>
      <c r="I122" s="145"/>
      <c r="J122" s="145"/>
      <c r="K122" s="133">
        <f t="shared" si="32"/>
        <v>0</v>
      </c>
      <c r="L122" s="145"/>
      <c r="M122" s="145"/>
      <c r="N122" s="135">
        <f t="shared" si="33"/>
        <v>0</v>
      </c>
      <c r="O122" s="145"/>
      <c r="P122" s="127"/>
      <c r="Q122" s="128" t="s">
        <v>1004</v>
      </c>
      <c r="R122" s="129">
        <f t="shared" si="34"/>
        <v>0</v>
      </c>
      <c r="S122" s="129">
        <f t="shared" si="34"/>
        <v>0</v>
      </c>
    </row>
    <row r="123" spans="1:19" ht="13.5" hidden="1" customHeight="1" outlineLevel="1" x14ac:dyDescent="0.25">
      <c r="A123" s="143" t="s">
        <v>1101</v>
      </c>
      <c r="B123" s="240" t="s">
        <v>1102</v>
      </c>
      <c r="C123" s="144"/>
      <c r="D123" s="144"/>
      <c r="E123" s="144"/>
      <c r="F123" s="144"/>
      <c r="G123" s="144"/>
      <c r="H123" s="144"/>
      <c r="I123" s="144"/>
      <c r="J123" s="144"/>
      <c r="K123" s="133">
        <f t="shared" si="32"/>
        <v>0</v>
      </c>
      <c r="L123" s="144"/>
      <c r="M123" s="144"/>
      <c r="N123" s="135">
        <f t="shared" si="33"/>
        <v>0</v>
      </c>
      <c r="O123" s="144"/>
      <c r="P123" s="127"/>
      <c r="Q123" s="128" t="s">
        <v>1004</v>
      </c>
      <c r="R123" s="129">
        <f t="shared" si="34"/>
        <v>0</v>
      </c>
      <c r="S123" s="129">
        <f t="shared" si="34"/>
        <v>0</v>
      </c>
    </row>
    <row r="124" spans="1:19" ht="13.5" hidden="1" customHeight="1" outlineLevel="1" x14ac:dyDescent="0.25">
      <c r="A124" s="143" t="s">
        <v>1103</v>
      </c>
      <c r="B124" s="241" t="s">
        <v>1104</v>
      </c>
      <c r="C124" s="145"/>
      <c r="D124" s="145"/>
      <c r="E124" s="145"/>
      <c r="F124" s="145"/>
      <c r="G124" s="145"/>
      <c r="H124" s="145"/>
      <c r="I124" s="145"/>
      <c r="J124" s="145"/>
      <c r="K124" s="133">
        <f t="shared" si="32"/>
        <v>0</v>
      </c>
      <c r="L124" s="145"/>
      <c r="M124" s="145"/>
      <c r="N124" s="135">
        <f t="shared" si="33"/>
        <v>0</v>
      </c>
      <c r="O124" s="145"/>
      <c r="P124" s="127"/>
      <c r="Q124" s="128" t="s">
        <v>1004</v>
      </c>
      <c r="R124" s="129">
        <f t="shared" si="34"/>
        <v>0</v>
      </c>
      <c r="S124" s="129">
        <f t="shared" si="34"/>
        <v>0</v>
      </c>
    </row>
    <row r="125" spans="1:19" ht="13.5" hidden="1" customHeight="1" outlineLevel="1" x14ac:dyDescent="0.25">
      <c r="A125" s="143" t="s">
        <v>1105</v>
      </c>
      <c r="B125" s="240" t="s">
        <v>1106</v>
      </c>
      <c r="C125" s="144"/>
      <c r="D125" s="144"/>
      <c r="E125" s="144"/>
      <c r="F125" s="144"/>
      <c r="G125" s="144"/>
      <c r="H125" s="144"/>
      <c r="I125" s="144"/>
      <c r="J125" s="144"/>
      <c r="K125" s="133">
        <f t="shared" si="32"/>
        <v>0</v>
      </c>
      <c r="L125" s="144"/>
      <c r="M125" s="144"/>
      <c r="N125" s="135">
        <f t="shared" si="33"/>
        <v>0</v>
      </c>
      <c r="O125" s="144"/>
      <c r="P125" s="127"/>
      <c r="Q125" s="128" t="s">
        <v>1004</v>
      </c>
      <c r="R125" s="129">
        <f t="shared" si="34"/>
        <v>0</v>
      </c>
      <c r="S125" s="129">
        <f t="shared" si="34"/>
        <v>0</v>
      </c>
    </row>
    <row r="126" spans="1:19" ht="13.5" hidden="1" customHeight="1" outlineLevel="1" x14ac:dyDescent="0.25">
      <c r="A126" s="143" t="s">
        <v>1107</v>
      </c>
      <c r="B126" s="241" t="s">
        <v>1108</v>
      </c>
      <c r="C126" s="145"/>
      <c r="D126" s="145"/>
      <c r="E126" s="145"/>
      <c r="F126" s="145"/>
      <c r="G126" s="145"/>
      <c r="H126" s="145"/>
      <c r="I126" s="145"/>
      <c r="J126" s="145"/>
      <c r="K126" s="133">
        <f t="shared" si="32"/>
        <v>0</v>
      </c>
      <c r="L126" s="145"/>
      <c r="M126" s="145"/>
      <c r="N126" s="135">
        <f t="shared" si="33"/>
        <v>0</v>
      </c>
      <c r="O126" s="145"/>
      <c r="P126" s="127"/>
      <c r="Q126" s="128" t="s">
        <v>1004</v>
      </c>
      <c r="R126" s="129">
        <f t="shared" si="34"/>
        <v>0</v>
      </c>
      <c r="S126" s="129">
        <f t="shared" si="34"/>
        <v>0</v>
      </c>
    </row>
    <row r="127" spans="1:19" ht="13.5" hidden="1" customHeight="1" outlineLevel="1" x14ac:dyDescent="0.25">
      <c r="A127" s="143" t="s">
        <v>1109</v>
      </c>
      <c r="B127" s="240" t="s">
        <v>1110</v>
      </c>
      <c r="C127" s="144"/>
      <c r="D127" s="144"/>
      <c r="E127" s="144"/>
      <c r="F127" s="144"/>
      <c r="G127" s="144"/>
      <c r="H127" s="144"/>
      <c r="I127" s="144"/>
      <c r="J127" s="144"/>
      <c r="K127" s="133">
        <f t="shared" si="32"/>
        <v>0</v>
      </c>
      <c r="L127" s="144"/>
      <c r="M127" s="144"/>
      <c r="N127" s="135">
        <f t="shared" si="33"/>
        <v>0</v>
      </c>
      <c r="O127" s="144"/>
      <c r="P127" s="127"/>
      <c r="Q127" s="128" t="s">
        <v>1004</v>
      </c>
      <c r="R127" s="129">
        <f t="shared" si="34"/>
        <v>0</v>
      </c>
      <c r="S127" s="129">
        <f t="shared" si="34"/>
        <v>0</v>
      </c>
    </row>
    <row r="128" spans="1:19" ht="13.5" hidden="1" customHeight="1" outlineLevel="1" x14ac:dyDescent="0.25">
      <c r="A128" s="143" t="s">
        <v>1111</v>
      </c>
      <c r="B128" s="241" t="s">
        <v>1112</v>
      </c>
      <c r="C128" s="145"/>
      <c r="D128" s="145"/>
      <c r="E128" s="145"/>
      <c r="F128" s="145"/>
      <c r="G128" s="145"/>
      <c r="H128" s="145"/>
      <c r="I128" s="145"/>
      <c r="J128" s="145"/>
      <c r="K128" s="133">
        <f t="shared" si="32"/>
        <v>0</v>
      </c>
      <c r="L128" s="145"/>
      <c r="M128" s="145"/>
      <c r="N128" s="135">
        <f t="shared" si="33"/>
        <v>0</v>
      </c>
      <c r="O128" s="145"/>
      <c r="P128" s="127"/>
      <c r="Q128" s="128" t="s">
        <v>1004</v>
      </c>
      <c r="R128" s="129">
        <f t="shared" si="34"/>
        <v>0</v>
      </c>
      <c r="S128" s="129">
        <f t="shared" si="34"/>
        <v>0</v>
      </c>
    </row>
    <row r="129" spans="1:19" ht="13.5" hidden="1" customHeight="1" outlineLevel="1" x14ac:dyDescent="0.25">
      <c r="A129" s="143" t="s">
        <v>1113</v>
      </c>
      <c r="B129" s="240" t="s">
        <v>1114</v>
      </c>
      <c r="C129" s="144"/>
      <c r="D129" s="144"/>
      <c r="E129" s="144"/>
      <c r="F129" s="144"/>
      <c r="G129" s="144"/>
      <c r="H129" s="144"/>
      <c r="I129" s="144"/>
      <c r="J129" s="144"/>
      <c r="K129" s="133">
        <f t="shared" ref="K129:K160" si="35">SUMIF($A$7:$A$92,A129,$K$7:$K$92)</f>
        <v>0</v>
      </c>
      <c r="L129" s="144"/>
      <c r="M129" s="144"/>
      <c r="N129" s="135">
        <f t="shared" ref="N129:N160" si="36">SUMIF($A$7:$A$92,A129,$N$7:$N$92)</f>
        <v>0</v>
      </c>
      <c r="O129" s="144"/>
      <c r="P129" s="127"/>
      <c r="Q129" s="128" t="s">
        <v>1004</v>
      </c>
      <c r="R129" s="129">
        <f t="shared" ref="R129:S160" si="37">+ROUND((K129+N129)*(1+SUMIF($R$2:$R$4,Q129,$S$2:$S$4)),0)</f>
        <v>0</v>
      </c>
      <c r="S129" s="129">
        <f t="shared" si="37"/>
        <v>0</v>
      </c>
    </row>
    <row r="130" spans="1:19" ht="13.5" hidden="1" customHeight="1" outlineLevel="1" x14ac:dyDescent="0.25">
      <c r="A130" s="143" t="s">
        <v>1115</v>
      </c>
      <c r="B130" s="241" t="s">
        <v>1116</v>
      </c>
      <c r="C130" s="145"/>
      <c r="D130" s="145"/>
      <c r="E130" s="145"/>
      <c r="F130" s="145"/>
      <c r="G130" s="145"/>
      <c r="H130" s="145"/>
      <c r="I130" s="145"/>
      <c r="J130" s="145"/>
      <c r="K130" s="133">
        <f t="shared" si="35"/>
        <v>0</v>
      </c>
      <c r="L130" s="145"/>
      <c r="M130" s="145"/>
      <c r="N130" s="135">
        <f t="shared" si="36"/>
        <v>0</v>
      </c>
      <c r="O130" s="145"/>
      <c r="P130" s="127"/>
      <c r="Q130" s="128" t="s">
        <v>1004</v>
      </c>
      <c r="R130" s="129">
        <f t="shared" si="37"/>
        <v>0</v>
      </c>
      <c r="S130" s="129">
        <f t="shared" si="37"/>
        <v>0</v>
      </c>
    </row>
    <row r="131" spans="1:19" ht="13.5" hidden="1" customHeight="1" outlineLevel="1" x14ac:dyDescent="0.25">
      <c r="A131" s="143" t="s">
        <v>1117</v>
      </c>
      <c r="B131" s="240" t="s">
        <v>1118</v>
      </c>
      <c r="C131" s="144"/>
      <c r="D131" s="144"/>
      <c r="E131" s="144"/>
      <c r="F131" s="144"/>
      <c r="G131" s="144"/>
      <c r="H131" s="144"/>
      <c r="I131" s="144"/>
      <c r="J131" s="144"/>
      <c r="K131" s="133">
        <f t="shared" si="35"/>
        <v>0</v>
      </c>
      <c r="L131" s="144"/>
      <c r="M131" s="144"/>
      <c r="N131" s="135">
        <f t="shared" si="36"/>
        <v>0</v>
      </c>
      <c r="O131" s="144"/>
      <c r="P131" s="127"/>
      <c r="Q131" s="128" t="s">
        <v>1004</v>
      </c>
      <c r="R131" s="129">
        <f t="shared" si="37"/>
        <v>0</v>
      </c>
      <c r="S131" s="129">
        <f t="shared" si="37"/>
        <v>0</v>
      </c>
    </row>
    <row r="132" spans="1:19" ht="13.5" hidden="1" customHeight="1" outlineLevel="1" x14ac:dyDescent="0.25">
      <c r="A132" s="143" t="s">
        <v>1119</v>
      </c>
      <c r="B132" s="241" t="s">
        <v>1120</v>
      </c>
      <c r="C132" s="145"/>
      <c r="D132" s="145"/>
      <c r="E132" s="145"/>
      <c r="F132" s="145"/>
      <c r="G132" s="145"/>
      <c r="H132" s="145"/>
      <c r="I132" s="145"/>
      <c r="J132" s="145"/>
      <c r="K132" s="133">
        <f t="shared" si="35"/>
        <v>0</v>
      </c>
      <c r="L132" s="145"/>
      <c r="M132" s="145"/>
      <c r="N132" s="135">
        <f t="shared" si="36"/>
        <v>0</v>
      </c>
      <c r="O132" s="145"/>
      <c r="P132" s="127"/>
      <c r="Q132" s="128" t="s">
        <v>1004</v>
      </c>
      <c r="R132" s="129">
        <f t="shared" si="37"/>
        <v>0</v>
      </c>
      <c r="S132" s="129">
        <f t="shared" si="37"/>
        <v>0</v>
      </c>
    </row>
    <row r="133" spans="1:19" ht="13.5" hidden="1" customHeight="1" outlineLevel="1" x14ac:dyDescent="0.25">
      <c r="A133" s="143" t="s">
        <v>1121</v>
      </c>
      <c r="B133" s="240" t="s">
        <v>1122</v>
      </c>
      <c r="C133" s="144"/>
      <c r="D133" s="144"/>
      <c r="E133" s="144"/>
      <c r="F133" s="144"/>
      <c r="G133" s="144"/>
      <c r="H133" s="144"/>
      <c r="I133" s="144"/>
      <c r="J133" s="144"/>
      <c r="K133" s="133">
        <f t="shared" si="35"/>
        <v>0</v>
      </c>
      <c r="L133" s="144"/>
      <c r="M133" s="144"/>
      <c r="N133" s="135">
        <f t="shared" si="36"/>
        <v>0</v>
      </c>
      <c r="O133" s="144"/>
      <c r="P133" s="127"/>
      <c r="Q133" s="128" t="s">
        <v>1004</v>
      </c>
      <c r="R133" s="129">
        <f t="shared" si="37"/>
        <v>0</v>
      </c>
      <c r="S133" s="129">
        <f t="shared" si="37"/>
        <v>0</v>
      </c>
    </row>
    <row r="134" spans="1:19" ht="13.5" hidden="1" customHeight="1" outlineLevel="1" x14ac:dyDescent="0.25">
      <c r="A134" s="143" t="s">
        <v>1123</v>
      </c>
      <c r="B134" s="241" t="s">
        <v>1124</v>
      </c>
      <c r="C134" s="145"/>
      <c r="D134" s="145"/>
      <c r="E134" s="145"/>
      <c r="F134" s="145"/>
      <c r="G134" s="145"/>
      <c r="H134" s="145"/>
      <c r="I134" s="145"/>
      <c r="J134" s="145"/>
      <c r="K134" s="133">
        <f t="shared" si="35"/>
        <v>0</v>
      </c>
      <c r="L134" s="145"/>
      <c r="M134" s="145"/>
      <c r="N134" s="135">
        <f t="shared" si="36"/>
        <v>0</v>
      </c>
      <c r="O134" s="145"/>
      <c r="P134" s="127"/>
      <c r="Q134" s="128" t="s">
        <v>1004</v>
      </c>
      <c r="R134" s="129">
        <f t="shared" si="37"/>
        <v>0</v>
      </c>
      <c r="S134" s="129">
        <f t="shared" si="37"/>
        <v>0</v>
      </c>
    </row>
    <row r="135" spans="1:19" ht="13.5" hidden="1" customHeight="1" outlineLevel="1" x14ac:dyDescent="0.25">
      <c r="A135" s="143" t="s">
        <v>1125</v>
      </c>
      <c r="B135" s="240" t="s">
        <v>1126</v>
      </c>
      <c r="C135" s="144"/>
      <c r="D135" s="144"/>
      <c r="E135" s="144"/>
      <c r="F135" s="144"/>
      <c r="G135" s="144"/>
      <c r="H135" s="144"/>
      <c r="I135" s="144"/>
      <c r="J135" s="144"/>
      <c r="K135" s="133">
        <f t="shared" si="35"/>
        <v>0</v>
      </c>
      <c r="L135" s="144"/>
      <c r="M135" s="144"/>
      <c r="N135" s="135">
        <f t="shared" si="36"/>
        <v>0</v>
      </c>
      <c r="O135" s="144"/>
      <c r="P135" s="127"/>
      <c r="Q135" s="128" t="s">
        <v>1004</v>
      </c>
      <c r="R135" s="129">
        <f t="shared" si="37"/>
        <v>0</v>
      </c>
      <c r="S135" s="129">
        <f t="shared" si="37"/>
        <v>0</v>
      </c>
    </row>
    <row r="136" spans="1:19" ht="13.5" hidden="1" customHeight="1" outlineLevel="1" x14ac:dyDescent="0.25">
      <c r="A136" s="143" t="s">
        <v>1127</v>
      </c>
      <c r="B136" s="241" t="s">
        <v>1128</v>
      </c>
      <c r="C136" s="145"/>
      <c r="D136" s="145"/>
      <c r="E136" s="145"/>
      <c r="F136" s="145"/>
      <c r="G136" s="145"/>
      <c r="H136" s="145"/>
      <c r="I136" s="145"/>
      <c r="J136" s="145"/>
      <c r="K136" s="133">
        <f t="shared" si="35"/>
        <v>0</v>
      </c>
      <c r="L136" s="145"/>
      <c r="M136" s="145"/>
      <c r="N136" s="135">
        <f t="shared" si="36"/>
        <v>0</v>
      </c>
      <c r="O136" s="145"/>
      <c r="P136" s="127"/>
      <c r="Q136" s="128" t="s">
        <v>1004</v>
      </c>
      <c r="R136" s="129">
        <f t="shared" si="37"/>
        <v>0</v>
      </c>
      <c r="S136" s="129">
        <f t="shared" si="37"/>
        <v>0</v>
      </c>
    </row>
    <row r="137" spans="1:19" ht="13.5" hidden="1" customHeight="1" outlineLevel="1" x14ac:dyDescent="0.25">
      <c r="A137" s="143" t="s">
        <v>1129</v>
      </c>
      <c r="B137" s="240" t="s">
        <v>1130</v>
      </c>
      <c r="C137" s="144"/>
      <c r="D137" s="144"/>
      <c r="E137" s="144"/>
      <c r="F137" s="144"/>
      <c r="G137" s="144"/>
      <c r="H137" s="144"/>
      <c r="I137" s="144"/>
      <c r="J137" s="144"/>
      <c r="K137" s="133">
        <f t="shared" si="35"/>
        <v>0</v>
      </c>
      <c r="L137" s="144"/>
      <c r="M137" s="144"/>
      <c r="N137" s="135">
        <f t="shared" si="36"/>
        <v>0</v>
      </c>
      <c r="O137" s="144"/>
      <c r="P137" s="127"/>
      <c r="Q137" s="128" t="s">
        <v>1004</v>
      </c>
      <c r="R137" s="129">
        <f t="shared" si="37"/>
        <v>0</v>
      </c>
      <c r="S137" s="129">
        <f t="shared" si="37"/>
        <v>0</v>
      </c>
    </row>
    <row r="138" spans="1:19" ht="13.5" hidden="1" customHeight="1" outlineLevel="1" x14ac:dyDescent="0.25">
      <c r="A138" s="143" t="s">
        <v>1131</v>
      </c>
      <c r="B138" s="241" t="s">
        <v>1132</v>
      </c>
      <c r="C138" s="145"/>
      <c r="D138" s="145"/>
      <c r="E138" s="145"/>
      <c r="F138" s="145"/>
      <c r="G138" s="145"/>
      <c r="H138" s="145"/>
      <c r="I138" s="145"/>
      <c r="J138" s="145"/>
      <c r="K138" s="133">
        <f t="shared" si="35"/>
        <v>0</v>
      </c>
      <c r="L138" s="145"/>
      <c r="M138" s="145"/>
      <c r="N138" s="135">
        <f t="shared" si="36"/>
        <v>0</v>
      </c>
      <c r="O138" s="145"/>
      <c r="P138" s="127"/>
      <c r="Q138" s="128" t="s">
        <v>1004</v>
      </c>
      <c r="R138" s="129">
        <f t="shared" si="37"/>
        <v>0</v>
      </c>
      <c r="S138" s="129">
        <f t="shared" si="37"/>
        <v>0</v>
      </c>
    </row>
    <row r="139" spans="1:19" ht="13.5" hidden="1" customHeight="1" outlineLevel="1" x14ac:dyDescent="0.25">
      <c r="A139" s="143" t="s">
        <v>1133</v>
      </c>
      <c r="B139" s="240" t="s">
        <v>1134</v>
      </c>
      <c r="C139" s="144"/>
      <c r="D139" s="144"/>
      <c r="E139" s="144"/>
      <c r="F139" s="144"/>
      <c r="G139" s="144"/>
      <c r="H139" s="144"/>
      <c r="I139" s="144"/>
      <c r="J139" s="144"/>
      <c r="K139" s="133">
        <f t="shared" si="35"/>
        <v>0</v>
      </c>
      <c r="L139" s="144"/>
      <c r="M139" s="144"/>
      <c r="N139" s="135">
        <f t="shared" si="36"/>
        <v>0</v>
      </c>
      <c r="O139" s="144"/>
      <c r="P139" s="127"/>
      <c r="Q139" s="128" t="s">
        <v>1004</v>
      </c>
      <c r="R139" s="129">
        <f t="shared" si="37"/>
        <v>0</v>
      </c>
      <c r="S139" s="129">
        <f t="shared" si="37"/>
        <v>0</v>
      </c>
    </row>
    <row r="140" spans="1:19" ht="13.5" hidden="1" customHeight="1" outlineLevel="1" x14ac:dyDescent="0.25">
      <c r="A140" s="143" t="s">
        <v>1135</v>
      </c>
      <c r="B140" s="241" t="s">
        <v>1136</v>
      </c>
      <c r="C140" s="145"/>
      <c r="D140" s="145"/>
      <c r="E140" s="145"/>
      <c r="F140" s="145"/>
      <c r="G140" s="145"/>
      <c r="H140" s="145"/>
      <c r="I140" s="145"/>
      <c r="J140" s="145"/>
      <c r="K140" s="133">
        <f t="shared" si="35"/>
        <v>0</v>
      </c>
      <c r="L140" s="145"/>
      <c r="M140" s="145"/>
      <c r="N140" s="135">
        <f t="shared" si="36"/>
        <v>0</v>
      </c>
      <c r="O140" s="145"/>
      <c r="P140" s="127"/>
      <c r="Q140" s="128" t="s">
        <v>1004</v>
      </c>
      <c r="R140" s="129">
        <f t="shared" si="37"/>
        <v>0</v>
      </c>
      <c r="S140" s="129">
        <f t="shared" si="37"/>
        <v>0</v>
      </c>
    </row>
    <row r="141" spans="1:19" ht="13.5" hidden="1" customHeight="1" outlineLevel="1" x14ac:dyDescent="0.25">
      <c r="A141" s="143" t="s">
        <v>1137</v>
      </c>
      <c r="B141" s="240" t="s">
        <v>1138</v>
      </c>
      <c r="C141" s="144"/>
      <c r="D141" s="144"/>
      <c r="E141" s="144"/>
      <c r="F141" s="144"/>
      <c r="G141" s="144"/>
      <c r="H141" s="144"/>
      <c r="I141" s="144"/>
      <c r="J141" s="144"/>
      <c r="K141" s="133">
        <f t="shared" si="35"/>
        <v>0</v>
      </c>
      <c r="L141" s="144"/>
      <c r="M141" s="144"/>
      <c r="N141" s="135">
        <f t="shared" si="36"/>
        <v>0</v>
      </c>
      <c r="O141" s="144"/>
      <c r="P141" s="127"/>
      <c r="Q141" s="128" t="s">
        <v>1004</v>
      </c>
      <c r="R141" s="129">
        <f t="shared" si="37"/>
        <v>0</v>
      </c>
      <c r="S141" s="129">
        <f t="shared" si="37"/>
        <v>0</v>
      </c>
    </row>
    <row r="142" spans="1:19" ht="13.5" hidden="1" customHeight="1" outlineLevel="1" x14ac:dyDescent="0.25">
      <c r="A142" s="143" t="s">
        <v>1139</v>
      </c>
      <c r="B142" s="241" t="s">
        <v>1140</v>
      </c>
      <c r="C142" s="145"/>
      <c r="D142" s="145"/>
      <c r="E142" s="145"/>
      <c r="F142" s="145"/>
      <c r="G142" s="145"/>
      <c r="H142" s="145"/>
      <c r="I142" s="145"/>
      <c r="J142" s="145"/>
      <c r="K142" s="133">
        <f t="shared" si="35"/>
        <v>0</v>
      </c>
      <c r="L142" s="145"/>
      <c r="M142" s="145"/>
      <c r="N142" s="135">
        <f t="shared" si="36"/>
        <v>0</v>
      </c>
      <c r="O142" s="145"/>
      <c r="P142" s="127"/>
      <c r="Q142" s="128" t="s">
        <v>1004</v>
      </c>
      <c r="R142" s="129">
        <f t="shared" si="37"/>
        <v>0</v>
      </c>
      <c r="S142" s="129">
        <f t="shared" si="37"/>
        <v>0</v>
      </c>
    </row>
    <row r="143" spans="1:19" ht="13.5" hidden="1" customHeight="1" outlineLevel="1" x14ac:dyDescent="0.25">
      <c r="A143" s="143" t="s">
        <v>1141</v>
      </c>
      <c r="B143" s="240" t="s">
        <v>1142</v>
      </c>
      <c r="C143" s="144"/>
      <c r="D143" s="144"/>
      <c r="E143" s="144"/>
      <c r="F143" s="144"/>
      <c r="G143" s="144"/>
      <c r="H143" s="144"/>
      <c r="I143" s="144"/>
      <c r="J143" s="144"/>
      <c r="K143" s="133">
        <f t="shared" si="35"/>
        <v>0</v>
      </c>
      <c r="L143" s="144"/>
      <c r="M143" s="144"/>
      <c r="N143" s="135">
        <f t="shared" si="36"/>
        <v>0</v>
      </c>
      <c r="O143" s="144"/>
      <c r="P143" s="127"/>
      <c r="Q143" s="128" t="s">
        <v>1004</v>
      </c>
      <c r="R143" s="129">
        <f t="shared" si="37"/>
        <v>0</v>
      </c>
      <c r="S143" s="129">
        <f t="shared" si="37"/>
        <v>0</v>
      </c>
    </row>
    <row r="144" spans="1:19" ht="13.5" hidden="1" customHeight="1" outlineLevel="1" x14ac:dyDescent="0.25">
      <c r="A144" s="143" t="s">
        <v>1143</v>
      </c>
      <c r="B144" s="241" t="s">
        <v>1144</v>
      </c>
      <c r="C144" s="145"/>
      <c r="D144" s="145"/>
      <c r="E144" s="145"/>
      <c r="F144" s="145"/>
      <c r="G144" s="145"/>
      <c r="H144" s="145"/>
      <c r="I144" s="145"/>
      <c r="J144" s="145"/>
      <c r="K144" s="133">
        <f t="shared" si="35"/>
        <v>0</v>
      </c>
      <c r="L144" s="145"/>
      <c r="M144" s="145"/>
      <c r="N144" s="135">
        <f t="shared" si="36"/>
        <v>0</v>
      </c>
      <c r="O144" s="145"/>
      <c r="P144" s="127"/>
      <c r="Q144" s="128" t="s">
        <v>1004</v>
      </c>
      <c r="R144" s="129">
        <f t="shared" si="37"/>
        <v>0</v>
      </c>
      <c r="S144" s="129">
        <f t="shared" si="37"/>
        <v>0</v>
      </c>
    </row>
    <row r="145" spans="1:19" ht="13.5" hidden="1" customHeight="1" outlineLevel="1" x14ac:dyDescent="0.25">
      <c r="A145" s="143" t="s">
        <v>1145</v>
      </c>
      <c r="B145" s="240" t="s">
        <v>1146</v>
      </c>
      <c r="C145" s="144"/>
      <c r="D145" s="144"/>
      <c r="E145" s="144"/>
      <c r="F145" s="144"/>
      <c r="G145" s="144"/>
      <c r="H145" s="144"/>
      <c r="I145" s="144"/>
      <c r="J145" s="144"/>
      <c r="K145" s="133">
        <f t="shared" si="35"/>
        <v>0</v>
      </c>
      <c r="L145" s="144"/>
      <c r="M145" s="144"/>
      <c r="N145" s="135">
        <f t="shared" si="36"/>
        <v>0</v>
      </c>
      <c r="O145" s="144"/>
      <c r="P145" s="127"/>
      <c r="Q145" s="128" t="s">
        <v>1004</v>
      </c>
      <c r="R145" s="129">
        <f t="shared" si="37"/>
        <v>0</v>
      </c>
      <c r="S145" s="129">
        <f t="shared" si="37"/>
        <v>0</v>
      </c>
    </row>
    <row r="146" spans="1:19" ht="13.5" hidden="1" customHeight="1" outlineLevel="1" x14ac:dyDescent="0.25">
      <c r="A146" s="143" t="s">
        <v>1147</v>
      </c>
      <c r="B146" s="241" t="s">
        <v>1148</v>
      </c>
      <c r="C146" s="145"/>
      <c r="D146" s="145"/>
      <c r="E146" s="145"/>
      <c r="F146" s="145"/>
      <c r="G146" s="145"/>
      <c r="H146" s="145"/>
      <c r="I146" s="145"/>
      <c r="J146" s="145"/>
      <c r="K146" s="133">
        <f t="shared" si="35"/>
        <v>0</v>
      </c>
      <c r="L146" s="145"/>
      <c r="M146" s="145"/>
      <c r="N146" s="135">
        <f t="shared" si="36"/>
        <v>0</v>
      </c>
      <c r="O146" s="145"/>
      <c r="P146" s="127"/>
      <c r="Q146" s="128" t="s">
        <v>1004</v>
      </c>
      <c r="R146" s="129">
        <f t="shared" si="37"/>
        <v>0</v>
      </c>
      <c r="S146" s="129">
        <f t="shared" si="37"/>
        <v>0</v>
      </c>
    </row>
    <row r="147" spans="1:19" ht="13.5" hidden="1" customHeight="1" outlineLevel="1" x14ac:dyDescent="0.25">
      <c r="A147" s="143" t="s">
        <v>1149</v>
      </c>
      <c r="B147" s="240" t="s">
        <v>1150</v>
      </c>
      <c r="C147" s="144"/>
      <c r="D147" s="144"/>
      <c r="E147" s="144"/>
      <c r="F147" s="144"/>
      <c r="G147" s="144"/>
      <c r="H147" s="144"/>
      <c r="I147" s="144"/>
      <c r="J147" s="144"/>
      <c r="K147" s="133">
        <f t="shared" si="35"/>
        <v>0</v>
      </c>
      <c r="L147" s="144"/>
      <c r="M147" s="144"/>
      <c r="N147" s="135">
        <f t="shared" si="36"/>
        <v>0</v>
      </c>
      <c r="O147" s="144"/>
      <c r="P147" s="127"/>
      <c r="Q147" s="128" t="s">
        <v>1004</v>
      </c>
      <c r="R147" s="129">
        <f t="shared" si="37"/>
        <v>0</v>
      </c>
      <c r="S147" s="129">
        <f t="shared" si="37"/>
        <v>0</v>
      </c>
    </row>
    <row r="148" spans="1:19" ht="13.5" hidden="1" customHeight="1" outlineLevel="1" x14ac:dyDescent="0.25">
      <c r="A148" s="143" t="s">
        <v>1151</v>
      </c>
      <c r="B148" s="241" t="s">
        <v>1152</v>
      </c>
      <c r="C148" s="145"/>
      <c r="D148" s="145"/>
      <c r="E148" s="145"/>
      <c r="F148" s="145"/>
      <c r="G148" s="145"/>
      <c r="H148" s="145"/>
      <c r="I148" s="145"/>
      <c r="J148" s="145"/>
      <c r="K148" s="133">
        <f t="shared" si="35"/>
        <v>0</v>
      </c>
      <c r="L148" s="145"/>
      <c r="M148" s="145"/>
      <c r="N148" s="135">
        <f t="shared" si="36"/>
        <v>0</v>
      </c>
      <c r="O148" s="145"/>
      <c r="P148" s="127"/>
      <c r="Q148" s="128" t="s">
        <v>1004</v>
      </c>
      <c r="R148" s="129">
        <f t="shared" si="37"/>
        <v>0</v>
      </c>
      <c r="S148" s="129">
        <f t="shared" si="37"/>
        <v>0</v>
      </c>
    </row>
    <row r="149" spans="1:19" ht="13.5" hidden="1" customHeight="1" outlineLevel="1" x14ac:dyDescent="0.25">
      <c r="A149" s="143" t="s">
        <v>1153</v>
      </c>
      <c r="B149" s="240" t="s">
        <v>1154</v>
      </c>
      <c r="C149" s="144"/>
      <c r="D149" s="144"/>
      <c r="E149" s="144"/>
      <c r="F149" s="144"/>
      <c r="G149" s="144"/>
      <c r="H149" s="144"/>
      <c r="I149" s="144"/>
      <c r="J149" s="144"/>
      <c r="K149" s="133">
        <f t="shared" si="35"/>
        <v>0</v>
      </c>
      <c r="L149" s="144"/>
      <c r="M149" s="144"/>
      <c r="N149" s="135">
        <f t="shared" si="36"/>
        <v>0</v>
      </c>
      <c r="O149" s="144"/>
      <c r="P149" s="127"/>
      <c r="Q149" s="128" t="s">
        <v>1004</v>
      </c>
      <c r="R149" s="129">
        <f t="shared" si="37"/>
        <v>0</v>
      </c>
      <c r="S149" s="129">
        <f t="shared" si="37"/>
        <v>0</v>
      </c>
    </row>
    <row r="150" spans="1:19" ht="13.5" hidden="1" customHeight="1" outlineLevel="1" x14ac:dyDescent="0.25">
      <c r="A150" s="143" t="s">
        <v>1155</v>
      </c>
      <c r="B150" s="241" t="s">
        <v>1156</v>
      </c>
      <c r="C150" s="145"/>
      <c r="D150" s="145"/>
      <c r="E150" s="145"/>
      <c r="F150" s="145"/>
      <c r="G150" s="145"/>
      <c r="H150" s="145"/>
      <c r="I150" s="145"/>
      <c r="J150" s="145"/>
      <c r="K150" s="133">
        <f t="shared" si="35"/>
        <v>0</v>
      </c>
      <c r="L150" s="145"/>
      <c r="M150" s="145"/>
      <c r="N150" s="135">
        <f t="shared" si="36"/>
        <v>0</v>
      </c>
      <c r="O150" s="145"/>
      <c r="P150" s="127"/>
      <c r="Q150" s="128" t="s">
        <v>1004</v>
      </c>
      <c r="R150" s="129">
        <f t="shared" si="37"/>
        <v>0</v>
      </c>
      <c r="S150" s="129">
        <f t="shared" si="37"/>
        <v>0</v>
      </c>
    </row>
    <row r="151" spans="1:19" ht="13.5" hidden="1" customHeight="1" outlineLevel="1" x14ac:dyDescent="0.25">
      <c r="A151" s="143" t="s">
        <v>1157</v>
      </c>
      <c r="B151" s="240" t="s">
        <v>1158</v>
      </c>
      <c r="C151" s="144"/>
      <c r="D151" s="144"/>
      <c r="E151" s="144"/>
      <c r="F151" s="144"/>
      <c r="G151" s="144"/>
      <c r="H151" s="144"/>
      <c r="I151" s="144"/>
      <c r="J151" s="144"/>
      <c r="K151" s="133">
        <f t="shared" si="35"/>
        <v>0</v>
      </c>
      <c r="L151" s="144"/>
      <c r="M151" s="144"/>
      <c r="N151" s="135">
        <f t="shared" si="36"/>
        <v>0</v>
      </c>
      <c r="O151" s="144"/>
      <c r="P151" s="127"/>
      <c r="Q151" s="128" t="s">
        <v>1004</v>
      </c>
      <c r="R151" s="129">
        <f t="shared" si="37"/>
        <v>0</v>
      </c>
      <c r="S151" s="129">
        <f t="shared" si="37"/>
        <v>0</v>
      </c>
    </row>
    <row r="152" spans="1:19" ht="13.5" hidden="1" customHeight="1" outlineLevel="1" x14ac:dyDescent="0.25">
      <c r="A152" s="143" t="s">
        <v>1159</v>
      </c>
      <c r="B152" s="241" t="s">
        <v>1160</v>
      </c>
      <c r="C152" s="145"/>
      <c r="D152" s="145"/>
      <c r="E152" s="145"/>
      <c r="F152" s="145"/>
      <c r="G152" s="145"/>
      <c r="H152" s="145"/>
      <c r="I152" s="145"/>
      <c r="J152" s="145"/>
      <c r="K152" s="133">
        <f t="shared" si="35"/>
        <v>0</v>
      </c>
      <c r="L152" s="145"/>
      <c r="M152" s="145"/>
      <c r="N152" s="135">
        <f t="shared" si="36"/>
        <v>0</v>
      </c>
      <c r="O152" s="145"/>
      <c r="P152" s="127"/>
      <c r="Q152" s="128" t="s">
        <v>1004</v>
      </c>
      <c r="R152" s="129">
        <f t="shared" si="37"/>
        <v>0</v>
      </c>
      <c r="S152" s="129">
        <f t="shared" si="37"/>
        <v>0</v>
      </c>
    </row>
    <row r="153" spans="1:19" ht="13.5" hidden="1" customHeight="1" outlineLevel="1" x14ac:dyDescent="0.25">
      <c r="A153" s="143" t="s">
        <v>1161</v>
      </c>
      <c r="B153" s="240" t="s">
        <v>1162</v>
      </c>
      <c r="C153" s="144"/>
      <c r="D153" s="144"/>
      <c r="E153" s="144"/>
      <c r="F153" s="144"/>
      <c r="G153" s="144"/>
      <c r="H153" s="144"/>
      <c r="I153" s="144"/>
      <c r="J153" s="144"/>
      <c r="K153" s="133">
        <f t="shared" si="35"/>
        <v>0</v>
      </c>
      <c r="L153" s="144"/>
      <c r="M153" s="144"/>
      <c r="N153" s="135">
        <f t="shared" si="36"/>
        <v>0</v>
      </c>
      <c r="O153" s="144"/>
      <c r="P153" s="127"/>
      <c r="Q153" s="128" t="s">
        <v>1004</v>
      </c>
      <c r="R153" s="129">
        <f t="shared" si="37"/>
        <v>0</v>
      </c>
      <c r="S153" s="129">
        <f t="shared" si="37"/>
        <v>0</v>
      </c>
    </row>
    <row r="154" spans="1:19" ht="13.5" hidden="1" customHeight="1" outlineLevel="1" x14ac:dyDescent="0.25">
      <c r="A154" s="143" t="s">
        <v>1163</v>
      </c>
      <c r="B154" s="241" t="s">
        <v>1164</v>
      </c>
      <c r="C154" s="145"/>
      <c r="D154" s="145"/>
      <c r="E154" s="145"/>
      <c r="F154" s="145"/>
      <c r="G154" s="145"/>
      <c r="H154" s="145"/>
      <c r="I154" s="145"/>
      <c r="J154" s="145"/>
      <c r="K154" s="133">
        <f t="shared" si="35"/>
        <v>0</v>
      </c>
      <c r="L154" s="145"/>
      <c r="M154" s="145"/>
      <c r="N154" s="135">
        <f t="shared" si="36"/>
        <v>0</v>
      </c>
      <c r="O154" s="145"/>
      <c r="P154" s="127"/>
      <c r="Q154" s="128" t="s">
        <v>1004</v>
      </c>
      <c r="R154" s="129">
        <f t="shared" si="37"/>
        <v>0</v>
      </c>
      <c r="S154" s="129">
        <f t="shared" si="37"/>
        <v>0</v>
      </c>
    </row>
    <row r="155" spans="1:19" ht="13.5" hidden="1" customHeight="1" outlineLevel="1" x14ac:dyDescent="0.25">
      <c r="A155" s="143" t="s">
        <v>1165</v>
      </c>
      <c r="B155" s="240" t="s">
        <v>1166</v>
      </c>
      <c r="C155" s="144"/>
      <c r="D155" s="144"/>
      <c r="E155" s="144"/>
      <c r="F155" s="144"/>
      <c r="G155" s="144"/>
      <c r="H155" s="144"/>
      <c r="I155" s="144"/>
      <c r="J155" s="144"/>
      <c r="K155" s="133">
        <f t="shared" si="35"/>
        <v>0</v>
      </c>
      <c r="L155" s="144"/>
      <c r="M155" s="144"/>
      <c r="N155" s="135">
        <f t="shared" si="36"/>
        <v>0</v>
      </c>
      <c r="O155" s="144"/>
      <c r="P155" s="127"/>
      <c r="Q155" s="128" t="s">
        <v>1004</v>
      </c>
      <c r="R155" s="129">
        <f t="shared" si="37"/>
        <v>0</v>
      </c>
      <c r="S155" s="129">
        <f t="shared" si="37"/>
        <v>0</v>
      </c>
    </row>
    <row r="156" spans="1:19" ht="13.5" hidden="1" customHeight="1" outlineLevel="1" x14ac:dyDescent="0.25">
      <c r="A156" s="143" t="s">
        <v>1167</v>
      </c>
      <c r="B156" s="241" t="s">
        <v>1168</v>
      </c>
      <c r="C156" s="145"/>
      <c r="D156" s="145"/>
      <c r="E156" s="145"/>
      <c r="F156" s="145"/>
      <c r="G156" s="145"/>
      <c r="H156" s="145"/>
      <c r="I156" s="145"/>
      <c r="J156" s="145"/>
      <c r="K156" s="133">
        <f t="shared" si="35"/>
        <v>0</v>
      </c>
      <c r="L156" s="145"/>
      <c r="M156" s="145"/>
      <c r="N156" s="135">
        <f t="shared" si="36"/>
        <v>0</v>
      </c>
      <c r="O156" s="145"/>
      <c r="P156" s="127"/>
      <c r="Q156" s="128" t="s">
        <v>1004</v>
      </c>
      <c r="R156" s="129">
        <f t="shared" si="37"/>
        <v>0</v>
      </c>
      <c r="S156" s="129">
        <f t="shared" si="37"/>
        <v>0</v>
      </c>
    </row>
    <row r="157" spans="1:19" ht="13.5" hidden="1" customHeight="1" outlineLevel="1" x14ac:dyDescent="0.25">
      <c r="A157" s="143" t="s">
        <v>1169</v>
      </c>
      <c r="B157" s="240" t="s">
        <v>1170</v>
      </c>
      <c r="C157" s="144"/>
      <c r="D157" s="144"/>
      <c r="E157" s="144"/>
      <c r="F157" s="144"/>
      <c r="G157" s="144"/>
      <c r="H157" s="144"/>
      <c r="I157" s="144"/>
      <c r="J157" s="144"/>
      <c r="K157" s="133">
        <f t="shared" si="35"/>
        <v>0</v>
      </c>
      <c r="L157" s="144"/>
      <c r="M157" s="144"/>
      <c r="N157" s="135">
        <f t="shared" si="36"/>
        <v>0</v>
      </c>
      <c r="O157" s="144"/>
      <c r="P157" s="127"/>
      <c r="Q157" s="128" t="s">
        <v>1004</v>
      </c>
      <c r="R157" s="129">
        <f t="shared" si="37"/>
        <v>0</v>
      </c>
      <c r="S157" s="129">
        <f t="shared" si="37"/>
        <v>0</v>
      </c>
    </row>
    <row r="158" spans="1:19" ht="13.5" hidden="1" customHeight="1" outlineLevel="1" x14ac:dyDescent="0.25">
      <c r="A158" s="143" t="s">
        <v>1171</v>
      </c>
      <c r="B158" s="241" t="s">
        <v>1172</v>
      </c>
      <c r="C158" s="145"/>
      <c r="D158" s="145"/>
      <c r="E158" s="145"/>
      <c r="F158" s="145"/>
      <c r="G158" s="145"/>
      <c r="H158" s="145"/>
      <c r="I158" s="145"/>
      <c r="J158" s="145"/>
      <c r="K158" s="133">
        <f t="shared" si="35"/>
        <v>0</v>
      </c>
      <c r="L158" s="145"/>
      <c r="M158" s="145"/>
      <c r="N158" s="135">
        <f t="shared" si="36"/>
        <v>0</v>
      </c>
      <c r="O158" s="145"/>
      <c r="P158" s="127"/>
      <c r="Q158" s="128" t="s">
        <v>1004</v>
      </c>
      <c r="R158" s="129">
        <f t="shared" si="37"/>
        <v>0</v>
      </c>
      <c r="S158" s="129">
        <f t="shared" si="37"/>
        <v>0</v>
      </c>
    </row>
    <row r="159" spans="1:19" ht="13.5" hidden="1" customHeight="1" outlineLevel="1" x14ac:dyDescent="0.25">
      <c r="A159" s="143" t="s">
        <v>1173</v>
      </c>
      <c r="B159" s="240" t="s">
        <v>1174</v>
      </c>
      <c r="C159" s="144"/>
      <c r="D159" s="144"/>
      <c r="E159" s="144"/>
      <c r="F159" s="144"/>
      <c r="G159" s="144"/>
      <c r="H159" s="144"/>
      <c r="I159" s="144"/>
      <c r="J159" s="144"/>
      <c r="K159" s="133">
        <f t="shared" si="35"/>
        <v>0</v>
      </c>
      <c r="L159" s="144"/>
      <c r="M159" s="144"/>
      <c r="N159" s="135">
        <f t="shared" si="36"/>
        <v>0</v>
      </c>
      <c r="O159" s="144"/>
      <c r="P159" s="127"/>
      <c r="Q159" s="128" t="s">
        <v>1004</v>
      </c>
      <c r="R159" s="129">
        <f t="shared" si="37"/>
        <v>0</v>
      </c>
      <c r="S159" s="129">
        <f t="shared" si="37"/>
        <v>0</v>
      </c>
    </row>
    <row r="160" spans="1:19" ht="13.5" hidden="1" customHeight="1" outlineLevel="1" x14ac:dyDescent="0.25">
      <c r="A160" s="143" t="s">
        <v>1175</v>
      </c>
      <c r="B160" s="241" t="s">
        <v>157</v>
      </c>
      <c r="C160" s="145"/>
      <c r="D160" s="145"/>
      <c r="E160" s="145"/>
      <c r="F160" s="145"/>
      <c r="G160" s="145"/>
      <c r="H160" s="145"/>
      <c r="I160" s="145"/>
      <c r="J160" s="145"/>
      <c r="K160" s="133">
        <f t="shared" si="35"/>
        <v>0</v>
      </c>
      <c r="L160" s="145"/>
      <c r="M160" s="145"/>
      <c r="N160" s="135">
        <f t="shared" si="36"/>
        <v>0</v>
      </c>
      <c r="O160" s="145"/>
      <c r="P160" s="127"/>
      <c r="Q160" s="128" t="s">
        <v>1004</v>
      </c>
      <c r="R160" s="129">
        <f t="shared" si="37"/>
        <v>0</v>
      </c>
      <c r="S160" s="129">
        <f t="shared" si="37"/>
        <v>0</v>
      </c>
    </row>
    <row r="161" spans="1:19" ht="13.5" hidden="1" customHeight="1" outlineLevel="1" x14ac:dyDescent="0.25">
      <c r="A161" s="143" t="s">
        <v>1176</v>
      </c>
      <c r="B161" s="240" t="s">
        <v>1177</v>
      </c>
      <c r="C161" s="144"/>
      <c r="D161" s="144"/>
      <c r="E161" s="144"/>
      <c r="F161" s="144"/>
      <c r="G161" s="144"/>
      <c r="H161" s="144"/>
      <c r="I161" s="144"/>
      <c r="J161" s="144"/>
      <c r="K161" s="133">
        <f t="shared" ref="K161:K192" si="38">SUMIF($A$7:$A$92,A161,$K$7:$K$92)</f>
        <v>0</v>
      </c>
      <c r="L161" s="144"/>
      <c r="M161" s="144"/>
      <c r="N161" s="135">
        <f t="shared" ref="N161:N192" si="39">SUMIF($A$7:$A$92,A161,$N$7:$N$92)</f>
        <v>0</v>
      </c>
      <c r="O161" s="144"/>
      <c r="P161" s="127"/>
      <c r="Q161" s="128" t="s">
        <v>1004</v>
      </c>
      <c r="R161" s="129">
        <f t="shared" ref="R161:S192" si="40">+ROUND((K161+N161)*(1+SUMIF($R$2:$R$4,Q161,$S$2:$S$4)),0)</f>
        <v>0</v>
      </c>
      <c r="S161" s="129">
        <f t="shared" si="40"/>
        <v>0</v>
      </c>
    </row>
    <row r="162" spans="1:19" ht="13.5" hidden="1" customHeight="1" outlineLevel="1" x14ac:dyDescent="0.25">
      <c r="A162" s="143" t="s">
        <v>1178</v>
      </c>
      <c r="B162" s="241" t="s">
        <v>1179</v>
      </c>
      <c r="C162" s="145"/>
      <c r="D162" s="145"/>
      <c r="E162" s="145"/>
      <c r="F162" s="145"/>
      <c r="G162" s="145"/>
      <c r="H162" s="145"/>
      <c r="I162" s="145"/>
      <c r="J162" s="145"/>
      <c r="K162" s="133">
        <f t="shared" si="38"/>
        <v>0</v>
      </c>
      <c r="L162" s="145"/>
      <c r="M162" s="145"/>
      <c r="N162" s="135">
        <f t="shared" si="39"/>
        <v>0</v>
      </c>
      <c r="O162" s="145"/>
      <c r="P162" s="127"/>
      <c r="Q162" s="128" t="s">
        <v>1004</v>
      </c>
      <c r="R162" s="129">
        <f t="shared" si="40"/>
        <v>0</v>
      </c>
      <c r="S162" s="129">
        <f t="shared" si="40"/>
        <v>0</v>
      </c>
    </row>
    <row r="163" spans="1:19" ht="13.5" hidden="1" customHeight="1" outlineLevel="1" x14ac:dyDescent="0.25">
      <c r="A163" s="143" t="s">
        <v>1180</v>
      </c>
      <c r="B163" s="240" t="s">
        <v>1181</v>
      </c>
      <c r="C163" s="144"/>
      <c r="D163" s="144"/>
      <c r="E163" s="144"/>
      <c r="F163" s="144"/>
      <c r="G163" s="144"/>
      <c r="H163" s="144"/>
      <c r="I163" s="144"/>
      <c r="J163" s="144"/>
      <c r="K163" s="133">
        <f t="shared" si="38"/>
        <v>0</v>
      </c>
      <c r="L163" s="144"/>
      <c r="M163" s="144"/>
      <c r="N163" s="135">
        <f t="shared" si="39"/>
        <v>0</v>
      </c>
      <c r="O163" s="144"/>
      <c r="P163" s="127"/>
      <c r="Q163" s="128" t="s">
        <v>1004</v>
      </c>
      <c r="R163" s="129">
        <f t="shared" si="40"/>
        <v>0</v>
      </c>
      <c r="S163" s="129">
        <f t="shared" si="40"/>
        <v>0</v>
      </c>
    </row>
    <row r="164" spans="1:19" ht="13.5" hidden="1" customHeight="1" outlineLevel="1" x14ac:dyDescent="0.25">
      <c r="A164" s="143" t="s">
        <v>1182</v>
      </c>
      <c r="B164" s="241" t="s">
        <v>1183</v>
      </c>
      <c r="C164" s="145"/>
      <c r="D164" s="145"/>
      <c r="E164" s="145"/>
      <c r="F164" s="145"/>
      <c r="G164" s="145"/>
      <c r="H164" s="145"/>
      <c r="I164" s="145"/>
      <c r="J164" s="145"/>
      <c r="K164" s="133">
        <f t="shared" si="38"/>
        <v>0</v>
      </c>
      <c r="L164" s="145"/>
      <c r="M164" s="145"/>
      <c r="N164" s="135">
        <f t="shared" si="39"/>
        <v>0</v>
      </c>
      <c r="O164" s="145"/>
      <c r="P164" s="127"/>
      <c r="Q164" s="128" t="s">
        <v>1004</v>
      </c>
      <c r="R164" s="129">
        <f t="shared" si="40"/>
        <v>0</v>
      </c>
      <c r="S164" s="129">
        <f t="shared" si="40"/>
        <v>0</v>
      </c>
    </row>
    <row r="165" spans="1:19" ht="13.5" hidden="1" customHeight="1" outlineLevel="1" x14ac:dyDescent="0.25">
      <c r="A165" s="143" t="s">
        <v>1184</v>
      </c>
      <c r="B165" s="240" t="s">
        <v>1185</v>
      </c>
      <c r="C165" s="144"/>
      <c r="D165" s="144"/>
      <c r="E165" s="144"/>
      <c r="F165" s="144"/>
      <c r="G165" s="144"/>
      <c r="H165" s="144"/>
      <c r="I165" s="144"/>
      <c r="J165" s="144"/>
      <c r="K165" s="133">
        <f t="shared" si="38"/>
        <v>0</v>
      </c>
      <c r="L165" s="144"/>
      <c r="M165" s="144"/>
      <c r="N165" s="135">
        <f t="shared" si="39"/>
        <v>0</v>
      </c>
      <c r="O165" s="144"/>
      <c r="P165" s="127"/>
      <c r="Q165" s="128" t="s">
        <v>1004</v>
      </c>
      <c r="R165" s="129">
        <f t="shared" si="40"/>
        <v>0</v>
      </c>
      <c r="S165" s="129">
        <f t="shared" si="40"/>
        <v>0</v>
      </c>
    </row>
    <row r="166" spans="1:19" ht="13.5" hidden="1" customHeight="1" outlineLevel="1" x14ac:dyDescent="0.25">
      <c r="A166" s="143" t="s">
        <v>1186</v>
      </c>
      <c r="B166" s="241" t="s">
        <v>1187</v>
      </c>
      <c r="C166" s="145"/>
      <c r="D166" s="145"/>
      <c r="E166" s="145"/>
      <c r="F166" s="145"/>
      <c r="G166" s="145"/>
      <c r="H166" s="145"/>
      <c r="I166" s="145"/>
      <c r="J166" s="145"/>
      <c r="K166" s="133">
        <f t="shared" si="38"/>
        <v>0</v>
      </c>
      <c r="L166" s="145"/>
      <c r="M166" s="145"/>
      <c r="N166" s="135">
        <f t="shared" si="39"/>
        <v>0</v>
      </c>
      <c r="O166" s="145"/>
      <c r="P166" s="127"/>
      <c r="Q166" s="128" t="s">
        <v>1004</v>
      </c>
      <c r="R166" s="129">
        <f t="shared" si="40"/>
        <v>0</v>
      </c>
      <c r="S166" s="129">
        <f t="shared" si="40"/>
        <v>0</v>
      </c>
    </row>
    <row r="167" spans="1:19" ht="13.5" hidden="1" customHeight="1" outlineLevel="1" x14ac:dyDescent="0.25">
      <c r="A167" s="143" t="s">
        <v>1188</v>
      </c>
      <c r="B167" s="240" t="s">
        <v>166</v>
      </c>
      <c r="C167" s="144"/>
      <c r="D167" s="144"/>
      <c r="E167" s="144"/>
      <c r="F167" s="144"/>
      <c r="G167" s="144"/>
      <c r="H167" s="144"/>
      <c r="I167" s="144"/>
      <c r="J167" s="144"/>
      <c r="K167" s="133">
        <f t="shared" si="38"/>
        <v>0</v>
      </c>
      <c r="L167" s="144"/>
      <c r="M167" s="144"/>
      <c r="N167" s="135">
        <f t="shared" si="39"/>
        <v>0</v>
      </c>
      <c r="O167" s="144"/>
      <c r="P167" s="127"/>
      <c r="Q167" s="128" t="s">
        <v>1004</v>
      </c>
      <c r="R167" s="129">
        <f t="shared" si="40"/>
        <v>0</v>
      </c>
      <c r="S167" s="129">
        <f t="shared" si="40"/>
        <v>0</v>
      </c>
    </row>
    <row r="168" spans="1:19" ht="13.5" hidden="1" customHeight="1" outlineLevel="1" x14ac:dyDescent="0.25">
      <c r="A168" s="143" t="s">
        <v>1189</v>
      </c>
      <c r="B168" s="241" t="s">
        <v>1190</v>
      </c>
      <c r="C168" s="145"/>
      <c r="D168" s="145"/>
      <c r="E168" s="145"/>
      <c r="F168" s="145"/>
      <c r="G168" s="145"/>
      <c r="H168" s="145"/>
      <c r="I168" s="145"/>
      <c r="J168" s="145"/>
      <c r="K168" s="133">
        <f t="shared" si="38"/>
        <v>0</v>
      </c>
      <c r="L168" s="145"/>
      <c r="M168" s="145"/>
      <c r="N168" s="135">
        <f t="shared" si="39"/>
        <v>0</v>
      </c>
      <c r="O168" s="145"/>
      <c r="P168" s="127"/>
      <c r="Q168" s="128" t="s">
        <v>1004</v>
      </c>
      <c r="R168" s="129">
        <f t="shared" si="40"/>
        <v>0</v>
      </c>
      <c r="S168" s="129">
        <f t="shared" si="40"/>
        <v>0</v>
      </c>
    </row>
    <row r="169" spans="1:19" ht="13.5" hidden="1" customHeight="1" outlineLevel="1" x14ac:dyDescent="0.25">
      <c r="A169" s="143" t="s">
        <v>1191</v>
      </c>
      <c r="B169" s="240" t="s">
        <v>1192</v>
      </c>
      <c r="C169" s="144"/>
      <c r="D169" s="144"/>
      <c r="E169" s="144"/>
      <c r="F169" s="144"/>
      <c r="G169" s="144"/>
      <c r="H169" s="144"/>
      <c r="I169" s="144"/>
      <c r="J169" s="144"/>
      <c r="K169" s="133">
        <f t="shared" si="38"/>
        <v>0</v>
      </c>
      <c r="L169" s="144"/>
      <c r="M169" s="144"/>
      <c r="N169" s="135">
        <f t="shared" si="39"/>
        <v>0</v>
      </c>
      <c r="O169" s="144"/>
      <c r="P169" s="127"/>
      <c r="Q169" s="128" t="s">
        <v>1004</v>
      </c>
      <c r="R169" s="129">
        <f t="shared" si="40"/>
        <v>0</v>
      </c>
      <c r="S169" s="129">
        <f t="shared" si="40"/>
        <v>0</v>
      </c>
    </row>
    <row r="170" spans="1:19" ht="13.5" hidden="1" customHeight="1" outlineLevel="1" x14ac:dyDescent="0.25">
      <c r="A170" s="143" t="s">
        <v>1193</v>
      </c>
      <c r="B170" s="241" t="s">
        <v>1194</v>
      </c>
      <c r="C170" s="145"/>
      <c r="D170" s="145"/>
      <c r="E170" s="145"/>
      <c r="F170" s="145"/>
      <c r="G170" s="145"/>
      <c r="H170" s="145"/>
      <c r="I170" s="145"/>
      <c r="J170" s="145"/>
      <c r="K170" s="133">
        <f t="shared" si="38"/>
        <v>0</v>
      </c>
      <c r="L170" s="145"/>
      <c r="M170" s="145"/>
      <c r="N170" s="135">
        <f t="shared" si="39"/>
        <v>0</v>
      </c>
      <c r="O170" s="145"/>
      <c r="P170" s="127"/>
      <c r="Q170" s="128" t="s">
        <v>1004</v>
      </c>
      <c r="R170" s="129">
        <f t="shared" si="40"/>
        <v>0</v>
      </c>
      <c r="S170" s="129">
        <f t="shared" si="40"/>
        <v>0</v>
      </c>
    </row>
    <row r="171" spans="1:19" ht="13.5" hidden="1" customHeight="1" outlineLevel="1" x14ac:dyDescent="0.25">
      <c r="A171" s="143" t="s">
        <v>1195</v>
      </c>
      <c r="B171" s="240" t="s">
        <v>1196</v>
      </c>
      <c r="C171" s="144"/>
      <c r="D171" s="144"/>
      <c r="E171" s="144"/>
      <c r="F171" s="144"/>
      <c r="G171" s="144"/>
      <c r="H171" s="144"/>
      <c r="I171" s="144"/>
      <c r="J171" s="144"/>
      <c r="K171" s="133">
        <f t="shared" si="38"/>
        <v>0</v>
      </c>
      <c r="L171" s="144"/>
      <c r="M171" s="144"/>
      <c r="N171" s="135">
        <f t="shared" si="39"/>
        <v>0</v>
      </c>
      <c r="O171" s="144"/>
      <c r="P171" s="127"/>
      <c r="Q171" s="128" t="s">
        <v>1004</v>
      </c>
      <c r="R171" s="129">
        <f t="shared" si="40"/>
        <v>0</v>
      </c>
      <c r="S171" s="129">
        <f t="shared" si="40"/>
        <v>0</v>
      </c>
    </row>
    <row r="172" spans="1:19" ht="13.5" hidden="1" customHeight="1" outlineLevel="1" x14ac:dyDescent="0.25">
      <c r="A172" s="143" t="s">
        <v>1197</v>
      </c>
      <c r="B172" s="241" t="s">
        <v>1198</v>
      </c>
      <c r="C172" s="145"/>
      <c r="D172" s="145"/>
      <c r="E172" s="145"/>
      <c r="F172" s="145"/>
      <c r="G172" s="145"/>
      <c r="H172" s="145"/>
      <c r="I172" s="145"/>
      <c r="J172" s="145"/>
      <c r="K172" s="133">
        <f t="shared" si="38"/>
        <v>0</v>
      </c>
      <c r="L172" s="145"/>
      <c r="M172" s="145"/>
      <c r="N172" s="135">
        <f t="shared" si="39"/>
        <v>0</v>
      </c>
      <c r="O172" s="145"/>
      <c r="P172" s="127"/>
      <c r="Q172" s="128" t="s">
        <v>1004</v>
      </c>
      <c r="R172" s="129">
        <f t="shared" si="40"/>
        <v>0</v>
      </c>
      <c r="S172" s="129">
        <f t="shared" si="40"/>
        <v>0</v>
      </c>
    </row>
    <row r="173" spans="1:19" ht="13.5" hidden="1" customHeight="1" outlineLevel="1" x14ac:dyDescent="0.25">
      <c r="A173" s="143" t="s">
        <v>1199</v>
      </c>
      <c r="B173" s="240" t="s">
        <v>1200</v>
      </c>
      <c r="C173" s="144"/>
      <c r="D173" s="144"/>
      <c r="E173" s="144"/>
      <c r="F173" s="144"/>
      <c r="G173" s="144"/>
      <c r="H173" s="144"/>
      <c r="I173" s="144"/>
      <c r="J173" s="144"/>
      <c r="K173" s="133">
        <f t="shared" si="38"/>
        <v>0</v>
      </c>
      <c r="L173" s="144"/>
      <c r="M173" s="144"/>
      <c r="N173" s="135">
        <f t="shared" si="39"/>
        <v>0</v>
      </c>
      <c r="O173" s="144"/>
      <c r="P173" s="127"/>
      <c r="Q173" s="128" t="s">
        <v>1004</v>
      </c>
      <c r="R173" s="129">
        <f t="shared" si="40"/>
        <v>0</v>
      </c>
      <c r="S173" s="129">
        <f t="shared" si="40"/>
        <v>0</v>
      </c>
    </row>
    <row r="174" spans="1:19" ht="13.5" hidden="1" customHeight="1" outlineLevel="1" x14ac:dyDescent="0.25">
      <c r="A174" s="143" t="s">
        <v>1201</v>
      </c>
      <c r="B174" s="241" t="s">
        <v>1202</v>
      </c>
      <c r="C174" s="145"/>
      <c r="D174" s="145"/>
      <c r="E174" s="145"/>
      <c r="F174" s="145"/>
      <c r="G174" s="145"/>
      <c r="H174" s="145"/>
      <c r="I174" s="145"/>
      <c r="J174" s="145"/>
      <c r="K174" s="133">
        <f t="shared" si="38"/>
        <v>0</v>
      </c>
      <c r="L174" s="145"/>
      <c r="M174" s="145"/>
      <c r="N174" s="135">
        <f t="shared" si="39"/>
        <v>0</v>
      </c>
      <c r="O174" s="145"/>
      <c r="P174" s="127"/>
      <c r="Q174" s="128" t="s">
        <v>1004</v>
      </c>
      <c r="R174" s="129">
        <f t="shared" si="40"/>
        <v>0</v>
      </c>
      <c r="S174" s="129">
        <f t="shared" si="40"/>
        <v>0</v>
      </c>
    </row>
    <row r="175" spans="1:19" ht="13.5" hidden="1" customHeight="1" outlineLevel="1" x14ac:dyDescent="0.25">
      <c r="A175" s="143" t="s">
        <v>1203</v>
      </c>
      <c r="B175" s="240" t="s">
        <v>1204</v>
      </c>
      <c r="C175" s="144"/>
      <c r="D175" s="144"/>
      <c r="E175" s="144"/>
      <c r="F175" s="144"/>
      <c r="G175" s="144"/>
      <c r="H175" s="144"/>
      <c r="I175" s="144"/>
      <c r="J175" s="144"/>
      <c r="K175" s="133">
        <f t="shared" si="38"/>
        <v>0</v>
      </c>
      <c r="L175" s="144"/>
      <c r="M175" s="144"/>
      <c r="N175" s="135">
        <f t="shared" si="39"/>
        <v>0</v>
      </c>
      <c r="O175" s="144"/>
      <c r="P175" s="127"/>
      <c r="Q175" s="128" t="s">
        <v>1004</v>
      </c>
      <c r="R175" s="129">
        <f t="shared" si="40"/>
        <v>0</v>
      </c>
      <c r="S175" s="129">
        <f t="shared" si="40"/>
        <v>0</v>
      </c>
    </row>
    <row r="176" spans="1:19" ht="13.5" hidden="1" customHeight="1" outlineLevel="1" x14ac:dyDescent="0.25">
      <c r="A176" s="143" t="s">
        <v>1205</v>
      </c>
      <c r="B176" s="241" t="s">
        <v>1206</v>
      </c>
      <c r="C176" s="145"/>
      <c r="D176" s="145"/>
      <c r="E176" s="145"/>
      <c r="F176" s="145"/>
      <c r="G176" s="145"/>
      <c r="H176" s="145"/>
      <c r="I176" s="145"/>
      <c r="J176" s="145"/>
      <c r="K176" s="133">
        <f t="shared" si="38"/>
        <v>0</v>
      </c>
      <c r="L176" s="145"/>
      <c r="M176" s="145"/>
      <c r="N176" s="135">
        <f t="shared" si="39"/>
        <v>0</v>
      </c>
      <c r="O176" s="145"/>
      <c r="P176" s="127"/>
      <c r="Q176" s="128" t="s">
        <v>1004</v>
      </c>
      <c r="R176" s="129">
        <f t="shared" si="40"/>
        <v>0</v>
      </c>
      <c r="S176" s="129">
        <f t="shared" si="40"/>
        <v>0</v>
      </c>
    </row>
    <row r="177" spans="1:19" ht="13.5" hidden="1" customHeight="1" outlineLevel="1" x14ac:dyDescent="0.25">
      <c r="A177" s="143" t="s">
        <v>1207</v>
      </c>
      <c r="B177" s="240" t="s">
        <v>1208</v>
      </c>
      <c r="C177" s="144"/>
      <c r="D177" s="144"/>
      <c r="E177" s="144"/>
      <c r="F177" s="144"/>
      <c r="G177" s="144"/>
      <c r="H177" s="144"/>
      <c r="I177" s="144"/>
      <c r="J177" s="144"/>
      <c r="K177" s="133">
        <f t="shared" si="38"/>
        <v>0</v>
      </c>
      <c r="L177" s="144"/>
      <c r="M177" s="144"/>
      <c r="N177" s="135">
        <f t="shared" si="39"/>
        <v>0</v>
      </c>
      <c r="O177" s="144"/>
      <c r="P177" s="127"/>
      <c r="Q177" s="128" t="s">
        <v>1004</v>
      </c>
      <c r="R177" s="129">
        <f t="shared" si="40"/>
        <v>0</v>
      </c>
      <c r="S177" s="129">
        <f t="shared" si="40"/>
        <v>0</v>
      </c>
    </row>
    <row r="178" spans="1:19" ht="13.5" hidden="1" customHeight="1" outlineLevel="1" x14ac:dyDescent="0.25">
      <c r="A178" s="143" t="s">
        <v>1209</v>
      </c>
      <c r="B178" s="241" t="s">
        <v>1210</v>
      </c>
      <c r="C178" s="145"/>
      <c r="D178" s="145"/>
      <c r="E178" s="145"/>
      <c r="F178" s="145"/>
      <c r="G178" s="145"/>
      <c r="H178" s="145"/>
      <c r="I178" s="145"/>
      <c r="J178" s="145"/>
      <c r="K178" s="133">
        <f t="shared" si="38"/>
        <v>0</v>
      </c>
      <c r="L178" s="145"/>
      <c r="M178" s="145"/>
      <c r="N178" s="135">
        <f t="shared" si="39"/>
        <v>0</v>
      </c>
      <c r="O178" s="145"/>
      <c r="P178" s="127"/>
      <c r="Q178" s="128" t="s">
        <v>1004</v>
      </c>
      <c r="R178" s="129">
        <f t="shared" si="40"/>
        <v>0</v>
      </c>
      <c r="S178" s="129">
        <f t="shared" si="40"/>
        <v>0</v>
      </c>
    </row>
    <row r="179" spans="1:19" ht="13.5" hidden="1" customHeight="1" outlineLevel="1" x14ac:dyDescent="0.25">
      <c r="A179" s="143" t="s">
        <v>1211</v>
      </c>
      <c r="B179" s="240" t="s">
        <v>1212</v>
      </c>
      <c r="C179" s="144"/>
      <c r="D179" s="144"/>
      <c r="E179" s="144"/>
      <c r="F179" s="144"/>
      <c r="G179" s="144"/>
      <c r="H179" s="144"/>
      <c r="I179" s="144"/>
      <c r="J179" s="144"/>
      <c r="K179" s="133">
        <f t="shared" si="38"/>
        <v>0</v>
      </c>
      <c r="L179" s="144"/>
      <c r="M179" s="144"/>
      <c r="N179" s="135">
        <f t="shared" si="39"/>
        <v>0</v>
      </c>
      <c r="O179" s="144"/>
      <c r="P179" s="127"/>
      <c r="Q179" s="128" t="s">
        <v>1004</v>
      </c>
      <c r="R179" s="129">
        <f t="shared" si="40"/>
        <v>0</v>
      </c>
      <c r="S179" s="129">
        <f t="shared" si="40"/>
        <v>0</v>
      </c>
    </row>
    <row r="180" spans="1:19" ht="13.5" hidden="1" customHeight="1" outlineLevel="1" x14ac:dyDescent="0.25">
      <c r="A180" s="143" t="s">
        <v>1213</v>
      </c>
      <c r="B180" s="241" t="s">
        <v>1214</v>
      </c>
      <c r="C180" s="145"/>
      <c r="D180" s="145"/>
      <c r="E180" s="145"/>
      <c r="F180" s="145"/>
      <c r="G180" s="145"/>
      <c r="H180" s="145"/>
      <c r="I180" s="145"/>
      <c r="J180" s="145"/>
      <c r="K180" s="133">
        <f t="shared" si="38"/>
        <v>0</v>
      </c>
      <c r="L180" s="145"/>
      <c r="M180" s="145"/>
      <c r="N180" s="135">
        <f t="shared" si="39"/>
        <v>0</v>
      </c>
      <c r="O180" s="145"/>
      <c r="P180" s="127"/>
      <c r="Q180" s="128" t="s">
        <v>1004</v>
      </c>
      <c r="R180" s="129">
        <f t="shared" si="40"/>
        <v>0</v>
      </c>
      <c r="S180" s="129">
        <f t="shared" si="40"/>
        <v>0</v>
      </c>
    </row>
    <row r="181" spans="1:19" ht="13.5" hidden="1" customHeight="1" outlineLevel="1" x14ac:dyDescent="0.25">
      <c r="A181" s="143" t="s">
        <v>1215</v>
      </c>
      <c r="B181" s="240" t="s">
        <v>1216</v>
      </c>
      <c r="C181" s="144"/>
      <c r="D181" s="144"/>
      <c r="E181" s="144"/>
      <c r="F181" s="144"/>
      <c r="G181" s="144"/>
      <c r="H181" s="144"/>
      <c r="I181" s="144"/>
      <c r="J181" s="144"/>
      <c r="K181" s="133">
        <f t="shared" si="38"/>
        <v>0</v>
      </c>
      <c r="L181" s="144"/>
      <c r="M181" s="144"/>
      <c r="N181" s="135">
        <f t="shared" si="39"/>
        <v>0</v>
      </c>
      <c r="O181" s="144"/>
      <c r="P181" s="127"/>
      <c r="Q181" s="128" t="s">
        <v>1004</v>
      </c>
      <c r="R181" s="129">
        <f t="shared" si="40"/>
        <v>0</v>
      </c>
      <c r="S181" s="129">
        <f t="shared" si="40"/>
        <v>0</v>
      </c>
    </row>
    <row r="182" spans="1:19" ht="13.5" hidden="1" customHeight="1" outlineLevel="1" x14ac:dyDescent="0.25">
      <c r="A182" s="143" t="s">
        <v>1217</v>
      </c>
      <c r="B182" s="241" t="s">
        <v>1218</v>
      </c>
      <c r="C182" s="145"/>
      <c r="D182" s="145"/>
      <c r="E182" s="145"/>
      <c r="F182" s="145"/>
      <c r="G182" s="145"/>
      <c r="H182" s="145"/>
      <c r="I182" s="145"/>
      <c r="J182" s="145"/>
      <c r="K182" s="133">
        <f t="shared" si="38"/>
        <v>0</v>
      </c>
      <c r="L182" s="145"/>
      <c r="M182" s="145"/>
      <c r="N182" s="135">
        <f t="shared" si="39"/>
        <v>0</v>
      </c>
      <c r="O182" s="145"/>
      <c r="P182" s="127"/>
      <c r="Q182" s="128" t="s">
        <v>1004</v>
      </c>
      <c r="R182" s="129">
        <f t="shared" si="40"/>
        <v>0</v>
      </c>
      <c r="S182" s="129">
        <f t="shared" si="40"/>
        <v>0</v>
      </c>
    </row>
    <row r="183" spans="1:19" ht="13.5" hidden="1" customHeight="1" outlineLevel="1" x14ac:dyDescent="0.25">
      <c r="A183" s="143" t="s">
        <v>1219</v>
      </c>
      <c r="B183" s="240" t="s">
        <v>1220</v>
      </c>
      <c r="C183" s="144"/>
      <c r="D183" s="144"/>
      <c r="E183" s="144"/>
      <c r="F183" s="144"/>
      <c r="G183" s="144"/>
      <c r="H183" s="144"/>
      <c r="I183" s="144"/>
      <c r="J183" s="144"/>
      <c r="K183" s="133">
        <f t="shared" si="38"/>
        <v>0</v>
      </c>
      <c r="L183" s="144"/>
      <c r="M183" s="144"/>
      <c r="N183" s="135">
        <f t="shared" si="39"/>
        <v>0</v>
      </c>
      <c r="O183" s="144"/>
      <c r="P183" s="127"/>
      <c r="Q183" s="128" t="s">
        <v>1004</v>
      </c>
      <c r="R183" s="129">
        <f t="shared" si="40"/>
        <v>0</v>
      </c>
      <c r="S183" s="129">
        <f t="shared" si="40"/>
        <v>0</v>
      </c>
    </row>
    <row r="184" spans="1:19" ht="13.5" hidden="1" customHeight="1" outlineLevel="1" x14ac:dyDescent="0.25">
      <c r="A184" s="143" t="s">
        <v>1221</v>
      </c>
      <c r="B184" s="241" t="s">
        <v>1222</v>
      </c>
      <c r="C184" s="145"/>
      <c r="D184" s="145"/>
      <c r="E184" s="145"/>
      <c r="F184" s="145"/>
      <c r="G184" s="145"/>
      <c r="H184" s="145"/>
      <c r="I184" s="145"/>
      <c r="J184" s="145"/>
      <c r="K184" s="133">
        <f t="shared" si="38"/>
        <v>0</v>
      </c>
      <c r="L184" s="145"/>
      <c r="M184" s="145"/>
      <c r="N184" s="135">
        <f t="shared" si="39"/>
        <v>0</v>
      </c>
      <c r="O184" s="145"/>
      <c r="P184" s="127"/>
      <c r="Q184" s="128" t="s">
        <v>1004</v>
      </c>
      <c r="R184" s="129">
        <f t="shared" si="40"/>
        <v>0</v>
      </c>
      <c r="S184" s="129">
        <f t="shared" si="40"/>
        <v>0</v>
      </c>
    </row>
    <row r="185" spans="1:19" ht="13.5" hidden="1" customHeight="1" outlineLevel="1" x14ac:dyDescent="0.25">
      <c r="A185" s="143" t="s">
        <v>1223</v>
      </c>
      <c r="B185" s="240" t="s">
        <v>1224</v>
      </c>
      <c r="C185" s="144"/>
      <c r="D185" s="144"/>
      <c r="E185" s="144"/>
      <c r="F185" s="144"/>
      <c r="G185" s="144"/>
      <c r="H185" s="144"/>
      <c r="I185" s="144"/>
      <c r="J185" s="144"/>
      <c r="K185" s="133">
        <f t="shared" si="38"/>
        <v>0</v>
      </c>
      <c r="L185" s="144"/>
      <c r="M185" s="144"/>
      <c r="N185" s="135">
        <f t="shared" si="39"/>
        <v>0</v>
      </c>
      <c r="O185" s="144"/>
      <c r="P185" s="127"/>
      <c r="Q185" s="128" t="s">
        <v>1004</v>
      </c>
      <c r="R185" s="129">
        <f t="shared" si="40"/>
        <v>0</v>
      </c>
      <c r="S185" s="129">
        <f t="shared" si="40"/>
        <v>0</v>
      </c>
    </row>
    <row r="186" spans="1:19" ht="13.5" hidden="1" customHeight="1" outlineLevel="1" x14ac:dyDescent="0.25">
      <c r="A186" s="143" t="s">
        <v>1225</v>
      </c>
      <c r="B186" s="241" t="s">
        <v>1225</v>
      </c>
      <c r="C186" s="145"/>
      <c r="D186" s="145"/>
      <c r="E186" s="145"/>
      <c r="F186" s="145"/>
      <c r="G186" s="145"/>
      <c r="H186" s="145"/>
      <c r="I186" s="145"/>
      <c r="J186" s="145"/>
      <c r="K186" s="133">
        <f t="shared" si="38"/>
        <v>0</v>
      </c>
      <c r="L186" s="145"/>
      <c r="M186" s="145"/>
      <c r="N186" s="135">
        <f t="shared" si="39"/>
        <v>0</v>
      </c>
      <c r="O186" s="145"/>
      <c r="P186" s="127"/>
      <c r="Q186" s="128" t="s">
        <v>1004</v>
      </c>
      <c r="R186" s="129">
        <f t="shared" si="40"/>
        <v>0</v>
      </c>
      <c r="S186" s="129">
        <f t="shared" si="40"/>
        <v>0</v>
      </c>
    </row>
    <row r="187" spans="1:19" ht="13.5" hidden="1" customHeight="1" outlineLevel="1" x14ac:dyDescent="0.25">
      <c r="A187" s="143" t="s">
        <v>1226</v>
      </c>
      <c r="B187" s="240" t="s">
        <v>1227</v>
      </c>
      <c r="C187" s="144"/>
      <c r="D187" s="144"/>
      <c r="E187" s="144"/>
      <c r="F187" s="144"/>
      <c r="G187" s="144"/>
      <c r="H187" s="144"/>
      <c r="I187" s="144"/>
      <c r="J187" s="144"/>
      <c r="K187" s="133">
        <f t="shared" si="38"/>
        <v>0</v>
      </c>
      <c r="L187" s="144"/>
      <c r="M187" s="144"/>
      <c r="N187" s="135">
        <f t="shared" si="39"/>
        <v>0</v>
      </c>
      <c r="O187" s="144"/>
      <c r="P187" s="127"/>
      <c r="Q187" s="128" t="s">
        <v>1004</v>
      </c>
      <c r="R187" s="129">
        <f t="shared" si="40"/>
        <v>0</v>
      </c>
      <c r="S187" s="129">
        <f t="shared" si="40"/>
        <v>0</v>
      </c>
    </row>
    <row r="188" spans="1:19" ht="13.5" hidden="1" customHeight="1" outlineLevel="1" x14ac:dyDescent="0.25">
      <c r="A188" s="143" t="s">
        <v>1228</v>
      </c>
      <c r="B188" s="241" t="s">
        <v>1229</v>
      </c>
      <c r="C188" s="145"/>
      <c r="D188" s="145"/>
      <c r="E188" s="145"/>
      <c r="F188" s="145"/>
      <c r="G188" s="145"/>
      <c r="H188" s="145"/>
      <c r="I188" s="145"/>
      <c r="J188" s="145"/>
      <c r="K188" s="133">
        <f t="shared" si="38"/>
        <v>0</v>
      </c>
      <c r="L188" s="145"/>
      <c r="M188" s="145"/>
      <c r="N188" s="135">
        <f t="shared" si="39"/>
        <v>0</v>
      </c>
      <c r="O188" s="145"/>
      <c r="P188" s="127"/>
      <c r="Q188" s="128" t="s">
        <v>1004</v>
      </c>
      <c r="R188" s="129">
        <f t="shared" si="40"/>
        <v>0</v>
      </c>
      <c r="S188" s="129">
        <f t="shared" si="40"/>
        <v>0</v>
      </c>
    </row>
    <row r="189" spans="1:19" ht="13.5" hidden="1" customHeight="1" outlineLevel="1" x14ac:dyDescent="0.25">
      <c r="A189" s="143" t="s">
        <v>1230</v>
      </c>
      <c r="B189" s="240" t="s">
        <v>1231</v>
      </c>
      <c r="C189" s="144"/>
      <c r="D189" s="144"/>
      <c r="E189" s="144"/>
      <c r="F189" s="144"/>
      <c r="G189" s="144"/>
      <c r="H189" s="144"/>
      <c r="I189" s="144"/>
      <c r="J189" s="144"/>
      <c r="K189" s="133">
        <f t="shared" si="38"/>
        <v>0</v>
      </c>
      <c r="L189" s="144"/>
      <c r="M189" s="144"/>
      <c r="N189" s="135">
        <f t="shared" si="39"/>
        <v>0</v>
      </c>
      <c r="O189" s="144"/>
      <c r="P189" s="127"/>
      <c r="Q189" s="128" t="s">
        <v>1004</v>
      </c>
      <c r="R189" s="129">
        <f t="shared" si="40"/>
        <v>0</v>
      </c>
      <c r="S189" s="129">
        <f t="shared" si="40"/>
        <v>0</v>
      </c>
    </row>
    <row r="190" spans="1:19" ht="13.5" hidden="1" customHeight="1" outlineLevel="1" x14ac:dyDescent="0.25">
      <c r="A190" s="143" t="s">
        <v>1232</v>
      </c>
      <c r="B190" s="241" t="s">
        <v>1233</v>
      </c>
      <c r="C190" s="145"/>
      <c r="D190" s="145"/>
      <c r="E190" s="145"/>
      <c r="F190" s="145"/>
      <c r="G190" s="145"/>
      <c r="H190" s="145"/>
      <c r="I190" s="145"/>
      <c r="J190" s="145"/>
      <c r="K190" s="133">
        <f t="shared" si="38"/>
        <v>0</v>
      </c>
      <c r="L190" s="145"/>
      <c r="M190" s="145"/>
      <c r="N190" s="135">
        <f t="shared" si="39"/>
        <v>0</v>
      </c>
      <c r="O190" s="145"/>
      <c r="P190" s="127"/>
      <c r="Q190" s="128" t="s">
        <v>1004</v>
      </c>
      <c r="R190" s="129">
        <f t="shared" si="40"/>
        <v>0</v>
      </c>
      <c r="S190" s="129">
        <f t="shared" si="40"/>
        <v>0</v>
      </c>
    </row>
    <row r="191" spans="1:19" ht="13.5" hidden="1" customHeight="1" outlineLevel="1" x14ac:dyDescent="0.25">
      <c r="A191" s="143" t="s">
        <v>1234</v>
      </c>
      <c r="B191" s="240" t="s">
        <v>1235</v>
      </c>
      <c r="C191" s="144"/>
      <c r="D191" s="144"/>
      <c r="E191" s="144"/>
      <c r="F191" s="144"/>
      <c r="G191" s="144"/>
      <c r="H191" s="144"/>
      <c r="I191" s="144"/>
      <c r="J191" s="144"/>
      <c r="K191" s="133">
        <f t="shared" si="38"/>
        <v>0</v>
      </c>
      <c r="L191" s="144"/>
      <c r="M191" s="144"/>
      <c r="N191" s="135">
        <f t="shared" si="39"/>
        <v>0</v>
      </c>
      <c r="O191" s="144"/>
      <c r="P191" s="127"/>
      <c r="Q191" s="128" t="s">
        <v>1004</v>
      </c>
      <c r="R191" s="129">
        <f t="shared" si="40"/>
        <v>0</v>
      </c>
      <c r="S191" s="129">
        <f t="shared" si="40"/>
        <v>0</v>
      </c>
    </row>
    <row r="192" spans="1:19" ht="13.5" hidden="1" customHeight="1" outlineLevel="1" x14ac:dyDescent="0.25">
      <c r="A192" s="143" t="s">
        <v>1236</v>
      </c>
      <c r="B192" s="241" t="s">
        <v>1237</v>
      </c>
      <c r="C192" s="145"/>
      <c r="D192" s="145"/>
      <c r="E192" s="145"/>
      <c r="F192" s="145"/>
      <c r="G192" s="145"/>
      <c r="H192" s="145"/>
      <c r="I192" s="145"/>
      <c r="J192" s="145"/>
      <c r="K192" s="133">
        <f t="shared" si="38"/>
        <v>0</v>
      </c>
      <c r="L192" s="145"/>
      <c r="M192" s="145"/>
      <c r="N192" s="135">
        <f t="shared" si="39"/>
        <v>0</v>
      </c>
      <c r="O192" s="145"/>
      <c r="P192" s="127"/>
      <c r="Q192" s="128" t="s">
        <v>1004</v>
      </c>
      <c r="R192" s="129">
        <f t="shared" si="40"/>
        <v>0</v>
      </c>
      <c r="S192" s="129">
        <f t="shared" si="40"/>
        <v>0</v>
      </c>
    </row>
    <row r="193" spans="1:19" ht="13.5" hidden="1" customHeight="1" outlineLevel="1" x14ac:dyDescent="0.25">
      <c r="A193" s="143" t="s">
        <v>1238</v>
      </c>
      <c r="B193" s="240" t="s">
        <v>1239</v>
      </c>
      <c r="C193" s="144"/>
      <c r="D193" s="144"/>
      <c r="E193" s="144"/>
      <c r="F193" s="144"/>
      <c r="G193" s="144"/>
      <c r="H193" s="144"/>
      <c r="I193" s="144"/>
      <c r="J193" s="144"/>
      <c r="K193" s="133">
        <f t="shared" ref="K193:K224" si="41">SUMIF($A$7:$A$92,A193,$K$7:$K$92)</f>
        <v>0</v>
      </c>
      <c r="L193" s="144"/>
      <c r="M193" s="144"/>
      <c r="N193" s="135">
        <f t="shared" ref="N193:N224" si="42">SUMIF($A$7:$A$92,A193,$N$7:$N$92)</f>
        <v>0</v>
      </c>
      <c r="O193" s="144"/>
      <c r="P193" s="127"/>
      <c r="Q193" s="128" t="s">
        <v>1004</v>
      </c>
      <c r="R193" s="129">
        <f t="shared" ref="R193:S224" si="43">+ROUND((K193+N193)*(1+SUMIF($R$2:$R$4,Q193,$S$2:$S$4)),0)</f>
        <v>0</v>
      </c>
      <c r="S193" s="129">
        <f t="shared" si="43"/>
        <v>0</v>
      </c>
    </row>
    <row r="194" spans="1:19" ht="13.5" hidden="1" customHeight="1" outlineLevel="1" x14ac:dyDescent="0.25">
      <c r="A194" s="143" t="s">
        <v>1240</v>
      </c>
      <c r="B194" s="241" t="s">
        <v>1241</v>
      </c>
      <c r="C194" s="145"/>
      <c r="D194" s="145"/>
      <c r="E194" s="145"/>
      <c r="F194" s="145"/>
      <c r="G194" s="145"/>
      <c r="H194" s="145"/>
      <c r="I194" s="145"/>
      <c r="J194" s="145"/>
      <c r="K194" s="133">
        <f t="shared" si="41"/>
        <v>0</v>
      </c>
      <c r="L194" s="145"/>
      <c r="M194" s="145"/>
      <c r="N194" s="135">
        <f t="shared" si="42"/>
        <v>0</v>
      </c>
      <c r="O194" s="145"/>
      <c r="P194" s="127"/>
      <c r="Q194" s="128" t="s">
        <v>1004</v>
      </c>
      <c r="R194" s="129">
        <f t="shared" si="43"/>
        <v>0</v>
      </c>
      <c r="S194" s="129">
        <f t="shared" si="43"/>
        <v>0</v>
      </c>
    </row>
    <row r="195" spans="1:19" ht="13.5" hidden="1" customHeight="1" outlineLevel="1" x14ac:dyDescent="0.25">
      <c r="A195" s="143" t="s">
        <v>1242</v>
      </c>
      <c r="B195" s="240" t="s">
        <v>1242</v>
      </c>
      <c r="C195" s="144"/>
      <c r="D195" s="144"/>
      <c r="E195" s="144"/>
      <c r="F195" s="144"/>
      <c r="G195" s="144"/>
      <c r="H195" s="144"/>
      <c r="I195" s="144"/>
      <c r="J195" s="144"/>
      <c r="K195" s="133">
        <f t="shared" si="41"/>
        <v>0</v>
      </c>
      <c r="L195" s="144"/>
      <c r="M195" s="144"/>
      <c r="N195" s="135">
        <f t="shared" si="42"/>
        <v>0</v>
      </c>
      <c r="O195" s="144"/>
      <c r="P195" s="127"/>
      <c r="Q195" s="128" t="s">
        <v>1004</v>
      </c>
      <c r="R195" s="129">
        <f t="shared" si="43"/>
        <v>0</v>
      </c>
      <c r="S195" s="129">
        <f t="shared" si="43"/>
        <v>0</v>
      </c>
    </row>
    <row r="196" spans="1:19" ht="13.5" hidden="1" customHeight="1" outlineLevel="1" x14ac:dyDescent="0.25">
      <c r="A196" s="143" t="s">
        <v>1243</v>
      </c>
      <c r="B196" s="241" t="s">
        <v>1244</v>
      </c>
      <c r="C196" s="145"/>
      <c r="D196" s="145"/>
      <c r="E196" s="145"/>
      <c r="F196" s="145"/>
      <c r="G196" s="145"/>
      <c r="H196" s="145"/>
      <c r="I196" s="145"/>
      <c r="J196" s="145"/>
      <c r="K196" s="133">
        <f t="shared" si="41"/>
        <v>0</v>
      </c>
      <c r="L196" s="145"/>
      <c r="M196" s="145"/>
      <c r="N196" s="135">
        <f t="shared" si="42"/>
        <v>0</v>
      </c>
      <c r="O196" s="145"/>
      <c r="P196" s="127"/>
      <c r="Q196" s="128" t="s">
        <v>1004</v>
      </c>
      <c r="R196" s="129">
        <f t="shared" si="43"/>
        <v>0</v>
      </c>
      <c r="S196" s="129">
        <f t="shared" si="43"/>
        <v>0</v>
      </c>
    </row>
    <row r="197" spans="1:19" ht="13.5" hidden="1" customHeight="1" outlineLevel="1" x14ac:dyDescent="0.25">
      <c r="A197" s="143" t="s">
        <v>1245</v>
      </c>
      <c r="B197" s="240" t="s">
        <v>1246</v>
      </c>
      <c r="C197" s="144"/>
      <c r="D197" s="144"/>
      <c r="E197" s="144"/>
      <c r="F197" s="144"/>
      <c r="G197" s="144"/>
      <c r="H197" s="144"/>
      <c r="I197" s="144"/>
      <c r="J197" s="144"/>
      <c r="K197" s="133">
        <f t="shared" si="41"/>
        <v>0</v>
      </c>
      <c r="L197" s="144"/>
      <c r="M197" s="144"/>
      <c r="N197" s="135">
        <f t="shared" si="42"/>
        <v>0</v>
      </c>
      <c r="O197" s="144"/>
      <c r="P197" s="127"/>
      <c r="Q197" s="128" t="s">
        <v>1004</v>
      </c>
      <c r="R197" s="129">
        <f t="shared" si="43"/>
        <v>0</v>
      </c>
      <c r="S197" s="129">
        <f t="shared" si="43"/>
        <v>0</v>
      </c>
    </row>
    <row r="198" spans="1:19" ht="13.5" hidden="1" customHeight="1" outlineLevel="1" x14ac:dyDescent="0.25">
      <c r="A198" s="143" t="s">
        <v>1247</v>
      </c>
      <c r="B198" s="241" t="s">
        <v>1248</v>
      </c>
      <c r="C198" s="145"/>
      <c r="D198" s="145"/>
      <c r="E198" s="145"/>
      <c r="F198" s="145"/>
      <c r="G198" s="145"/>
      <c r="H198" s="145"/>
      <c r="I198" s="145"/>
      <c r="J198" s="145"/>
      <c r="K198" s="133">
        <f t="shared" si="41"/>
        <v>0</v>
      </c>
      <c r="L198" s="145"/>
      <c r="M198" s="145"/>
      <c r="N198" s="135">
        <f t="shared" si="42"/>
        <v>0</v>
      </c>
      <c r="O198" s="145"/>
      <c r="P198" s="127"/>
      <c r="Q198" s="128" t="s">
        <v>1004</v>
      </c>
      <c r="R198" s="129">
        <f t="shared" si="43"/>
        <v>0</v>
      </c>
      <c r="S198" s="129">
        <f t="shared" si="43"/>
        <v>0</v>
      </c>
    </row>
    <row r="199" spans="1:19" ht="13.5" hidden="1" customHeight="1" outlineLevel="1" x14ac:dyDescent="0.25">
      <c r="A199" s="143" t="s">
        <v>1249</v>
      </c>
      <c r="B199" s="240" t="s">
        <v>1250</v>
      </c>
      <c r="C199" s="144"/>
      <c r="D199" s="144"/>
      <c r="E199" s="144"/>
      <c r="F199" s="144"/>
      <c r="G199" s="144"/>
      <c r="H199" s="144"/>
      <c r="I199" s="144"/>
      <c r="J199" s="144"/>
      <c r="K199" s="133">
        <f t="shared" si="41"/>
        <v>0</v>
      </c>
      <c r="L199" s="144"/>
      <c r="M199" s="144"/>
      <c r="N199" s="135">
        <f t="shared" si="42"/>
        <v>0</v>
      </c>
      <c r="O199" s="144"/>
      <c r="P199" s="127"/>
      <c r="Q199" s="128" t="s">
        <v>1004</v>
      </c>
      <c r="R199" s="129">
        <f t="shared" si="43"/>
        <v>0</v>
      </c>
      <c r="S199" s="129">
        <f t="shared" si="43"/>
        <v>0</v>
      </c>
    </row>
    <row r="200" spans="1:19" ht="13.5" hidden="1" customHeight="1" outlineLevel="1" x14ac:dyDescent="0.25">
      <c r="A200" s="143" t="s">
        <v>1251</v>
      </c>
      <c r="B200" s="241" t="s">
        <v>1252</v>
      </c>
      <c r="C200" s="145"/>
      <c r="D200" s="145"/>
      <c r="E200" s="145"/>
      <c r="F200" s="145"/>
      <c r="G200" s="145"/>
      <c r="H200" s="145"/>
      <c r="I200" s="145"/>
      <c r="J200" s="145"/>
      <c r="K200" s="133">
        <f t="shared" si="41"/>
        <v>0</v>
      </c>
      <c r="L200" s="145"/>
      <c r="M200" s="145"/>
      <c r="N200" s="135">
        <f t="shared" si="42"/>
        <v>0</v>
      </c>
      <c r="O200" s="145"/>
      <c r="P200" s="127"/>
      <c r="Q200" s="128" t="s">
        <v>1004</v>
      </c>
      <c r="R200" s="129">
        <f t="shared" si="43"/>
        <v>0</v>
      </c>
      <c r="S200" s="129">
        <f t="shared" si="43"/>
        <v>0</v>
      </c>
    </row>
    <row r="201" spans="1:19" ht="13.5" hidden="1" customHeight="1" outlineLevel="1" x14ac:dyDescent="0.25">
      <c r="A201" s="143" t="s">
        <v>1253</v>
      </c>
      <c r="B201" s="240" t="s">
        <v>1254</v>
      </c>
      <c r="C201" s="144"/>
      <c r="D201" s="144"/>
      <c r="E201" s="144"/>
      <c r="F201" s="144"/>
      <c r="G201" s="144"/>
      <c r="H201" s="144"/>
      <c r="I201" s="144"/>
      <c r="J201" s="144"/>
      <c r="K201" s="133">
        <f t="shared" si="41"/>
        <v>0</v>
      </c>
      <c r="L201" s="144"/>
      <c r="M201" s="144"/>
      <c r="N201" s="135">
        <f t="shared" si="42"/>
        <v>0</v>
      </c>
      <c r="O201" s="144"/>
      <c r="P201" s="127"/>
      <c r="Q201" s="128" t="s">
        <v>1004</v>
      </c>
      <c r="R201" s="129">
        <f t="shared" si="43"/>
        <v>0</v>
      </c>
      <c r="S201" s="129">
        <f t="shared" si="43"/>
        <v>0</v>
      </c>
    </row>
    <row r="202" spans="1:19" ht="13.5" hidden="1" customHeight="1" outlineLevel="1" x14ac:dyDescent="0.25">
      <c r="A202" s="143" t="s">
        <v>1255</v>
      </c>
      <c r="B202" s="241" t="s">
        <v>1256</v>
      </c>
      <c r="C202" s="145"/>
      <c r="D202" s="145"/>
      <c r="E202" s="145"/>
      <c r="F202" s="145"/>
      <c r="G202" s="145"/>
      <c r="H202" s="145"/>
      <c r="I202" s="145"/>
      <c r="J202" s="145"/>
      <c r="K202" s="133">
        <f t="shared" si="41"/>
        <v>0</v>
      </c>
      <c r="L202" s="145"/>
      <c r="M202" s="145"/>
      <c r="N202" s="135">
        <f t="shared" si="42"/>
        <v>0</v>
      </c>
      <c r="O202" s="145"/>
      <c r="P202" s="127"/>
      <c r="Q202" s="128" t="s">
        <v>1004</v>
      </c>
      <c r="R202" s="129">
        <f t="shared" si="43"/>
        <v>0</v>
      </c>
      <c r="S202" s="129">
        <f t="shared" si="43"/>
        <v>0</v>
      </c>
    </row>
    <row r="203" spans="1:19" ht="13.5" hidden="1" customHeight="1" outlineLevel="1" x14ac:dyDescent="0.25">
      <c r="A203" s="143" t="s">
        <v>1257</v>
      </c>
      <c r="B203" s="240" t="s">
        <v>1257</v>
      </c>
      <c r="C203" s="144"/>
      <c r="D203" s="144"/>
      <c r="E203" s="144"/>
      <c r="F203" s="144"/>
      <c r="G203" s="144"/>
      <c r="H203" s="144"/>
      <c r="I203" s="144"/>
      <c r="J203" s="144"/>
      <c r="K203" s="133">
        <f t="shared" si="41"/>
        <v>0</v>
      </c>
      <c r="L203" s="144"/>
      <c r="M203" s="144"/>
      <c r="N203" s="135">
        <f t="shared" si="42"/>
        <v>0</v>
      </c>
      <c r="O203" s="144"/>
      <c r="P203" s="127"/>
      <c r="Q203" s="128" t="s">
        <v>1004</v>
      </c>
      <c r="R203" s="129">
        <f t="shared" si="43"/>
        <v>0</v>
      </c>
      <c r="S203" s="129">
        <f t="shared" si="43"/>
        <v>0</v>
      </c>
    </row>
    <row r="204" spans="1:19" ht="13.5" hidden="1" customHeight="1" outlineLevel="1" x14ac:dyDescent="0.25">
      <c r="A204" s="143" t="s">
        <v>1258</v>
      </c>
      <c r="B204" s="241" t="s">
        <v>1259</v>
      </c>
      <c r="C204" s="145"/>
      <c r="D204" s="145"/>
      <c r="E204" s="145"/>
      <c r="F204" s="145"/>
      <c r="G204" s="145"/>
      <c r="H204" s="145"/>
      <c r="I204" s="145"/>
      <c r="J204" s="145"/>
      <c r="K204" s="133">
        <f t="shared" si="41"/>
        <v>0</v>
      </c>
      <c r="L204" s="145"/>
      <c r="M204" s="145"/>
      <c r="N204" s="135">
        <f t="shared" si="42"/>
        <v>0</v>
      </c>
      <c r="O204" s="145"/>
      <c r="P204" s="127"/>
      <c r="Q204" s="128" t="s">
        <v>1004</v>
      </c>
      <c r="R204" s="129">
        <f t="shared" si="43"/>
        <v>0</v>
      </c>
      <c r="S204" s="129">
        <f t="shared" si="43"/>
        <v>0</v>
      </c>
    </row>
    <row r="205" spans="1:19" ht="13.5" hidden="1" customHeight="1" outlineLevel="1" x14ac:dyDescent="0.25">
      <c r="A205" s="143" t="s">
        <v>1260</v>
      </c>
      <c r="B205" s="240" t="s">
        <v>1261</v>
      </c>
      <c r="C205" s="144"/>
      <c r="D205" s="144"/>
      <c r="E205" s="144"/>
      <c r="F205" s="144"/>
      <c r="G205" s="144"/>
      <c r="H205" s="144"/>
      <c r="I205" s="144"/>
      <c r="J205" s="144"/>
      <c r="K205" s="133">
        <f t="shared" si="41"/>
        <v>0</v>
      </c>
      <c r="L205" s="144"/>
      <c r="M205" s="144"/>
      <c r="N205" s="135">
        <f t="shared" si="42"/>
        <v>0</v>
      </c>
      <c r="O205" s="144"/>
      <c r="P205" s="127"/>
      <c r="Q205" s="128" t="s">
        <v>1004</v>
      </c>
      <c r="R205" s="129">
        <f t="shared" si="43"/>
        <v>0</v>
      </c>
      <c r="S205" s="129">
        <f t="shared" si="43"/>
        <v>0</v>
      </c>
    </row>
    <row r="206" spans="1:19" ht="13.5" hidden="1" customHeight="1" outlineLevel="1" x14ac:dyDescent="0.25">
      <c r="A206" s="143" t="s">
        <v>1262</v>
      </c>
      <c r="B206" s="241" t="s">
        <v>1263</v>
      </c>
      <c r="C206" s="145"/>
      <c r="D206" s="145"/>
      <c r="E206" s="145"/>
      <c r="F206" s="145"/>
      <c r="G206" s="145"/>
      <c r="H206" s="145"/>
      <c r="I206" s="145"/>
      <c r="J206" s="145"/>
      <c r="K206" s="133">
        <f t="shared" si="41"/>
        <v>0</v>
      </c>
      <c r="L206" s="145"/>
      <c r="M206" s="145"/>
      <c r="N206" s="135">
        <f t="shared" si="42"/>
        <v>0</v>
      </c>
      <c r="O206" s="145"/>
      <c r="P206" s="127"/>
      <c r="Q206" s="128" t="s">
        <v>1004</v>
      </c>
      <c r="R206" s="129">
        <f t="shared" si="43"/>
        <v>0</v>
      </c>
      <c r="S206" s="129">
        <f t="shared" si="43"/>
        <v>0</v>
      </c>
    </row>
    <row r="207" spans="1:19" ht="13.5" hidden="1" customHeight="1" outlineLevel="1" x14ac:dyDescent="0.25">
      <c r="A207" s="143" t="s">
        <v>1264</v>
      </c>
      <c r="B207" s="240" t="s">
        <v>1265</v>
      </c>
      <c r="C207" s="144"/>
      <c r="D207" s="144"/>
      <c r="E207" s="144"/>
      <c r="F207" s="144"/>
      <c r="G207" s="144"/>
      <c r="H207" s="144"/>
      <c r="I207" s="144"/>
      <c r="J207" s="144"/>
      <c r="K207" s="133">
        <f t="shared" si="41"/>
        <v>0</v>
      </c>
      <c r="L207" s="144"/>
      <c r="M207" s="144"/>
      <c r="N207" s="135">
        <f t="shared" si="42"/>
        <v>0</v>
      </c>
      <c r="O207" s="144"/>
      <c r="P207" s="127"/>
      <c r="Q207" s="128" t="s">
        <v>1004</v>
      </c>
      <c r="R207" s="129">
        <f t="shared" si="43"/>
        <v>0</v>
      </c>
      <c r="S207" s="129">
        <f t="shared" si="43"/>
        <v>0</v>
      </c>
    </row>
    <row r="208" spans="1:19" ht="13.5" hidden="1" customHeight="1" outlineLevel="1" x14ac:dyDescent="0.25">
      <c r="A208" s="143" t="s">
        <v>1266</v>
      </c>
      <c r="B208" s="241" t="s">
        <v>1267</v>
      </c>
      <c r="C208" s="145"/>
      <c r="D208" s="145"/>
      <c r="E208" s="145"/>
      <c r="F208" s="145"/>
      <c r="G208" s="145"/>
      <c r="H208" s="145"/>
      <c r="I208" s="145"/>
      <c r="J208" s="145"/>
      <c r="K208" s="133">
        <f t="shared" si="41"/>
        <v>0</v>
      </c>
      <c r="L208" s="145"/>
      <c r="M208" s="145"/>
      <c r="N208" s="135">
        <f t="shared" si="42"/>
        <v>0</v>
      </c>
      <c r="O208" s="145"/>
      <c r="P208" s="127"/>
      <c r="Q208" s="128" t="s">
        <v>1004</v>
      </c>
      <c r="R208" s="129">
        <f t="shared" si="43"/>
        <v>0</v>
      </c>
      <c r="S208" s="129">
        <f t="shared" si="43"/>
        <v>0</v>
      </c>
    </row>
    <row r="209" spans="1:19" ht="13.5" hidden="1" customHeight="1" outlineLevel="1" x14ac:dyDescent="0.25">
      <c r="A209" s="143" t="s">
        <v>1268</v>
      </c>
      <c r="B209" s="240" t="s">
        <v>1269</v>
      </c>
      <c r="C209" s="144"/>
      <c r="D209" s="144"/>
      <c r="E209" s="144"/>
      <c r="F209" s="144"/>
      <c r="G209" s="144"/>
      <c r="H209" s="144"/>
      <c r="I209" s="144"/>
      <c r="J209" s="144"/>
      <c r="K209" s="133">
        <f t="shared" si="41"/>
        <v>0</v>
      </c>
      <c r="L209" s="144"/>
      <c r="M209" s="144"/>
      <c r="N209" s="135">
        <f t="shared" si="42"/>
        <v>0</v>
      </c>
      <c r="O209" s="144"/>
      <c r="P209" s="127"/>
      <c r="Q209" s="128" t="s">
        <v>1004</v>
      </c>
      <c r="R209" s="129">
        <f t="shared" si="43"/>
        <v>0</v>
      </c>
      <c r="S209" s="129">
        <f t="shared" si="43"/>
        <v>0</v>
      </c>
    </row>
    <row r="210" spans="1:19" ht="13.5" hidden="1" customHeight="1" outlineLevel="1" x14ac:dyDescent="0.25">
      <c r="A210" s="143" t="s">
        <v>1270</v>
      </c>
      <c r="B210" s="241" t="s">
        <v>1271</v>
      </c>
      <c r="C210" s="145"/>
      <c r="D210" s="145"/>
      <c r="E210" s="145"/>
      <c r="F210" s="145"/>
      <c r="G210" s="145"/>
      <c r="H210" s="145"/>
      <c r="I210" s="145"/>
      <c r="J210" s="145"/>
      <c r="K210" s="133">
        <f t="shared" si="41"/>
        <v>0</v>
      </c>
      <c r="L210" s="145"/>
      <c r="M210" s="145"/>
      <c r="N210" s="135">
        <f t="shared" si="42"/>
        <v>0</v>
      </c>
      <c r="O210" s="145"/>
      <c r="P210" s="127"/>
      <c r="Q210" s="128" t="s">
        <v>1004</v>
      </c>
      <c r="R210" s="129">
        <f t="shared" si="43"/>
        <v>0</v>
      </c>
      <c r="S210" s="129">
        <f t="shared" si="43"/>
        <v>0</v>
      </c>
    </row>
    <row r="211" spans="1:19" ht="13.5" hidden="1" customHeight="1" outlineLevel="1" x14ac:dyDescent="0.25">
      <c r="A211" s="143" t="s">
        <v>1272</v>
      </c>
      <c r="B211" s="240" t="s">
        <v>1273</v>
      </c>
      <c r="C211" s="144"/>
      <c r="D211" s="144"/>
      <c r="E211" s="144"/>
      <c r="F211" s="144"/>
      <c r="G211" s="144"/>
      <c r="H211" s="144"/>
      <c r="I211" s="144"/>
      <c r="J211" s="144"/>
      <c r="K211" s="133">
        <f t="shared" si="41"/>
        <v>0</v>
      </c>
      <c r="L211" s="144"/>
      <c r="M211" s="144"/>
      <c r="N211" s="135">
        <f t="shared" si="42"/>
        <v>0</v>
      </c>
      <c r="O211" s="144"/>
      <c r="P211" s="127"/>
      <c r="Q211" s="128" t="s">
        <v>1004</v>
      </c>
      <c r="R211" s="129">
        <f t="shared" si="43"/>
        <v>0</v>
      </c>
      <c r="S211" s="129">
        <f t="shared" si="43"/>
        <v>0</v>
      </c>
    </row>
    <row r="212" spans="1:19" ht="13.5" hidden="1" customHeight="1" outlineLevel="1" x14ac:dyDescent="0.25">
      <c r="A212" s="143" t="s">
        <v>1274</v>
      </c>
      <c r="B212" s="241" t="s">
        <v>1275</v>
      </c>
      <c r="C212" s="145"/>
      <c r="D212" s="145"/>
      <c r="E212" s="145"/>
      <c r="F212" s="145"/>
      <c r="G212" s="145"/>
      <c r="H212" s="145"/>
      <c r="I212" s="145"/>
      <c r="J212" s="145"/>
      <c r="K212" s="133">
        <f t="shared" si="41"/>
        <v>0</v>
      </c>
      <c r="L212" s="145"/>
      <c r="M212" s="145"/>
      <c r="N212" s="135">
        <f t="shared" si="42"/>
        <v>0</v>
      </c>
      <c r="O212" s="145"/>
      <c r="P212" s="127"/>
      <c r="Q212" s="128" t="s">
        <v>1004</v>
      </c>
      <c r="R212" s="129">
        <f t="shared" si="43"/>
        <v>0</v>
      </c>
      <c r="S212" s="129">
        <f t="shared" si="43"/>
        <v>0</v>
      </c>
    </row>
    <row r="213" spans="1:19" ht="13.5" hidden="1" customHeight="1" outlineLevel="1" x14ac:dyDescent="0.25">
      <c r="A213" s="143" t="s">
        <v>1276</v>
      </c>
      <c r="B213" s="240" t="s">
        <v>1276</v>
      </c>
      <c r="C213" s="144"/>
      <c r="D213" s="144"/>
      <c r="E213" s="144"/>
      <c r="F213" s="144"/>
      <c r="G213" s="144"/>
      <c r="H213" s="144"/>
      <c r="I213" s="144"/>
      <c r="J213" s="144"/>
      <c r="K213" s="133">
        <f t="shared" si="41"/>
        <v>0</v>
      </c>
      <c r="L213" s="144"/>
      <c r="M213" s="144"/>
      <c r="N213" s="135">
        <f t="shared" si="42"/>
        <v>0</v>
      </c>
      <c r="O213" s="144"/>
      <c r="P213" s="127"/>
      <c r="Q213" s="128" t="s">
        <v>1004</v>
      </c>
      <c r="R213" s="129">
        <f t="shared" si="43"/>
        <v>0</v>
      </c>
      <c r="S213" s="129">
        <f t="shared" si="43"/>
        <v>0</v>
      </c>
    </row>
    <row r="214" spans="1:19" ht="13.5" hidden="1" customHeight="1" outlineLevel="1" x14ac:dyDescent="0.25">
      <c r="A214" s="143" t="s">
        <v>1277</v>
      </c>
      <c r="B214" s="241" t="s">
        <v>1278</v>
      </c>
      <c r="C214" s="145"/>
      <c r="D214" s="145"/>
      <c r="E214" s="145"/>
      <c r="F214" s="145"/>
      <c r="G214" s="145"/>
      <c r="H214" s="145"/>
      <c r="I214" s="145"/>
      <c r="J214" s="145"/>
      <c r="K214" s="133">
        <f t="shared" si="41"/>
        <v>0</v>
      </c>
      <c r="L214" s="145"/>
      <c r="M214" s="145"/>
      <c r="N214" s="135">
        <f t="shared" si="42"/>
        <v>0</v>
      </c>
      <c r="O214" s="145"/>
      <c r="P214" s="127"/>
      <c r="Q214" s="128" t="s">
        <v>1004</v>
      </c>
      <c r="R214" s="129">
        <f t="shared" si="43"/>
        <v>0</v>
      </c>
      <c r="S214" s="129">
        <f t="shared" si="43"/>
        <v>0</v>
      </c>
    </row>
    <row r="215" spans="1:19" ht="13.5" hidden="1" customHeight="1" outlineLevel="1" x14ac:dyDescent="0.25">
      <c r="A215" s="143" t="s">
        <v>1279</v>
      </c>
      <c r="B215" s="240" t="s">
        <v>1280</v>
      </c>
      <c r="C215" s="144"/>
      <c r="D215" s="144"/>
      <c r="E215" s="144"/>
      <c r="F215" s="144"/>
      <c r="G215" s="144"/>
      <c r="H215" s="144"/>
      <c r="I215" s="144"/>
      <c r="J215" s="144"/>
      <c r="K215" s="133">
        <f t="shared" si="41"/>
        <v>0</v>
      </c>
      <c r="L215" s="144"/>
      <c r="M215" s="144"/>
      <c r="N215" s="135">
        <f t="shared" si="42"/>
        <v>0</v>
      </c>
      <c r="O215" s="144"/>
      <c r="P215" s="127"/>
      <c r="Q215" s="128" t="s">
        <v>1004</v>
      </c>
      <c r="R215" s="129">
        <f t="shared" si="43"/>
        <v>0</v>
      </c>
      <c r="S215" s="129">
        <f t="shared" si="43"/>
        <v>0</v>
      </c>
    </row>
    <row r="216" spans="1:19" ht="13.5" hidden="1" customHeight="1" outlineLevel="1" x14ac:dyDescent="0.25">
      <c r="A216" s="143" t="s">
        <v>1281</v>
      </c>
      <c r="B216" s="241" t="s">
        <v>1282</v>
      </c>
      <c r="C216" s="145"/>
      <c r="D216" s="145"/>
      <c r="E216" s="145"/>
      <c r="F216" s="145"/>
      <c r="G216" s="145"/>
      <c r="H216" s="145"/>
      <c r="I216" s="145"/>
      <c r="J216" s="145"/>
      <c r="K216" s="133">
        <f t="shared" si="41"/>
        <v>0</v>
      </c>
      <c r="L216" s="145"/>
      <c r="M216" s="145"/>
      <c r="N216" s="135">
        <f t="shared" si="42"/>
        <v>0</v>
      </c>
      <c r="O216" s="145"/>
      <c r="P216" s="127"/>
      <c r="Q216" s="128" t="s">
        <v>1004</v>
      </c>
      <c r="R216" s="129">
        <f t="shared" si="43"/>
        <v>0</v>
      </c>
      <c r="S216" s="129">
        <f t="shared" si="43"/>
        <v>0</v>
      </c>
    </row>
    <row r="217" spans="1:19" ht="13.5" hidden="1" customHeight="1" outlineLevel="1" x14ac:dyDescent="0.25">
      <c r="A217" s="143" t="s">
        <v>1283</v>
      </c>
      <c r="B217" s="240" t="s">
        <v>607</v>
      </c>
      <c r="C217" s="144"/>
      <c r="D217" s="144"/>
      <c r="E217" s="144"/>
      <c r="F217" s="144"/>
      <c r="G217" s="144"/>
      <c r="H217" s="144"/>
      <c r="I217" s="144"/>
      <c r="J217" s="144"/>
      <c r="K217" s="133">
        <f t="shared" si="41"/>
        <v>0</v>
      </c>
      <c r="L217" s="144"/>
      <c r="M217" s="144"/>
      <c r="N217" s="135">
        <f t="shared" si="42"/>
        <v>0</v>
      </c>
      <c r="O217" s="144"/>
      <c r="P217" s="127"/>
      <c r="Q217" s="128" t="s">
        <v>1004</v>
      </c>
      <c r="R217" s="129">
        <f t="shared" si="43"/>
        <v>0</v>
      </c>
      <c r="S217" s="129">
        <f t="shared" si="43"/>
        <v>0</v>
      </c>
    </row>
    <row r="218" spans="1:19" ht="13.5" hidden="1" customHeight="1" outlineLevel="1" x14ac:dyDescent="0.25">
      <c r="A218" s="143" t="s">
        <v>1284</v>
      </c>
      <c r="B218" s="241" t="s">
        <v>1285</v>
      </c>
      <c r="C218" s="145"/>
      <c r="D218" s="145"/>
      <c r="E218" s="145"/>
      <c r="F218" s="145"/>
      <c r="G218" s="145"/>
      <c r="H218" s="145"/>
      <c r="I218" s="145"/>
      <c r="J218" s="145"/>
      <c r="K218" s="133">
        <f t="shared" si="41"/>
        <v>0</v>
      </c>
      <c r="L218" s="145"/>
      <c r="M218" s="145"/>
      <c r="N218" s="135">
        <f t="shared" si="42"/>
        <v>0</v>
      </c>
      <c r="O218" s="145"/>
      <c r="P218" s="127"/>
      <c r="Q218" s="128" t="s">
        <v>1004</v>
      </c>
      <c r="R218" s="129">
        <f t="shared" si="43"/>
        <v>0</v>
      </c>
      <c r="S218" s="129">
        <f t="shared" si="43"/>
        <v>0</v>
      </c>
    </row>
    <row r="219" spans="1:19" ht="13.5" hidden="1" customHeight="1" outlineLevel="1" x14ac:dyDescent="0.25">
      <c r="A219" s="143" t="s">
        <v>1286</v>
      </c>
      <c r="B219" s="240" t="s">
        <v>1287</v>
      </c>
      <c r="C219" s="144"/>
      <c r="D219" s="144"/>
      <c r="E219" s="144"/>
      <c r="F219" s="144"/>
      <c r="G219" s="144"/>
      <c r="H219" s="144"/>
      <c r="I219" s="144"/>
      <c r="J219" s="144"/>
      <c r="K219" s="133">
        <f t="shared" si="41"/>
        <v>0</v>
      </c>
      <c r="L219" s="144"/>
      <c r="M219" s="144"/>
      <c r="N219" s="135">
        <f t="shared" si="42"/>
        <v>0</v>
      </c>
      <c r="O219" s="144"/>
      <c r="P219" s="127"/>
      <c r="Q219" s="128" t="s">
        <v>1004</v>
      </c>
      <c r="R219" s="129">
        <f t="shared" si="43"/>
        <v>0</v>
      </c>
      <c r="S219" s="129">
        <f t="shared" si="43"/>
        <v>0</v>
      </c>
    </row>
    <row r="220" spans="1:19" ht="13.5" hidden="1" customHeight="1" outlineLevel="1" x14ac:dyDescent="0.25">
      <c r="A220" s="143" t="s">
        <v>1288</v>
      </c>
      <c r="B220" s="241" t="s">
        <v>1289</v>
      </c>
      <c r="C220" s="145"/>
      <c r="D220" s="145"/>
      <c r="E220" s="145"/>
      <c r="F220" s="145"/>
      <c r="G220" s="145"/>
      <c r="H220" s="145"/>
      <c r="I220" s="145"/>
      <c r="J220" s="145"/>
      <c r="K220" s="133">
        <f t="shared" si="41"/>
        <v>0</v>
      </c>
      <c r="L220" s="145"/>
      <c r="M220" s="145"/>
      <c r="N220" s="135">
        <f t="shared" si="42"/>
        <v>0</v>
      </c>
      <c r="O220" s="145"/>
      <c r="P220" s="127"/>
      <c r="Q220" s="128" t="s">
        <v>1004</v>
      </c>
      <c r="R220" s="129">
        <f t="shared" si="43"/>
        <v>0</v>
      </c>
      <c r="S220" s="129">
        <f t="shared" si="43"/>
        <v>0</v>
      </c>
    </row>
    <row r="221" spans="1:19" ht="13.5" hidden="1" customHeight="1" outlineLevel="1" x14ac:dyDescent="0.25">
      <c r="A221" s="143" t="s">
        <v>1290</v>
      </c>
      <c r="B221" s="240" t="s">
        <v>1291</v>
      </c>
      <c r="C221" s="144"/>
      <c r="D221" s="144"/>
      <c r="E221" s="144"/>
      <c r="F221" s="144"/>
      <c r="G221" s="144"/>
      <c r="H221" s="144"/>
      <c r="I221" s="144"/>
      <c r="J221" s="144"/>
      <c r="K221" s="133">
        <f t="shared" si="41"/>
        <v>0</v>
      </c>
      <c r="L221" s="144"/>
      <c r="M221" s="144"/>
      <c r="N221" s="135">
        <f t="shared" si="42"/>
        <v>0</v>
      </c>
      <c r="O221" s="144"/>
      <c r="P221" s="127"/>
      <c r="Q221" s="128" t="s">
        <v>1004</v>
      </c>
      <c r="R221" s="129">
        <f t="shared" si="43"/>
        <v>0</v>
      </c>
      <c r="S221" s="129">
        <f t="shared" si="43"/>
        <v>0</v>
      </c>
    </row>
    <row r="222" spans="1:19" ht="13.5" hidden="1" customHeight="1" outlineLevel="1" x14ac:dyDescent="0.25">
      <c r="A222" s="143" t="s">
        <v>1292</v>
      </c>
      <c r="B222" s="241" t="s">
        <v>1293</v>
      </c>
      <c r="C222" s="145"/>
      <c r="D222" s="145"/>
      <c r="E222" s="145"/>
      <c r="F222" s="145"/>
      <c r="G222" s="145"/>
      <c r="H222" s="145"/>
      <c r="I222" s="145"/>
      <c r="J222" s="145"/>
      <c r="K222" s="133">
        <f t="shared" si="41"/>
        <v>0</v>
      </c>
      <c r="L222" s="145"/>
      <c r="M222" s="145"/>
      <c r="N222" s="135">
        <f t="shared" si="42"/>
        <v>0</v>
      </c>
      <c r="O222" s="145"/>
      <c r="P222" s="127"/>
      <c r="Q222" s="128" t="s">
        <v>1004</v>
      </c>
      <c r="R222" s="129">
        <f t="shared" si="43"/>
        <v>0</v>
      </c>
      <c r="S222" s="129">
        <f t="shared" si="43"/>
        <v>0</v>
      </c>
    </row>
    <row r="223" spans="1:19" ht="13.5" hidden="1" customHeight="1" outlineLevel="1" x14ac:dyDescent="0.25">
      <c r="A223" s="143" t="s">
        <v>1294</v>
      </c>
      <c r="B223" s="240" t="s">
        <v>1295</v>
      </c>
      <c r="C223" s="144"/>
      <c r="D223" s="144"/>
      <c r="E223" s="144"/>
      <c r="F223" s="144"/>
      <c r="G223" s="144"/>
      <c r="H223" s="144"/>
      <c r="I223" s="144"/>
      <c r="J223" s="144"/>
      <c r="K223" s="133">
        <f t="shared" si="41"/>
        <v>0</v>
      </c>
      <c r="L223" s="144"/>
      <c r="M223" s="144"/>
      <c r="N223" s="135">
        <f t="shared" si="42"/>
        <v>0</v>
      </c>
      <c r="O223" s="144"/>
      <c r="P223" s="127"/>
      <c r="Q223" s="128" t="s">
        <v>1004</v>
      </c>
      <c r="R223" s="129">
        <f t="shared" si="43"/>
        <v>0</v>
      </c>
      <c r="S223" s="129">
        <f t="shared" si="43"/>
        <v>0</v>
      </c>
    </row>
    <row r="224" spans="1:19" ht="13.5" hidden="1" customHeight="1" outlineLevel="1" x14ac:dyDescent="0.25">
      <c r="A224" s="143" t="s">
        <v>1296</v>
      </c>
      <c r="B224" s="241" t="s">
        <v>1297</v>
      </c>
      <c r="C224" s="145"/>
      <c r="D224" s="145"/>
      <c r="E224" s="145"/>
      <c r="F224" s="145"/>
      <c r="G224" s="145"/>
      <c r="H224" s="145"/>
      <c r="I224" s="145"/>
      <c r="J224" s="145"/>
      <c r="K224" s="133">
        <f t="shared" si="41"/>
        <v>0</v>
      </c>
      <c r="L224" s="145"/>
      <c r="M224" s="145"/>
      <c r="N224" s="135">
        <f t="shared" si="42"/>
        <v>0</v>
      </c>
      <c r="O224" s="145"/>
      <c r="P224" s="127"/>
      <c r="Q224" s="128" t="s">
        <v>1004</v>
      </c>
      <c r="R224" s="129">
        <f t="shared" si="43"/>
        <v>0</v>
      </c>
      <c r="S224" s="129">
        <f t="shared" si="43"/>
        <v>0</v>
      </c>
    </row>
    <row r="225" spans="1:19" ht="13.5" hidden="1" customHeight="1" outlineLevel="1" x14ac:dyDescent="0.25">
      <c r="A225" s="143" t="s">
        <v>1298</v>
      </c>
      <c r="B225" s="240" t="s">
        <v>1299</v>
      </c>
      <c r="C225" s="144"/>
      <c r="D225" s="144"/>
      <c r="E225" s="144"/>
      <c r="F225" s="144"/>
      <c r="G225" s="144"/>
      <c r="H225" s="144"/>
      <c r="I225" s="144"/>
      <c r="J225" s="144"/>
      <c r="K225" s="133">
        <f t="shared" ref="K225:K256" si="44">SUMIF($A$7:$A$92,A225,$K$7:$K$92)</f>
        <v>0</v>
      </c>
      <c r="L225" s="144"/>
      <c r="M225" s="144"/>
      <c r="N225" s="135">
        <f t="shared" ref="N225:N256" si="45">SUMIF($A$7:$A$92,A225,$N$7:$N$92)</f>
        <v>0</v>
      </c>
      <c r="O225" s="144"/>
      <c r="P225" s="127"/>
      <c r="Q225" s="128" t="s">
        <v>1004</v>
      </c>
      <c r="R225" s="129">
        <f t="shared" ref="R225:S256" si="46">+ROUND((K225+N225)*(1+SUMIF($R$2:$R$4,Q225,$S$2:$S$4)),0)</f>
        <v>0</v>
      </c>
      <c r="S225" s="129">
        <f t="shared" si="46"/>
        <v>0</v>
      </c>
    </row>
    <row r="226" spans="1:19" ht="13.5" hidden="1" customHeight="1" outlineLevel="1" x14ac:dyDescent="0.25">
      <c r="A226" s="143" t="s">
        <v>1300</v>
      </c>
      <c r="B226" s="241" t="s">
        <v>1301</v>
      </c>
      <c r="C226" s="145"/>
      <c r="D226" s="145"/>
      <c r="E226" s="145"/>
      <c r="F226" s="145"/>
      <c r="G226" s="145"/>
      <c r="H226" s="145"/>
      <c r="I226" s="145"/>
      <c r="J226" s="145"/>
      <c r="K226" s="133">
        <f t="shared" si="44"/>
        <v>0</v>
      </c>
      <c r="L226" s="145"/>
      <c r="M226" s="145"/>
      <c r="N226" s="135">
        <f t="shared" si="45"/>
        <v>0</v>
      </c>
      <c r="O226" s="145"/>
      <c r="P226" s="127"/>
      <c r="Q226" s="128" t="s">
        <v>1004</v>
      </c>
      <c r="R226" s="129">
        <f t="shared" si="46"/>
        <v>0</v>
      </c>
      <c r="S226" s="129">
        <f t="shared" si="46"/>
        <v>0</v>
      </c>
    </row>
    <row r="227" spans="1:19" ht="13.5" hidden="1" customHeight="1" outlineLevel="1" x14ac:dyDescent="0.25">
      <c r="A227" s="143" t="s">
        <v>1302</v>
      </c>
      <c r="B227" s="240" t="s">
        <v>1303</v>
      </c>
      <c r="C227" s="144"/>
      <c r="D227" s="144"/>
      <c r="E227" s="144"/>
      <c r="F227" s="144"/>
      <c r="G227" s="144"/>
      <c r="H227" s="144"/>
      <c r="I227" s="144"/>
      <c r="J227" s="144"/>
      <c r="K227" s="133">
        <f t="shared" si="44"/>
        <v>0</v>
      </c>
      <c r="L227" s="144"/>
      <c r="M227" s="144"/>
      <c r="N227" s="135">
        <f t="shared" si="45"/>
        <v>0</v>
      </c>
      <c r="O227" s="144"/>
      <c r="P227" s="127"/>
      <c r="Q227" s="128" t="s">
        <v>1004</v>
      </c>
      <c r="R227" s="129">
        <f t="shared" si="46"/>
        <v>0</v>
      </c>
      <c r="S227" s="129">
        <f t="shared" si="46"/>
        <v>0</v>
      </c>
    </row>
    <row r="228" spans="1:19" ht="13.5" hidden="1" customHeight="1" outlineLevel="1" x14ac:dyDescent="0.25">
      <c r="A228" s="143" t="s">
        <v>1304</v>
      </c>
      <c r="B228" s="241" t="s">
        <v>1305</v>
      </c>
      <c r="C228" s="145"/>
      <c r="D228" s="145"/>
      <c r="E228" s="145"/>
      <c r="F228" s="145"/>
      <c r="G228" s="145"/>
      <c r="H228" s="145"/>
      <c r="I228" s="145"/>
      <c r="J228" s="145"/>
      <c r="K228" s="133">
        <f t="shared" si="44"/>
        <v>0</v>
      </c>
      <c r="L228" s="145"/>
      <c r="M228" s="145"/>
      <c r="N228" s="135">
        <f t="shared" si="45"/>
        <v>0</v>
      </c>
      <c r="O228" s="145"/>
      <c r="P228" s="127"/>
      <c r="Q228" s="128" t="s">
        <v>1004</v>
      </c>
      <c r="R228" s="129">
        <f t="shared" si="46"/>
        <v>0</v>
      </c>
      <c r="S228" s="129">
        <f t="shared" si="46"/>
        <v>0</v>
      </c>
    </row>
    <row r="229" spans="1:19" ht="13.5" hidden="1" customHeight="1" outlineLevel="1" x14ac:dyDescent="0.25">
      <c r="A229" s="143" t="s">
        <v>1306</v>
      </c>
      <c r="B229" s="240" t="s">
        <v>1307</v>
      </c>
      <c r="C229" s="144"/>
      <c r="D229" s="144"/>
      <c r="E229" s="144"/>
      <c r="F229" s="144"/>
      <c r="G229" s="144"/>
      <c r="H229" s="144"/>
      <c r="I229" s="144"/>
      <c r="J229" s="144"/>
      <c r="K229" s="133">
        <f t="shared" si="44"/>
        <v>0</v>
      </c>
      <c r="L229" s="144"/>
      <c r="M229" s="144"/>
      <c r="N229" s="135">
        <f t="shared" si="45"/>
        <v>0</v>
      </c>
      <c r="O229" s="144"/>
      <c r="P229" s="127"/>
      <c r="Q229" s="128" t="s">
        <v>1004</v>
      </c>
      <c r="R229" s="129">
        <f t="shared" si="46"/>
        <v>0</v>
      </c>
      <c r="S229" s="129">
        <f t="shared" si="46"/>
        <v>0</v>
      </c>
    </row>
    <row r="230" spans="1:19" ht="13.5" hidden="1" customHeight="1" outlineLevel="1" x14ac:dyDescent="0.25">
      <c r="A230" s="143" t="s">
        <v>1308</v>
      </c>
      <c r="B230" s="241" t="s">
        <v>1309</v>
      </c>
      <c r="C230" s="145"/>
      <c r="D230" s="145"/>
      <c r="E230" s="145"/>
      <c r="F230" s="145"/>
      <c r="G230" s="145"/>
      <c r="H230" s="145"/>
      <c r="I230" s="145"/>
      <c r="J230" s="145"/>
      <c r="K230" s="133">
        <f t="shared" si="44"/>
        <v>0</v>
      </c>
      <c r="L230" s="145"/>
      <c r="M230" s="145"/>
      <c r="N230" s="135">
        <f t="shared" si="45"/>
        <v>0</v>
      </c>
      <c r="O230" s="145"/>
      <c r="P230" s="127"/>
      <c r="Q230" s="128" t="s">
        <v>1004</v>
      </c>
      <c r="R230" s="129">
        <f t="shared" si="46"/>
        <v>0</v>
      </c>
      <c r="S230" s="129">
        <f t="shared" si="46"/>
        <v>0</v>
      </c>
    </row>
    <row r="231" spans="1:19" ht="13.5" hidden="1" customHeight="1" outlineLevel="1" x14ac:dyDescent="0.25">
      <c r="A231" s="143" t="s">
        <v>1310</v>
      </c>
      <c r="B231" s="240" t="s">
        <v>1311</v>
      </c>
      <c r="C231" s="144"/>
      <c r="D231" s="144"/>
      <c r="E231" s="144"/>
      <c r="F231" s="144"/>
      <c r="G231" s="144"/>
      <c r="H231" s="144"/>
      <c r="I231" s="144"/>
      <c r="J231" s="144"/>
      <c r="K231" s="133">
        <f t="shared" si="44"/>
        <v>0</v>
      </c>
      <c r="L231" s="144"/>
      <c r="M231" s="144"/>
      <c r="N231" s="135">
        <f t="shared" si="45"/>
        <v>0</v>
      </c>
      <c r="O231" s="144"/>
      <c r="P231" s="127"/>
      <c r="Q231" s="128" t="s">
        <v>1004</v>
      </c>
      <c r="R231" s="129">
        <f t="shared" si="46"/>
        <v>0</v>
      </c>
      <c r="S231" s="129">
        <f t="shared" si="46"/>
        <v>0</v>
      </c>
    </row>
    <row r="232" spans="1:19" ht="13.5" hidden="1" customHeight="1" outlineLevel="1" x14ac:dyDescent="0.25">
      <c r="A232" s="143" t="s">
        <v>1312</v>
      </c>
      <c r="B232" s="241" t="s">
        <v>1313</v>
      </c>
      <c r="C232" s="145"/>
      <c r="D232" s="145"/>
      <c r="E232" s="145"/>
      <c r="F232" s="145"/>
      <c r="G232" s="145"/>
      <c r="H232" s="145"/>
      <c r="I232" s="145"/>
      <c r="J232" s="145"/>
      <c r="K232" s="133">
        <f t="shared" si="44"/>
        <v>0</v>
      </c>
      <c r="L232" s="145"/>
      <c r="M232" s="145"/>
      <c r="N232" s="135">
        <f t="shared" si="45"/>
        <v>0</v>
      </c>
      <c r="O232" s="145"/>
      <c r="P232" s="127"/>
      <c r="Q232" s="128" t="s">
        <v>1004</v>
      </c>
      <c r="R232" s="129">
        <f t="shared" si="46"/>
        <v>0</v>
      </c>
      <c r="S232" s="129">
        <f t="shared" si="46"/>
        <v>0</v>
      </c>
    </row>
    <row r="233" spans="1:19" ht="13.5" hidden="1" customHeight="1" outlineLevel="1" x14ac:dyDescent="0.25">
      <c r="A233" s="143" t="s">
        <v>1314</v>
      </c>
      <c r="B233" s="240" t="s">
        <v>1315</v>
      </c>
      <c r="C233" s="144"/>
      <c r="D233" s="144"/>
      <c r="E233" s="144"/>
      <c r="F233" s="144"/>
      <c r="G233" s="144"/>
      <c r="H233" s="144"/>
      <c r="I233" s="144"/>
      <c r="J233" s="144"/>
      <c r="K233" s="133">
        <f t="shared" si="44"/>
        <v>0</v>
      </c>
      <c r="L233" s="144"/>
      <c r="M233" s="144"/>
      <c r="N233" s="135">
        <f t="shared" si="45"/>
        <v>0</v>
      </c>
      <c r="O233" s="144"/>
      <c r="P233" s="127"/>
      <c r="Q233" s="128" t="s">
        <v>1004</v>
      </c>
      <c r="R233" s="129">
        <f t="shared" si="46"/>
        <v>0</v>
      </c>
      <c r="S233" s="129">
        <f t="shared" si="46"/>
        <v>0</v>
      </c>
    </row>
    <row r="234" spans="1:19" ht="13.5" hidden="1" customHeight="1" outlineLevel="1" x14ac:dyDescent="0.25">
      <c r="A234" s="143" t="s">
        <v>1316</v>
      </c>
      <c r="B234" s="241" t="s">
        <v>1317</v>
      </c>
      <c r="C234" s="145"/>
      <c r="D234" s="145"/>
      <c r="E234" s="145"/>
      <c r="F234" s="145"/>
      <c r="G234" s="145"/>
      <c r="H234" s="145"/>
      <c r="I234" s="145"/>
      <c r="J234" s="145"/>
      <c r="K234" s="133">
        <f t="shared" si="44"/>
        <v>0</v>
      </c>
      <c r="L234" s="145"/>
      <c r="M234" s="145"/>
      <c r="N234" s="135">
        <f t="shared" si="45"/>
        <v>0</v>
      </c>
      <c r="O234" s="145"/>
      <c r="P234" s="127"/>
      <c r="Q234" s="128" t="s">
        <v>1004</v>
      </c>
      <c r="R234" s="129">
        <f t="shared" si="46"/>
        <v>0</v>
      </c>
      <c r="S234" s="129">
        <f t="shared" si="46"/>
        <v>0</v>
      </c>
    </row>
    <row r="235" spans="1:19" ht="13.5" hidden="1" customHeight="1" outlineLevel="1" x14ac:dyDescent="0.25">
      <c r="A235" s="143" t="s">
        <v>1019</v>
      </c>
      <c r="B235" s="240" t="s">
        <v>1318</v>
      </c>
      <c r="C235" s="144"/>
      <c r="D235" s="144"/>
      <c r="E235" s="144"/>
      <c r="F235" s="144"/>
      <c r="G235" s="144"/>
      <c r="H235" s="144"/>
      <c r="I235" s="144"/>
      <c r="J235" s="144"/>
      <c r="K235" s="133">
        <f t="shared" si="44"/>
        <v>0</v>
      </c>
      <c r="L235" s="144"/>
      <c r="M235" s="144"/>
      <c r="N235" s="135">
        <f t="shared" si="45"/>
        <v>0</v>
      </c>
      <c r="O235" s="144"/>
      <c r="P235" s="127"/>
      <c r="Q235" s="128" t="s">
        <v>1004</v>
      </c>
      <c r="R235" s="129">
        <f t="shared" si="46"/>
        <v>0</v>
      </c>
      <c r="S235" s="129">
        <f t="shared" si="46"/>
        <v>0</v>
      </c>
    </row>
    <row r="236" spans="1:19" ht="13.5" hidden="1" customHeight="1" outlineLevel="1" x14ac:dyDescent="0.25">
      <c r="A236" s="143" t="s">
        <v>1319</v>
      </c>
      <c r="B236" s="241" t="s">
        <v>1320</v>
      </c>
      <c r="C236" s="145"/>
      <c r="D236" s="145"/>
      <c r="E236" s="145"/>
      <c r="F236" s="145"/>
      <c r="G236" s="145"/>
      <c r="H236" s="145"/>
      <c r="I236" s="145"/>
      <c r="J236" s="145"/>
      <c r="K236" s="133">
        <f t="shared" si="44"/>
        <v>0</v>
      </c>
      <c r="L236" s="145"/>
      <c r="M236" s="145"/>
      <c r="N236" s="135">
        <f t="shared" si="45"/>
        <v>0</v>
      </c>
      <c r="O236" s="145"/>
      <c r="P236" s="127"/>
      <c r="Q236" s="128" t="s">
        <v>1004</v>
      </c>
      <c r="R236" s="129">
        <f t="shared" si="46"/>
        <v>0</v>
      </c>
      <c r="S236" s="129">
        <f t="shared" si="46"/>
        <v>0</v>
      </c>
    </row>
    <row r="237" spans="1:19" ht="13.5" hidden="1" customHeight="1" outlineLevel="1" x14ac:dyDescent="0.25">
      <c r="A237" s="143" t="s">
        <v>1321</v>
      </c>
      <c r="B237" s="240" t="s">
        <v>1322</v>
      </c>
      <c r="C237" s="144"/>
      <c r="D237" s="144"/>
      <c r="E237" s="144"/>
      <c r="F237" s="144"/>
      <c r="G237" s="144"/>
      <c r="H237" s="144"/>
      <c r="I237" s="144"/>
      <c r="J237" s="144"/>
      <c r="K237" s="133">
        <f t="shared" si="44"/>
        <v>0</v>
      </c>
      <c r="L237" s="144"/>
      <c r="M237" s="144"/>
      <c r="N237" s="135">
        <f t="shared" si="45"/>
        <v>0</v>
      </c>
      <c r="O237" s="144"/>
      <c r="P237" s="127"/>
      <c r="Q237" s="128" t="s">
        <v>1004</v>
      </c>
      <c r="R237" s="129">
        <f t="shared" si="46"/>
        <v>0</v>
      </c>
      <c r="S237" s="129">
        <f t="shared" si="46"/>
        <v>0</v>
      </c>
    </row>
    <row r="238" spans="1:19" ht="13.5" hidden="1" customHeight="1" outlineLevel="1" x14ac:dyDescent="0.25">
      <c r="A238" s="143" t="s">
        <v>1323</v>
      </c>
      <c r="B238" s="241" t="s">
        <v>1324</v>
      </c>
      <c r="C238" s="145"/>
      <c r="D238" s="145"/>
      <c r="E238" s="145"/>
      <c r="F238" s="145"/>
      <c r="G238" s="145"/>
      <c r="H238" s="145"/>
      <c r="I238" s="145"/>
      <c r="J238" s="145"/>
      <c r="K238" s="133">
        <f t="shared" si="44"/>
        <v>0</v>
      </c>
      <c r="L238" s="145"/>
      <c r="M238" s="145"/>
      <c r="N238" s="135">
        <f t="shared" si="45"/>
        <v>0</v>
      </c>
      <c r="O238" s="145"/>
      <c r="P238" s="127"/>
      <c r="Q238" s="128" t="s">
        <v>1004</v>
      </c>
      <c r="R238" s="129">
        <f t="shared" si="46"/>
        <v>0</v>
      </c>
      <c r="S238" s="129">
        <f t="shared" si="46"/>
        <v>0</v>
      </c>
    </row>
    <row r="239" spans="1:19" ht="13.5" hidden="1" customHeight="1" outlineLevel="1" x14ac:dyDescent="0.25">
      <c r="A239" s="143" t="s">
        <v>1325</v>
      </c>
      <c r="B239" s="240" t="s">
        <v>1325</v>
      </c>
      <c r="C239" s="144"/>
      <c r="D239" s="144"/>
      <c r="E239" s="144"/>
      <c r="F239" s="144"/>
      <c r="G239" s="144"/>
      <c r="H239" s="144"/>
      <c r="I239" s="144"/>
      <c r="J239" s="144"/>
      <c r="K239" s="133">
        <f t="shared" si="44"/>
        <v>0</v>
      </c>
      <c r="L239" s="144"/>
      <c r="M239" s="144"/>
      <c r="N239" s="135">
        <f t="shared" si="45"/>
        <v>0</v>
      </c>
      <c r="O239" s="144"/>
      <c r="P239" s="127"/>
      <c r="Q239" s="128" t="s">
        <v>1004</v>
      </c>
      <c r="R239" s="129">
        <f t="shared" si="46"/>
        <v>0</v>
      </c>
      <c r="S239" s="129">
        <f t="shared" si="46"/>
        <v>0</v>
      </c>
    </row>
    <row r="240" spans="1:19" ht="13.5" hidden="1" customHeight="1" outlineLevel="1" x14ac:dyDescent="0.25">
      <c r="A240" s="143" t="s">
        <v>1326</v>
      </c>
      <c r="B240" s="241" t="s">
        <v>1327</v>
      </c>
      <c r="C240" s="145"/>
      <c r="D240" s="145"/>
      <c r="E240" s="145"/>
      <c r="F240" s="145"/>
      <c r="G240" s="145"/>
      <c r="H240" s="145"/>
      <c r="I240" s="145"/>
      <c r="J240" s="145"/>
      <c r="K240" s="133">
        <f t="shared" si="44"/>
        <v>0</v>
      </c>
      <c r="L240" s="145"/>
      <c r="M240" s="145"/>
      <c r="N240" s="135">
        <f t="shared" si="45"/>
        <v>0</v>
      </c>
      <c r="O240" s="145"/>
      <c r="P240" s="127"/>
      <c r="Q240" s="128" t="s">
        <v>1004</v>
      </c>
      <c r="R240" s="129">
        <f t="shared" si="46"/>
        <v>0</v>
      </c>
      <c r="S240" s="129">
        <f t="shared" si="46"/>
        <v>0</v>
      </c>
    </row>
    <row r="241" spans="1:19" ht="13.5" hidden="1" customHeight="1" outlineLevel="1" x14ac:dyDescent="0.25">
      <c r="A241" s="143" t="s">
        <v>1328</v>
      </c>
      <c r="B241" s="240" t="s">
        <v>1329</v>
      </c>
      <c r="C241" s="144"/>
      <c r="D241" s="144"/>
      <c r="E241" s="144"/>
      <c r="F241" s="144"/>
      <c r="G241" s="144"/>
      <c r="H241" s="144"/>
      <c r="I241" s="144"/>
      <c r="J241" s="144"/>
      <c r="K241" s="133">
        <f t="shared" si="44"/>
        <v>0</v>
      </c>
      <c r="L241" s="144"/>
      <c r="M241" s="144"/>
      <c r="N241" s="135">
        <f t="shared" si="45"/>
        <v>0</v>
      </c>
      <c r="O241" s="144"/>
      <c r="P241" s="127"/>
      <c r="Q241" s="128" t="s">
        <v>1004</v>
      </c>
      <c r="R241" s="129">
        <f t="shared" si="46"/>
        <v>0</v>
      </c>
      <c r="S241" s="129">
        <f t="shared" si="46"/>
        <v>0</v>
      </c>
    </row>
    <row r="242" spans="1:19" ht="13.5" hidden="1" customHeight="1" outlineLevel="1" x14ac:dyDescent="0.25">
      <c r="A242" s="143" t="s">
        <v>1330</v>
      </c>
      <c r="B242" s="241" t="s">
        <v>1331</v>
      </c>
      <c r="C242" s="145"/>
      <c r="D242" s="145"/>
      <c r="E242" s="145"/>
      <c r="F242" s="145"/>
      <c r="G242" s="145"/>
      <c r="H242" s="145"/>
      <c r="I242" s="145"/>
      <c r="J242" s="145"/>
      <c r="K242" s="133">
        <f t="shared" si="44"/>
        <v>0</v>
      </c>
      <c r="L242" s="145"/>
      <c r="M242" s="145"/>
      <c r="N242" s="135">
        <f t="shared" si="45"/>
        <v>0</v>
      </c>
      <c r="O242" s="145"/>
      <c r="P242" s="127"/>
      <c r="Q242" s="128" t="s">
        <v>1004</v>
      </c>
      <c r="R242" s="129">
        <f t="shared" si="46"/>
        <v>0</v>
      </c>
      <c r="S242" s="129">
        <f t="shared" si="46"/>
        <v>0</v>
      </c>
    </row>
    <row r="243" spans="1:19" ht="13.5" hidden="1" customHeight="1" outlineLevel="1" x14ac:dyDescent="0.25">
      <c r="A243" s="143" t="s">
        <v>1332</v>
      </c>
      <c r="B243" s="240" t="s">
        <v>1333</v>
      </c>
      <c r="C243" s="144"/>
      <c r="D243" s="144"/>
      <c r="E243" s="144"/>
      <c r="F243" s="144"/>
      <c r="G243" s="144"/>
      <c r="H243" s="144"/>
      <c r="I243" s="144"/>
      <c r="J243" s="144"/>
      <c r="K243" s="133">
        <f t="shared" si="44"/>
        <v>0</v>
      </c>
      <c r="L243" s="144"/>
      <c r="M243" s="144"/>
      <c r="N243" s="135">
        <f t="shared" si="45"/>
        <v>0</v>
      </c>
      <c r="O243" s="144"/>
      <c r="P243" s="127"/>
      <c r="Q243" s="128" t="s">
        <v>1004</v>
      </c>
      <c r="R243" s="129">
        <f t="shared" si="46"/>
        <v>0</v>
      </c>
      <c r="S243" s="129">
        <f t="shared" si="46"/>
        <v>0</v>
      </c>
    </row>
    <row r="244" spans="1:19" ht="13.5" hidden="1" customHeight="1" outlineLevel="1" x14ac:dyDescent="0.25">
      <c r="A244" s="143" t="s">
        <v>1334</v>
      </c>
      <c r="B244" s="241" t="s">
        <v>1335</v>
      </c>
      <c r="C244" s="145"/>
      <c r="D244" s="145"/>
      <c r="E244" s="145"/>
      <c r="F244" s="145"/>
      <c r="G244" s="145"/>
      <c r="H244" s="145"/>
      <c r="I244" s="145"/>
      <c r="J244" s="145"/>
      <c r="K244" s="133">
        <f t="shared" si="44"/>
        <v>0</v>
      </c>
      <c r="L244" s="145"/>
      <c r="M244" s="145"/>
      <c r="N244" s="135">
        <f t="shared" si="45"/>
        <v>0</v>
      </c>
      <c r="O244" s="145"/>
      <c r="P244" s="127"/>
      <c r="Q244" s="128" t="s">
        <v>1004</v>
      </c>
      <c r="R244" s="129">
        <f t="shared" si="46"/>
        <v>0</v>
      </c>
      <c r="S244" s="129">
        <f t="shared" si="46"/>
        <v>0</v>
      </c>
    </row>
    <row r="245" spans="1:19" ht="13.5" hidden="1" customHeight="1" outlineLevel="1" x14ac:dyDescent="0.25">
      <c r="A245" s="143" t="s">
        <v>1336</v>
      </c>
      <c r="B245" s="240" t="s">
        <v>1337</v>
      </c>
      <c r="C245" s="144"/>
      <c r="D245" s="144"/>
      <c r="E245" s="144"/>
      <c r="F245" s="144"/>
      <c r="G245" s="144"/>
      <c r="H245" s="144"/>
      <c r="I245" s="144"/>
      <c r="J245" s="144"/>
      <c r="K245" s="133">
        <f t="shared" si="44"/>
        <v>0</v>
      </c>
      <c r="L245" s="144"/>
      <c r="M245" s="144"/>
      <c r="N245" s="135">
        <f t="shared" si="45"/>
        <v>0</v>
      </c>
      <c r="O245" s="144"/>
      <c r="P245" s="127"/>
      <c r="Q245" s="128" t="s">
        <v>1004</v>
      </c>
      <c r="R245" s="129">
        <f t="shared" si="46"/>
        <v>0</v>
      </c>
      <c r="S245" s="129">
        <f t="shared" si="46"/>
        <v>0</v>
      </c>
    </row>
    <row r="246" spans="1:19" ht="13.5" hidden="1" customHeight="1" outlineLevel="1" x14ac:dyDescent="0.25">
      <c r="A246" s="143" t="s">
        <v>1338</v>
      </c>
      <c r="B246" s="241" t="s">
        <v>1339</v>
      </c>
      <c r="C246" s="145"/>
      <c r="D246" s="145"/>
      <c r="E246" s="145"/>
      <c r="F246" s="145"/>
      <c r="G246" s="145"/>
      <c r="H246" s="145"/>
      <c r="I246" s="145"/>
      <c r="J246" s="145"/>
      <c r="K246" s="133">
        <f t="shared" si="44"/>
        <v>0</v>
      </c>
      <c r="L246" s="145"/>
      <c r="M246" s="145"/>
      <c r="N246" s="135">
        <f t="shared" si="45"/>
        <v>0</v>
      </c>
      <c r="O246" s="145"/>
      <c r="P246" s="127"/>
      <c r="Q246" s="128" t="s">
        <v>1004</v>
      </c>
      <c r="R246" s="129">
        <f t="shared" si="46"/>
        <v>0</v>
      </c>
      <c r="S246" s="129">
        <f t="shared" si="46"/>
        <v>0</v>
      </c>
    </row>
    <row r="247" spans="1:19" ht="13.5" hidden="1" customHeight="1" outlineLevel="1" x14ac:dyDescent="0.25">
      <c r="A247" s="143" t="s">
        <v>1340</v>
      </c>
      <c r="B247" s="240" t="s">
        <v>1341</v>
      </c>
      <c r="C247" s="144"/>
      <c r="D247" s="144"/>
      <c r="E247" s="144"/>
      <c r="F247" s="144"/>
      <c r="G247" s="144"/>
      <c r="H247" s="144"/>
      <c r="I247" s="144"/>
      <c r="J247" s="144"/>
      <c r="K247" s="133">
        <f t="shared" si="44"/>
        <v>0</v>
      </c>
      <c r="L247" s="144"/>
      <c r="M247" s="144"/>
      <c r="N247" s="135">
        <f t="shared" si="45"/>
        <v>0</v>
      </c>
      <c r="O247" s="144"/>
      <c r="P247" s="127"/>
      <c r="Q247" s="128" t="s">
        <v>1004</v>
      </c>
      <c r="R247" s="129">
        <f t="shared" si="46"/>
        <v>0</v>
      </c>
      <c r="S247" s="129">
        <f t="shared" si="46"/>
        <v>0</v>
      </c>
    </row>
    <row r="248" spans="1:19" ht="13.5" hidden="1" customHeight="1" outlineLevel="1" x14ac:dyDescent="0.25">
      <c r="A248" s="143" t="s">
        <v>1342</v>
      </c>
      <c r="B248" s="241" t="s">
        <v>1343</v>
      </c>
      <c r="C248" s="145"/>
      <c r="D248" s="145"/>
      <c r="E248" s="145"/>
      <c r="F248" s="145"/>
      <c r="G248" s="145"/>
      <c r="H248" s="145"/>
      <c r="I248" s="145"/>
      <c r="J248" s="145"/>
      <c r="K248" s="133">
        <f t="shared" si="44"/>
        <v>0</v>
      </c>
      <c r="L248" s="145"/>
      <c r="M248" s="145"/>
      <c r="N248" s="135">
        <f t="shared" si="45"/>
        <v>0</v>
      </c>
      <c r="O248" s="145"/>
      <c r="P248" s="127"/>
      <c r="Q248" s="128" t="s">
        <v>1004</v>
      </c>
      <c r="R248" s="129">
        <f t="shared" si="46"/>
        <v>0</v>
      </c>
      <c r="S248" s="129">
        <f t="shared" si="46"/>
        <v>0</v>
      </c>
    </row>
    <row r="249" spans="1:19" ht="13.5" hidden="1" customHeight="1" outlineLevel="1" x14ac:dyDescent="0.25">
      <c r="A249" s="143" t="s">
        <v>1344</v>
      </c>
      <c r="B249" s="240" t="s">
        <v>1345</v>
      </c>
      <c r="C249" s="144"/>
      <c r="D249" s="144"/>
      <c r="E249" s="144"/>
      <c r="F249" s="144"/>
      <c r="G249" s="144"/>
      <c r="H249" s="144"/>
      <c r="I249" s="144"/>
      <c r="J249" s="144"/>
      <c r="K249" s="133">
        <f t="shared" si="44"/>
        <v>0</v>
      </c>
      <c r="L249" s="144"/>
      <c r="M249" s="144"/>
      <c r="N249" s="135">
        <f t="shared" si="45"/>
        <v>0</v>
      </c>
      <c r="O249" s="144"/>
      <c r="P249" s="127"/>
      <c r="Q249" s="128" t="s">
        <v>1004</v>
      </c>
      <c r="R249" s="129">
        <f t="shared" si="46"/>
        <v>0</v>
      </c>
      <c r="S249" s="129">
        <f t="shared" si="46"/>
        <v>0</v>
      </c>
    </row>
    <row r="250" spans="1:19" ht="13.5" hidden="1" customHeight="1" outlineLevel="1" x14ac:dyDescent="0.25">
      <c r="A250" s="143" t="s">
        <v>1346</v>
      </c>
      <c r="B250" s="241" t="s">
        <v>1347</v>
      </c>
      <c r="C250" s="145"/>
      <c r="D250" s="145"/>
      <c r="E250" s="145"/>
      <c r="F250" s="145"/>
      <c r="G250" s="145"/>
      <c r="H250" s="145"/>
      <c r="I250" s="145"/>
      <c r="J250" s="145"/>
      <c r="K250" s="133">
        <f t="shared" si="44"/>
        <v>0</v>
      </c>
      <c r="L250" s="145"/>
      <c r="M250" s="145"/>
      <c r="N250" s="135">
        <f t="shared" si="45"/>
        <v>0</v>
      </c>
      <c r="O250" s="145"/>
      <c r="P250" s="127"/>
      <c r="Q250" s="128" t="s">
        <v>1004</v>
      </c>
      <c r="R250" s="129">
        <f t="shared" si="46"/>
        <v>0</v>
      </c>
      <c r="S250" s="129">
        <f t="shared" si="46"/>
        <v>0</v>
      </c>
    </row>
    <row r="251" spans="1:19" ht="13.5" hidden="1" customHeight="1" outlineLevel="1" x14ac:dyDescent="0.25">
      <c r="A251" s="143" t="s">
        <v>1348</v>
      </c>
      <c r="B251" s="240" t="s">
        <v>1349</v>
      </c>
      <c r="C251" s="144"/>
      <c r="D251" s="144"/>
      <c r="E251" s="144"/>
      <c r="F251" s="144"/>
      <c r="G251" s="144"/>
      <c r="H251" s="144"/>
      <c r="I251" s="144"/>
      <c r="J251" s="144"/>
      <c r="K251" s="133">
        <f t="shared" si="44"/>
        <v>0</v>
      </c>
      <c r="L251" s="144"/>
      <c r="M251" s="144"/>
      <c r="N251" s="135">
        <f t="shared" si="45"/>
        <v>0</v>
      </c>
      <c r="O251" s="144"/>
      <c r="P251" s="127"/>
      <c r="Q251" s="128" t="s">
        <v>1004</v>
      </c>
      <c r="R251" s="129">
        <f t="shared" si="46"/>
        <v>0</v>
      </c>
      <c r="S251" s="129">
        <f t="shared" si="46"/>
        <v>0</v>
      </c>
    </row>
    <row r="252" spans="1:19" ht="13.5" hidden="1" customHeight="1" outlineLevel="1" x14ac:dyDescent="0.25">
      <c r="A252" s="143" t="s">
        <v>1350</v>
      </c>
      <c r="B252" s="241" t="s">
        <v>1351</v>
      </c>
      <c r="C252" s="145"/>
      <c r="D252" s="145"/>
      <c r="E252" s="145"/>
      <c r="F252" s="145"/>
      <c r="G252" s="145"/>
      <c r="H252" s="145"/>
      <c r="I252" s="145"/>
      <c r="J252" s="145"/>
      <c r="K252" s="133">
        <f t="shared" si="44"/>
        <v>0</v>
      </c>
      <c r="L252" s="145"/>
      <c r="M252" s="145"/>
      <c r="N252" s="135">
        <f t="shared" si="45"/>
        <v>0</v>
      </c>
      <c r="O252" s="145"/>
      <c r="P252" s="127"/>
      <c r="Q252" s="128" t="s">
        <v>1004</v>
      </c>
      <c r="R252" s="129">
        <f t="shared" si="46"/>
        <v>0</v>
      </c>
      <c r="S252" s="129">
        <f t="shared" si="46"/>
        <v>0</v>
      </c>
    </row>
    <row r="253" spans="1:19" ht="13.5" hidden="1" customHeight="1" outlineLevel="1" x14ac:dyDescent="0.25">
      <c r="A253" s="143" t="s">
        <v>1352</v>
      </c>
      <c r="B253" s="240" t="s">
        <v>1353</v>
      </c>
      <c r="C253" s="144"/>
      <c r="D253" s="144"/>
      <c r="E253" s="144"/>
      <c r="F253" s="144"/>
      <c r="G253" s="144"/>
      <c r="H253" s="144"/>
      <c r="I253" s="144"/>
      <c r="J253" s="144"/>
      <c r="K253" s="133">
        <f t="shared" si="44"/>
        <v>0</v>
      </c>
      <c r="L253" s="144"/>
      <c r="M253" s="144"/>
      <c r="N253" s="135">
        <f t="shared" si="45"/>
        <v>0</v>
      </c>
      <c r="O253" s="144"/>
      <c r="P253" s="127"/>
      <c r="Q253" s="128" t="s">
        <v>1004</v>
      </c>
      <c r="R253" s="129">
        <f t="shared" si="46"/>
        <v>0</v>
      </c>
      <c r="S253" s="129">
        <f t="shared" si="46"/>
        <v>0</v>
      </c>
    </row>
    <row r="254" spans="1:19" ht="13.5" hidden="1" customHeight="1" outlineLevel="1" x14ac:dyDescent="0.25">
      <c r="A254" s="143" t="s">
        <v>1354</v>
      </c>
      <c r="B254" s="241" t="s">
        <v>1355</v>
      </c>
      <c r="C254" s="145"/>
      <c r="D254" s="145"/>
      <c r="E254" s="145"/>
      <c r="F254" s="145"/>
      <c r="G254" s="145"/>
      <c r="H254" s="145"/>
      <c r="I254" s="145"/>
      <c r="J254" s="145"/>
      <c r="K254" s="133">
        <f t="shared" si="44"/>
        <v>0</v>
      </c>
      <c r="L254" s="145"/>
      <c r="M254" s="145"/>
      <c r="N254" s="135">
        <f t="shared" si="45"/>
        <v>0</v>
      </c>
      <c r="O254" s="145"/>
      <c r="P254" s="127"/>
      <c r="Q254" s="128" t="s">
        <v>1004</v>
      </c>
      <c r="R254" s="129">
        <f t="shared" si="46"/>
        <v>0</v>
      </c>
      <c r="S254" s="129">
        <f t="shared" si="46"/>
        <v>0</v>
      </c>
    </row>
    <row r="255" spans="1:19" ht="13.5" hidden="1" customHeight="1" outlineLevel="1" x14ac:dyDescent="0.25">
      <c r="A255" s="143" t="s">
        <v>1356</v>
      </c>
      <c r="B255" s="240" t="s">
        <v>1357</v>
      </c>
      <c r="C255" s="144"/>
      <c r="D255" s="144"/>
      <c r="E255" s="144"/>
      <c r="F255" s="144"/>
      <c r="G255" s="144"/>
      <c r="H255" s="144"/>
      <c r="I255" s="144"/>
      <c r="J255" s="144"/>
      <c r="K255" s="133">
        <f t="shared" si="44"/>
        <v>0</v>
      </c>
      <c r="L255" s="144"/>
      <c r="M255" s="144"/>
      <c r="N255" s="135">
        <f t="shared" si="45"/>
        <v>0</v>
      </c>
      <c r="O255" s="144"/>
      <c r="P255" s="127"/>
      <c r="Q255" s="128" t="s">
        <v>1004</v>
      </c>
      <c r="R255" s="129">
        <f t="shared" si="46"/>
        <v>0</v>
      </c>
      <c r="S255" s="129">
        <f t="shared" si="46"/>
        <v>0</v>
      </c>
    </row>
    <row r="256" spans="1:19" ht="13.5" hidden="1" customHeight="1" outlineLevel="1" x14ac:dyDescent="0.25">
      <c r="A256" s="143" t="s">
        <v>1358</v>
      </c>
      <c r="B256" s="241" t="s">
        <v>1359</v>
      </c>
      <c r="C256" s="145"/>
      <c r="D256" s="145"/>
      <c r="E256" s="145"/>
      <c r="F256" s="145"/>
      <c r="G256" s="145"/>
      <c r="H256" s="145"/>
      <c r="I256" s="145"/>
      <c r="J256" s="145"/>
      <c r="K256" s="133">
        <f t="shared" si="44"/>
        <v>0</v>
      </c>
      <c r="L256" s="145"/>
      <c r="M256" s="145"/>
      <c r="N256" s="135">
        <f t="shared" si="45"/>
        <v>0</v>
      </c>
      <c r="O256" s="145"/>
      <c r="P256" s="127"/>
      <c r="Q256" s="128" t="s">
        <v>1004</v>
      </c>
      <c r="R256" s="129">
        <f t="shared" si="46"/>
        <v>0</v>
      </c>
      <c r="S256" s="129">
        <f t="shared" si="46"/>
        <v>0</v>
      </c>
    </row>
    <row r="257" spans="1:19" ht="13.5" hidden="1" customHeight="1" outlineLevel="1" x14ac:dyDescent="0.25">
      <c r="A257" s="143" t="s">
        <v>1360</v>
      </c>
      <c r="B257" s="240" t="s">
        <v>1361</v>
      </c>
      <c r="C257" s="144"/>
      <c r="D257" s="144"/>
      <c r="E257" s="144"/>
      <c r="F257" s="144"/>
      <c r="G257" s="144"/>
      <c r="H257" s="144"/>
      <c r="I257" s="144"/>
      <c r="J257" s="144"/>
      <c r="K257" s="133">
        <f t="shared" ref="K257:K264" si="47">SUMIF($A$7:$A$92,A257,$K$7:$K$92)</f>
        <v>0</v>
      </c>
      <c r="L257" s="144"/>
      <c r="M257" s="144"/>
      <c r="N257" s="135">
        <f t="shared" ref="N257:N264" si="48">SUMIF($A$7:$A$92,A257,$N$7:$N$92)</f>
        <v>0</v>
      </c>
      <c r="O257" s="144"/>
      <c r="P257" s="127"/>
      <c r="Q257" s="128" t="s">
        <v>1004</v>
      </c>
      <c r="R257" s="129">
        <f t="shared" ref="R257:S264" si="49">+ROUND((K257+N257)*(1+SUMIF($R$2:$R$4,Q257,$S$2:$S$4)),0)</f>
        <v>0</v>
      </c>
      <c r="S257" s="129">
        <f t="shared" si="49"/>
        <v>0</v>
      </c>
    </row>
    <row r="258" spans="1:19" ht="13.5" hidden="1" customHeight="1" outlineLevel="1" x14ac:dyDescent="0.25">
      <c r="A258" s="143" t="s">
        <v>1362</v>
      </c>
      <c r="B258" s="241" t="s">
        <v>1363</v>
      </c>
      <c r="C258" s="145"/>
      <c r="D258" s="145"/>
      <c r="E258" s="145"/>
      <c r="F258" s="145"/>
      <c r="G258" s="145"/>
      <c r="H258" s="145"/>
      <c r="I258" s="145"/>
      <c r="J258" s="145"/>
      <c r="K258" s="133">
        <f t="shared" si="47"/>
        <v>0</v>
      </c>
      <c r="L258" s="145"/>
      <c r="M258" s="145"/>
      <c r="N258" s="135">
        <f t="shared" si="48"/>
        <v>0</v>
      </c>
      <c r="O258" s="145"/>
      <c r="P258" s="127"/>
      <c r="Q258" s="128" t="s">
        <v>1004</v>
      </c>
      <c r="R258" s="129">
        <f t="shared" si="49"/>
        <v>0</v>
      </c>
      <c r="S258" s="129">
        <f t="shared" si="49"/>
        <v>0</v>
      </c>
    </row>
    <row r="259" spans="1:19" ht="13.5" hidden="1" customHeight="1" outlineLevel="1" x14ac:dyDescent="0.25">
      <c r="A259" s="143" t="s">
        <v>1364</v>
      </c>
      <c r="B259" s="240" t="s">
        <v>1365</v>
      </c>
      <c r="C259" s="144"/>
      <c r="D259" s="144"/>
      <c r="E259" s="144"/>
      <c r="F259" s="144"/>
      <c r="G259" s="144"/>
      <c r="H259" s="144"/>
      <c r="I259" s="144"/>
      <c r="J259" s="144"/>
      <c r="K259" s="133">
        <f t="shared" si="47"/>
        <v>0</v>
      </c>
      <c r="L259" s="144"/>
      <c r="M259" s="144"/>
      <c r="N259" s="135">
        <f t="shared" si="48"/>
        <v>0</v>
      </c>
      <c r="O259" s="144"/>
      <c r="P259" s="127"/>
      <c r="Q259" s="128" t="s">
        <v>1004</v>
      </c>
      <c r="R259" s="129">
        <f t="shared" si="49"/>
        <v>0</v>
      </c>
      <c r="S259" s="129">
        <f t="shared" si="49"/>
        <v>0</v>
      </c>
    </row>
    <row r="260" spans="1:19" ht="13.5" hidden="1" customHeight="1" outlineLevel="1" x14ac:dyDescent="0.25">
      <c r="A260" s="143" t="s">
        <v>1025</v>
      </c>
      <c r="B260" s="241" t="s">
        <v>1025</v>
      </c>
      <c r="C260" s="145"/>
      <c r="D260" s="145"/>
      <c r="E260" s="145"/>
      <c r="F260" s="145"/>
      <c r="G260" s="145"/>
      <c r="H260" s="145"/>
      <c r="I260" s="145"/>
      <c r="J260" s="145"/>
      <c r="K260" s="133">
        <f t="shared" si="47"/>
        <v>0</v>
      </c>
      <c r="L260" s="145"/>
      <c r="M260" s="145"/>
      <c r="N260" s="135">
        <f t="shared" si="48"/>
        <v>0</v>
      </c>
      <c r="O260" s="145"/>
      <c r="P260" s="127"/>
      <c r="Q260" s="128" t="s">
        <v>1004</v>
      </c>
      <c r="R260" s="129">
        <f t="shared" si="49"/>
        <v>0</v>
      </c>
      <c r="S260" s="129">
        <f t="shared" si="49"/>
        <v>0</v>
      </c>
    </row>
    <row r="261" spans="1:19" ht="13.5" hidden="1" customHeight="1" outlineLevel="1" x14ac:dyDescent="0.25">
      <c r="A261" s="143" t="s">
        <v>1037</v>
      </c>
      <c r="B261" s="240" t="s">
        <v>1366</v>
      </c>
      <c r="C261" s="144"/>
      <c r="D261" s="144"/>
      <c r="E261" s="144"/>
      <c r="F261" s="144"/>
      <c r="G261" s="144"/>
      <c r="H261" s="144"/>
      <c r="I261" s="144"/>
      <c r="J261" s="144"/>
      <c r="K261" s="133">
        <f t="shared" si="47"/>
        <v>0</v>
      </c>
      <c r="L261" s="144"/>
      <c r="M261" s="144"/>
      <c r="N261" s="135">
        <f t="shared" si="48"/>
        <v>0</v>
      </c>
      <c r="O261" s="144"/>
      <c r="P261" s="127"/>
      <c r="Q261" s="128" t="s">
        <v>1004</v>
      </c>
      <c r="R261" s="129">
        <f t="shared" si="49"/>
        <v>0</v>
      </c>
      <c r="S261" s="129">
        <f t="shared" si="49"/>
        <v>0</v>
      </c>
    </row>
    <row r="262" spans="1:19" ht="13.5" hidden="1" customHeight="1" outlineLevel="1" x14ac:dyDescent="0.25">
      <c r="A262" s="143" t="s">
        <v>1044</v>
      </c>
      <c r="B262" s="241" t="s">
        <v>1367</v>
      </c>
      <c r="C262" s="145"/>
      <c r="D262" s="145"/>
      <c r="E262" s="145"/>
      <c r="F262" s="145"/>
      <c r="G262" s="145"/>
      <c r="H262" s="145"/>
      <c r="I262" s="145"/>
      <c r="J262" s="145"/>
      <c r="K262" s="133">
        <f t="shared" si="47"/>
        <v>0</v>
      </c>
      <c r="L262" s="145"/>
      <c r="M262" s="145"/>
      <c r="N262" s="135">
        <f t="shared" si="48"/>
        <v>0</v>
      </c>
      <c r="O262" s="145"/>
      <c r="P262" s="127"/>
      <c r="Q262" s="128" t="s">
        <v>1004</v>
      </c>
      <c r="R262" s="129">
        <f t="shared" si="49"/>
        <v>0</v>
      </c>
      <c r="S262" s="129">
        <f t="shared" si="49"/>
        <v>0</v>
      </c>
    </row>
    <row r="263" spans="1:19" ht="13.5" hidden="1" customHeight="1" outlineLevel="1" x14ac:dyDescent="0.25">
      <c r="A263" s="143" t="s">
        <v>1368</v>
      </c>
      <c r="B263" s="240" t="s">
        <v>1369</v>
      </c>
      <c r="C263" s="144"/>
      <c r="D263" s="144"/>
      <c r="E263" s="144"/>
      <c r="F263" s="144"/>
      <c r="G263" s="144"/>
      <c r="H263" s="144"/>
      <c r="I263" s="144"/>
      <c r="J263" s="144"/>
      <c r="K263" s="133">
        <f t="shared" si="47"/>
        <v>0</v>
      </c>
      <c r="L263" s="144"/>
      <c r="M263" s="144"/>
      <c r="N263" s="135">
        <f t="shared" si="48"/>
        <v>0</v>
      </c>
      <c r="O263" s="144"/>
      <c r="P263" s="127"/>
      <c r="Q263" s="128" t="s">
        <v>1004</v>
      </c>
      <c r="R263" s="129">
        <f t="shared" si="49"/>
        <v>0</v>
      </c>
      <c r="S263" s="129">
        <f t="shared" si="49"/>
        <v>0</v>
      </c>
    </row>
    <row r="264" spans="1:19" ht="13.5" hidden="1" customHeight="1" outlineLevel="1" thickBot="1" x14ac:dyDescent="0.3">
      <c r="A264" s="143" t="s">
        <v>1370</v>
      </c>
      <c r="B264" s="241" t="s">
        <v>1371</v>
      </c>
      <c r="C264" s="145"/>
      <c r="D264" s="145"/>
      <c r="E264" s="145"/>
      <c r="F264" s="145"/>
      <c r="G264" s="145"/>
      <c r="H264" s="145"/>
      <c r="I264" s="145"/>
      <c r="J264" s="145"/>
      <c r="K264" s="133">
        <f t="shared" si="47"/>
        <v>0</v>
      </c>
      <c r="L264" s="145"/>
      <c r="M264" s="145"/>
      <c r="N264" s="135">
        <f t="shared" si="48"/>
        <v>0</v>
      </c>
      <c r="O264" s="145"/>
      <c r="P264" s="127"/>
      <c r="Q264" s="128" t="s">
        <v>1004</v>
      </c>
      <c r="R264" s="129">
        <f t="shared" si="49"/>
        <v>0</v>
      </c>
      <c r="S264" s="129">
        <f t="shared" si="49"/>
        <v>0</v>
      </c>
    </row>
    <row r="265" spans="1:19" ht="19.5" customHeight="1" collapsed="1" thickBot="1" x14ac:dyDescent="0.3">
      <c r="A265" s="146" t="s">
        <v>1372</v>
      </c>
      <c r="B265" s="146" t="s">
        <v>1373</v>
      </c>
      <c r="C265" s="147"/>
      <c r="D265" s="147"/>
      <c r="E265" s="147"/>
      <c r="F265" s="147"/>
      <c r="G265" s="147"/>
      <c r="H265" s="147"/>
      <c r="I265" s="147"/>
      <c r="J265" s="147"/>
      <c r="K265" s="148">
        <f>SUM(K97:K264)</f>
        <v>0</v>
      </c>
      <c r="L265" s="147"/>
      <c r="M265" s="147"/>
      <c r="N265" s="148">
        <f>SUM(N97:N264)</f>
        <v>0</v>
      </c>
      <c r="O265" s="147"/>
      <c r="P265" s="149"/>
      <c r="Q265" s="147"/>
      <c r="R265" s="148">
        <f>SUM(R97:R264)</f>
        <v>0</v>
      </c>
      <c r="S265" s="148">
        <f>SUM(S97:S264)</f>
        <v>0</v>
      </c>
    </row>
  </sheetData>
  <phoneticPr fontId="49" type="noConversion"/>
  <conditionalFormatting sqref="Q1:Q5 Q97:Q1048576 Q7:Q95">
    <cfRule type="containsText" dxfId="17" priority="2" operator="containsText" text="C">
      <formula>NOT(ISERROR(SEARCH("C",Q1)))</formula>
    </cfRule>
    <cfRule type="containsText" dxfId="16" priority="3" operator="containsText" text="B">
      <formula>NOT(ISERROR(SEARCH("B",Q1)))</formula>
    </cfRule>
    <cfRule type="containsText" dxfId="15" priority="4" operator="containsText" text="A">
      <formula>NOT(ISERROR(SEARCH("A",Q1)))</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673"/>
  <sheetViews>
    <sheetView tabSelected="1" zoomScale="85" zoomScaleNormal="85" workbookViewId="0">
      <pane xSplit="3" ySplit="6" topLeftCell="D7" activePane="bottomRight" state="frozen"/>
      <selection pane="topRight" activeCell="D1" sqref="D1"/>
      <selection pane="bottomLeft" activeCell="A7" sqref="A7"/>
      <selection pane="bottomRight" activeCell="D114" sqref="D114"/>
    </sheetView>
  </sheetViews>
  <sheetFormatPr defaultColWidth="8.7109375" defaultRowHeight="15" outlineLevelRow="3" outlineLevelCol="1" x14ac:dyDescent="0.25"/>
  <cols>
    <col min="1" max="1" width="12.7109375" style="22" customWidth="1"/>
    <col min="2" max="2" width="10" style="23" customWidth="1"/>
    <col min="3" max="3" width="6" style="24" customWidth="1"/>
    <col min="4" max="4" width="56" style="25" customWidth="1"/>
    <col min="5" max="5" width="7" style="25" customWidth="1"/>
    <col min="6" max="7" width="12" style="25" customWidth="1"/>
    <col min="8" max="8" width="12" style="26" customWidth="1"/>
    <col min="9" max="12" width="11" style="26" customWidth="1" outlineLevel="1"/>
    <col min="13" max="13" width="11" style="26" customWidth="1"/>
    <col min="14" max="14" width="14" style="23" customWidth="1"/>
    <col min="15" max="15" width="16" style="23" customWidth="1"/>
    <col min="16" max="19" width="11" style="26" customWidth="1" outlineLevel="1"/>
    <col min="20" max="20" width="11" style="26" customWidth="1"/>
    <col min="21" max="21" width="14" style="23" customWidth="1"/>
    <col min="22" max="22" width="16" style="23" customWidth="1"/>
    <col min="23" max="23" width="14" style="23" customWidth="1"/>
    <col min="24" max="24" width="10" style="23" customWidth="1"/>
    <col min="25" max="26" width="18" style="26" customWidth="1"/>
    <col min="27" max="27" width="13" style="23" customWidth="1"/>
    <col min="28" max="16384" width="8.7109375" style="25"/>
  </cols>
  <sheetData>
    <row r="1" spans="1:29" x14ac:dyDescent="0.25">
      <c r="A1" s="527" t="s">
        <v>1001</v>
      </c>
      <c r="Y1" s="26" t="s">
        <v>1003</v>
      </c>
      <c r="AB1" s="27"/>
    </row>
    <row r="2" spans="1:29" x14ac:dyDescent="0.25">
      <c r="A2" s="527"/>
      <c r="Y2" s="102" t="s">
        <v>1004</v>
      </c>
      <c r="Z2" s="103">
        <v>0.2</v>
      </c>
      <c r="AA2" s="25"/>
    </row>
    <row r="3" spans="1:29" x14ac:dyDescent="0.25">
      <c r="A3" s="527" t="s">
        <v>1374</v>
      </c>
      <c r="Y3" s="104" t="s">
        <v>1006</v>
      </c>
      <c r="Z3" s="103">
        <v>0.1</v>
      </c>
      <c r="AA3" s="25" t="s">
        <v>1007</v>
      </c>
    </row>
    <row r="4" spans="1:29" x14ac:dyDescent="0.25">
      <c r="A4" s="527" t="s">
        <v>616</v>
      </c>
      <c r="Y4" s="105" t="s">
        <v>1008</v>
      </c>
      <c r="Z4"/>
      <c r="AA4" s="28"/>
    </row>
    <row r="5" spans="1:29" x14ac:dyDescent="0.25">
      <c r="I5" s="500" t="s">
        <v>2063</v>
      </c>
      <c r="J5" s="501">
        <v>4</v>
      </c>
      <c r="K5" s="495" t="s">
        <v>2064</v>
      </c>
      <c r="L5" s="496">
        <v>2</v>
      </c>
      <c r="P5" s="516" t="s">
        <v>2063</v>
      </c>
      <c r="Q5" s="517">
        <v>2</v>
      </c>
      <c r="R5" s="522" t="s">
        <v>2064</v>
      </c>
      <c r="S5" s="523">
        <v>3</v>
      </c>
    </row>
    <row r="6" spans="1:29" s="23" customFormat="1" ht="38.25" x14ac:dyDescent="0.25">
      <c r="A6" s="150" t="s">
        <v>618</v>
      </c>
      <c r="B6" s="151" t="s">
        <v>619</v>
      </c>
      <c r="C6" s="151" t="s">
        <v>620</v>
      </c>
      <c r="D6" s="150" t="s">
        <v>622</v>
      </c>
      <c r="E6" s="151" t="s">
        <v>623</v>
      </c>
      <c r="F6" s="152" t="s">
        <v>1009</v>
      </c>
      <c r="G6" s="152" t="s">
        <v>1010</v>
      </c>
      <c r="H6" s="29" t="s">
        <v>624</v>
      </c>
      <c r="I6" s="502" t="s">
        <v>2062</v>
      </c>
      <c r="J6" s="503" t="s">
        <v>2060</v>
      </c>
      <c r="K6" s="497" t="s">
        <v>2062</v>
      </c>
      <c r="L6" s="497" t="s">
        <v>2061</v>
      </c>
      <c r="M6" s="494" t="s">
        <v>1011</v>
      </c>
      <c r="N6" s="153" t="s">
        <v>1012</v>
      </c>
      <c r="O6" s="154" t="s">
        <v>1013</v>
      </c>
      <c r="P6" s="518" t="s">
        <v>2062</v>
      </c>
      <c r="Q6" s="519" t="s">
        <v>2060</v>
      </c>
      <c r="R6" s="524" t="s">
        <v>2062</v>
      </c>
      <c r="S6" s="524" t="s">
        <v>2061</v>
      </c>
      <c r="T6" s="30" t="s">
        <v>1014</v>
      </c>
      <c r="U6" s="153" t="s">
        <v>1015</v>
      </c>
      <c r="V6" s="155" t="s">
        <v>1016</v>
      </c>
      <c r="W6" s="156" t="s">
        <v>630</v>
      </c>
      <c r="X6" s="157" t="s">
        <v>1017</v>
      </c>
      <c r="Y6" s="31" t="s">
        <v>1375</v>
      </c>
      <c r="Z6" s="31" t="s">
        <v>1376</v>
      </c>
    </row>
    <row r="7" spans="1:29" x14ac:dyDescent="0.25">
      <c r="A7" s="158" t="s">
        <v>1264</v>
      </c>
      <c r="B7" s="159" t="s">
        <v>1377</v>
      </c>
      <c r="C7" s="160"/>
      <c r="D7" s="161" t="s">
        <v>1378</v>
      </c>
      <c r="E7" s="162"/>
      <c r="F7" s="32"/>
      <c r="G7" s="162"/>
      <c r="H7" s="33">
        <f t="shared" ref="H7:H91" si="0">+SUM(F7:G7)</f>
        <v>0</v>
      </c>
      <c r="I7" s="504"/>
      <c r="J7" s="504">
        <f>+I7*$J$5</f>
        <v>0</v>
      </c>
      <c r="K7" s="498"/>
      <c r="L7" s="498">
        <f>+K7*$L$5</f>
        <v>0</v>
      </c>
      <c r="M7" s="34">
        <f>+J7+L7</f>
        <v>0</v>
      </c>
      <c r="N7" s="163">
        <f t="shared" ref="N7:N88" si="1">+ROUND(M7*H7,2)</f>
        <v>0</v>
      </c>
      <c r="O7" s="35"/>
      <c r="P7" s="520"/>
      <c r="Q7" s="520">
        <f>+P7*$Q$5</f>
        <v>0</v>
      </c>
      <c r="R7" s="525"/>
      <c r="S7" s="525">
        <f>+R7*$S$5</f>
        <v>0</v>
      </c>
      <c r="T7" s="34">
        <f t="shared" ref="T7:T91" si="2">+Q7+S7</f>
        <v>0</v>
      </c>
      <c r="U7" s="163">
        <f>+ROUND(T7*H7,2)</f>
        <v>0</v>
      </c>
      <c r="V7" s="36"/>
      <c r="W7" s="164"/>
      <c r="X7" s="128" t="s">
        <v>1004</v>
      </c>
      <c r="Y7" s="37">
        <f>+ROUND((O7)*(1+SUMIF($Y$2:$Y$4,X7,$Z$2:$Z$4)),0)</f>
        <v>0</v>
      </c>
      <c r="Z7" s="37">
        <f>+ROUND((V7)*(1+SUMIF($Y$2:$Y$4,X7,$Z$2:$Z$4)),0)</f>
        <v>0</v>
      </c>
      <c r="AA7" s="166"/>
      <c r="AB7" s="38"/>
      <c r="AC7" s="38"/>
    </row>
    <row r="8" spans="1:29" ht="36" hidden="1" outlineLevel="1" x14ac:dyDescent="0.25">
      <c r="A8" s="158" t="s">
        <v>1264</v>
      </c>
      <c r="B8" s="159" t="str">
        <f t="shared" ref="B8:B24" si="3">+B7</f>
        <v>3.2/1</v>
      </c>
      <c r="C8" s="160"/>
      <c r="D8" s="161" t="s">
        <v>1379</v>
      </c>
      <c r="E8" s="162"/>
      <c r="F8" s="162"/>
      <c r="G8" s="162"/>
      <c r="H8" s="33">
        <f t="shared" si="0"/>
        <v>0</v>
      </c>
      <c r="I8" s="504"/>
      <c r="J8" s="504">
        <f t="shared" ref="J8:J92" si="4">+I8*$J$5</f>
        <v>0</v>
      </c>
      <c r="K8" s="498"/>
      <c r="L8" s="498">
        <f t="shared" ref="L8:L92" si="5">+K8*$L$5</f>
        <v>0</v>
      </c>
      <c r="M8" s="34">
        <f t="shared" ref="M8:M92" si="6">+J8+L8</f>
        <v>0</v>
      </c>
      <c r="N8" s="163">
        <f t="shared" si="1"/>
        <v>0</v>
      </c>
      <c r="O8" s="35"/>
      <c r="P8" s="520"/>
      <c r="Q8" s="520">
        <f t="shared" ref="Q8:Q92" si="7">+P8*$Q$5</f>
        <v>0</v>
      </c>
      <c r="R8" s="525"/>
      <c r="S8" s="525">
        <f t="shared" ref="S8:S92" si="8">+R8*$S$5</f>
        <v>0</v>
      </c>
      <c r="T8" s="34">
        <f t="shared" si="2"/>
        <v>0</v>
      </c>
      <c r="U8" s="163">
        <f>+ROUND(T8*H8,2)</f>
        <v>0</v>
      </c>
      <c r="V8" s="36"/>
      <c r="W8" s="164"/>
      <c r="X8" s="128" t="s">
        <v>1004</v>
      </c>
      <c r="Y8" s="37">
        <f>+ROUND((O8)*(1+SUMIF($Y$2:$Y$4,X8,$Z$2:$Z$4)),0)</f>
        <v>0</v>
      </c>
      <c r="Z8" s="37">
        <f t="shared" ref="Z8:Z23" si="9">+ROUND((V8)*(1+SUMIF($Y$2:$Y$4,X8,$Z$2:$Z$4)),0)</f>
        <v>0</v>
      </c>
      <c r="AA8" s="166"/>
      <c r="AB8" s="38"/>
      <c r="AC8" s="38"/>
    </row>
    <row r="9" spans="1:29" hidden="1" outlineLevel="1" x14ac:dyDescent="0.25">
      <c r="A9" s="158" t="s">
        <v>1264</v>
      </c>
      <c r="B9" s="159" t="str">
        <f t="shared" si="3"/>
        <v>3.2/1</v>
      </c>
      <c r="C9" s="243">
        <v>1</v>
      </c>
      <c r="D9" s="167" t="s">
        <v>1380</v>
      </c>
      <c r="E9" s="162"/>
      <c r="F9" s="162"/>
      <c r="G9" s="162"/>
      <c r="H9" s="33">
        <f t="shared" si="0"/>
        <v>0</v>
      </c>
      <c r="I9" s="504"/>
      <c r="J9" s="504">
        <f t="shared" si="4"/>
        <v>0</v>
      </c>
      <c r="K9" s="498"/>
      <c r="L9" s="498">
        <f t="shared" si="5"/>
        <v>0</v>
      </c>
      <c r="M9" s="34">
        <f t="shared" si="6"/>
        <v>0</v>
      </c>
      <c r="N9" s="163">
        <f t="shared" si="1"/>
        <v>0</v>
      </c>
      <c r="O9" s="35"/>
      <c r="P9" s="520"/>
      <c r="Q9" s="520">
        <f t="shared" si="7"/>
        <v>0</v>
      </c>
      <c r="R9" s="525"/>
      <c r="S9" s="525">
        <f t="shared" si="8"/>
        <v>0</v>
      </c>
      <c r="T9" s="34">
        <f t="shared" si="2"/>
        <v>0</v>
      </c>
      <c r="U9" s="163">
        <f>+ROUND(T9*H9,2)</f>
        <v>0</v>
      </c>
      <c r="V9" s="36"/>
      <c r="W9" s="164"/>
      <c r="X9" s="128" t="s">
        <v>1004</v>
      </c>
      <c r="Y9" s="37">
        <f>+ROUND((O9)*(1+SUMIF($Y$2:$Y$4,X9,$Z$2:$Z$4)),0)</f>
        <v>0</v>
      </c>
      <c r="Z9" s="37">
        <f t="shared" si="9"/>
        <v>0</v>
      </c>
      <c r="AA9" s="166"/>
      <c r="AB9" s="38"/>
      <c r="AC9" s="38"/>
    </row>
    <row r="10" spans="1:29" hidden="1" outlineLevel="2" x14ac:dyDescent="0.25">
      <c r="A10" s="158" t="s">
        <v>1264</v>
      </c>
      <c r="B10" s="159" t="str">
        <f t="shared" si="3"/>
        <v>3.2/1</v>
      </c>
      <c r="C10" s="242">
        <v>1.1000000000000001</v>
      </c>
      <c r="D10" s="161" t="s">
        <v>1381</v>
      </c>
      <c r="E10" s="162"/>
      <c r="F10" s="162"/>
      <c r="G10" s="162"/>
      <c r="H10" s="33">
        <f t="shared" si="0"/>
        <v>0</v>
      </c>
      <c r="I10" s="504"/>
      <c r="J10" s="504">
        <f t="shared" si="4"/>
        <v>0</v>
      </c>
      <c r="K10" s="498"/>
      <c r="L10" s="498">
        <f t="shared" si="5"/>
        <v>0</v>
      </c>
      <c r="M10" s="34">
        <f t="shared" si="6"/>
        <v>0</v>
      </c>
      <c r="N10" s="163">
        <f t="shared" si="1"/>
        <v>0</v>
      </c>
      <c r="O10" s="35"/>
      <c r="P10" s="520"/>
      <c r="Q10" s="520">
        <f t="shared" si="7"/>
        <v>0</v>
      </c>
      <c r="R10" s="525"/>
      <c r="S10" s="525">
        <f t="shared" si="8"/>
        <v>0</v>
      </c>
      <c r="T10" s="34">
        <f t="shared" si="2"/>
        <v>0</v>
      </c>
      <c r="U10" s="163">
        <f>+ROUND(T10*H10,2)</f>
        <v>0</v>
      </c>
      <c r="V10" s="36"/>
      <c r="W10" s="164"/>
      <c r="X10" s="128" t="s">
        <v>1004</v>
      </c>
      <c r="Y10" s="37">
        <f>+ROUND((O10)*(1+SUMIF($Y$2:$Y$4,X10,$Z$2:$Z$4)),0)</f>
        <v>0</v>
      </c>
      <c r="Z10" s="37">
        <f t="shared" si="9"/>
        <v>0</v>
      </c>
      <c r="AA10" s="166"/>
      <c r="AB10" s="38"/>
      <c r="AC10" s="38"/>
    </row>
    <row r="11" spans="1:29" hidden="1" outlineLevel="2" x14ac:dyDescent="0.25">
      <c r="A11" s="158" t="s">
        <v>1264</v>
      </c>
      <c r="B11" s="159" t="str">
        <f t="shared" si="3"/>
        <v>3.2/1</v>
      </c>
      <c r="C11" s="168" t="s">
        <v>1382</v>
      </c>
      <c r="D11" s="169" t="s">
        <v>1383</v>
      </c>
      <c r="E11" s="170" t="s">
        <v>1612</v>
      </c>
      <c r="F11" s="171"/>
      <c r="G11" s="171"/>
      <c r="H11" s="33">
        <f t="shared" si="0"/>
        <v>0</v>
      </c>
      <c r="I11" s="505"/>
      <c r="J11" s="505">
        <f t="shared" si="4"/>
        <v>0</v>
      </c>
      <c r="K11" s="499"/>
      <c r="L11" s="499">
        <f t="shared" si="5"/>
        <v>0</v>
      </c>
      <c r="M11" s="39">
        <f t="shared" si="6"/>
        <v>0</v>
      </c>
      <c r="N11" s="163">
        <f t="shared" si="1"/>
        <v>0</v>
      </c>
      <c r="O11" s="172">
        <f>N11</f>
        <v>0</v>
      </c>
      <c r="P11" s="521"/>
      <c r="Q11" s="521">
        <f t="shared" si="7"/>
        <v>0</v>
      </c>
      <c r="R11" s="526"/>
      <c r="S11" s="526">
        <f t="shared" si="8"/>
        <v>0</v>
      </c>
      <c r="T11" s="39">
        <f t="shared" si="2"/>
        <v>0</v>
      </c>
      <c r="U11" s="163">
        <f>+ROUND(T11*H11,2)</f>
        <v>0</v>
      </c>
      <c r="V11" s="173">
        <f>U11</f>
        <v>0</v>
      </c>
      <c r="W11" s="164"/>
      <c r="X11" s="128" t="s">
        <v>1004</v>
      </c>
      <c r="Y11" s="37">
        <f>+ROUND((O11)*(1+SUMIF($Y$2:$Y$4,X11,$Z$2:$Z$4)),0)</f>
        <v>0</v>
      </c>
      <c r="Z11" s="37">
        <f t="shared" si="9"/>
        <v>0</v>
      </c>
      <c r="AA11" s="166"/>
      <c r="AB11" s="38"/>
      <c r="AC11" s="38"/>
    </row>
    <row r="12" spans="1:29" hidden="1" outlineLevel="2" x14ac:dyDescent="0.25">
      <c r="A12" s="158" t="s">
        <v>1093</v>
      </c>
      <c r="B12" s="159" t="str">
        <f t="shared" si="3"/>
        <v>3.2/1</v>
      </c>
      <c r="C12" s="168" t="s">
        <v>1385</v>
      </c>
      <c r="D12" s="169" t="s">
        <v>1386</v>
      </c>
      <c r="E12" s="170" t="s">
        <v>1029</v>
      </c>
      <c r="F12" s="171"/>
      <c r="G12" s="171"/>
      <c r="H12" s="33">
        <f t="shared" si="0"/>
        <v>0</v>
      </c>
      <c r="I12" s="505"/>
      <c r="J12" s="505">
        <f t="shared" si="4"/>
        <v>0</v>
      </c>
      <c r="K12" s="499"/>
      <c r="L12" s="499">
        <f t="shared" si="5"/>
        <v>0</v>
      </c>
      <c r="M12" s="39">
        <f t="shared" si="6"/>
        <v>0</v>
      </c>
      <c r="N12" s="163">
        <f t="shared" si="1"/>
        <v>0</v>
      </c>
      <c r="O12" s="172">
        <f>N12</f>
        <v>0</v>
      </c>
      <c r="P12" s="521"/>
      <c r="Q12" s="521">
        <f t="shared" si="7"/>
        <v>0</v>
      </c>
      <c r="R12" s="526"/>
      <c r="S12" s="526">
        <f t="shared" si="8"/>
        <v>0</v>
      </c>
      <c r="T12" s="39">
        <f t="shared" si="2"/>
        <v>0</v>
      </c>
      <c r="U12" s="163">
        <f>+ROUND(T12*H12,2)</f>
        <v>0</v>
      </c>
      <c r="V12" s="173">
        <f>U12</f>
        <v>0</v>
      </c>
      <c r="W12" s="164"/>
      <c r="X12" s="128" t="s">
        <v>1004</v>
      </c>
      <c r="Y12" s="37">
        <f>+ROUND((O12)*(1+SUMIF($Y$2:$Y$4,X12,$Z$2:$Z$4)),0)</f>
        <v>0</v>
      </c>
      <c r="Z12" s="37">
        <f t="shared" si="9"/>
        <v>0</v>
      </c>
      <c r="AA12" s="166"/>
      <c r="AB12" s="38"/>
      <c r="AC12" s="38"/>
    </row>
    <row r="13" spans="1:29" hidden="1" outlineLevel="2" x14ac:dyDescent="0.25">
      <c r="A13" s="158" t="s">
        <v>1073</v>
      </c>
      <c r="B13" s="159" t="str">
        <f t="shared" si="3"/>
        <v>3.2/1</v>
      </c>
      <c r="C13" s="168" t="s">
        <v>1387</v>
      </c>
      <c r="D13" s="169" t="s">
        <v>1388</v>
      </c>
      <c r="E13" s="170"/>
      <c r="F13" s="171"/>
      <c r="G13" s="171"/>
      <c r="H13" s="33">
        <f t="shared" si="0"/>
        <v>0</v>
      </c>
      <c r="I13" s="505"/>
      <c r="J13" s="505">
        <f t="shared" si="4"/>
        <v>0</v>
      </c>
      <c r="K13" s="499"/>
      <c r="L13" s="499">
        <f t="shared" si="5"/>
        <v>0</v>
      </c>
      <c r="M13" s="39">
        <f t="shared" si="6"/>
        <v>0</v>
      </c>
      <c r="N13" s="163">
        <f t="shared" si="1"/>
        <v>0</v>
      </c>
      <c r="O13" s="172">
        <f>N13</f>
        <v>0</v>
      </c>
      <c r="P13" s="521"/>
      <c r="Q13" s="521">
        <f t="shared" si="7"/>
        <v>0</v>
      </c>
      <c r="R13" s="526"/>
      <c r="S13" s="526">
        <f t="shared" si="8"/>
        <v>0</v>
      </c>
      <c r="T13" s="39">
        <f t="shared" si="2"/>
        <v>0</v>
      </c>
      <c r="U13" s="163">
        <f>+ROUND(T13*H13,2)</f>
        <v>0</v>
      </c>
      <c r="V13" s="173">
        <f>U13</f>
        <v>0</v>
      </c>
      <c r="W13" s="164"/>
      <c r="X13" s="128" t="s">
        <v>1004</v>
      </c>
      <c r="Y13" s="37">
        <f>+ROUND((O13)*(1+SUMIF($Y$2:$Y$4,X13,$Z$2:$Z$4)),0)</f>
        <v>0</v>
      </c>
      <c r="Z13" s="37">
        <f t="shared" si="9"/>
        <v>0</v>
      </c>
      <c r="AA13" s="166"/>
      <c r="AB13" s="38"/>
      <c r="AC13" s="38"/>
    </row>
    <row r="14" spans="1:29" s="546" customFormat="1" hidden="1" outlineLevel="3" x14ac:dyDescent="0.25">
      <c r="A14" s="547" t="s">
        <v>1073</v>
      </c>
      <c r="B14" s="548" t="str">
        <f t="shared" si="3"/>
        <v>3.2/1</v>
      </c>
      <c r="C14" s="529"/>
      <c r="D14" s="528" t="s">
        <v>2065</v>
      </c>
      <c r="E14" s="530" t="s">
        <v>2068</v>
      </c>
      <c r="F14" s="531"/>
      <c r="G14" s="531"/>
      <c r="H14" s="532">
        <f t="shared" ref="H14:H16" si="10">+SUM(F14:G14)</f>
        <v>0</v>
      </c>
      <c r="I14" s="533"/>
      <c r="J14" s="533">
        <f t="shared" si="4"/>
        <v>0</v>
      </c>
      <c r="K14" s="534"/>
      <c r="L14" s="534">
        <f t="shared" si="5"/>
        <v>0</v>
      </c>
      <c r="M14" s="535">
        <f t="shared" ref="M14:M16" si="11">+J14+L14</f>
        <v>0</v>
      </c>
      <c r="N14" s="536">
        <f t="shared" ref="N14:N16" si="12">+ROUND(M14*H14,2)</f>
        <v>0</v>
      </c>
      <c r="O14" s="537">
        <f t="shared" ref="O14:O16" si="13">N14</f>
        <v>0</v>
      </c>
      <c r="P14" s="538"/>
      <c r="Q14" s="538">
        <f t="shared" si="7"/>
        <v>0</v>
      </c>
      <c r="R14" s="539"/>
      <c r="S14" s="539">
        <f t="shared" si="8"/>
        <v>0</v>
      </c>
      <c r="T14" s="535">
        <f t="shared" ref="T14:T16" si="14">+Q14+S14</f>
        <v>0</v>
      </c>
      <c r="U14" s="536">
        <f t="shared" ref="U14:U16" si="15">+ROUND(T14*H14,2)</f>
        <v>0</v>
      </c>
      <c r="V14" s="540">
        <f t="shared" ref="V14:V16" si="16">U14</f>
        <v>0</v>
      </c>
      <c r="W14" s="541"/>
      <c r="X14" s="542" t="s">
        <v>1004</v>
      </c>
      <c r="Y14" s="543">
        <f t="shared" ref="Y14:Y16" si="17">+ROUND((O14)*(1+SUMIF($Y$2:$Y$4,X14,$Z$2:$Z$4)),0)</f>
        <v>0</v>
      </c>
      <c r="Z14" s="543">
        <f t="shared" ref="Z14:Z16" si="18">+ROUND((V14)*(1+SUMIF($Y$2:$Y$4,X14,$Z$2:$Z$4)),0)</f>
        <v>0</v>
      </c>
      <c r="AA14" s="544"/>
      <c r="AB14" s="545"/>
      <c r="AC14" s="545"/>
    </row>
    <row r="15" spans="1:29" s="546" customFormat="1" hidden="1" outlineLevel="3" x14ac:dyDescent="0.25">
      <c r="A15" s="547" t="s">
        <v>1073</v>
      </c>
      <c r="B15" s="548" t="str">
        <f t="shared" si="3"/>
        <v>3.2/1</v>
      </c>
      <c r="C15" s="529"/>
      <c r="D15" s="528" t="s">
        <v>2066</v>
      </c>
      <c r="E15" s="530" t="s">
        <v>2068</v>
      </c>
      <c r="F15" s="531"/>
      <c r="G15" s="531"/>
      <c r="H15" s="532">
        <f t="shared" si="10"/>
        <v>0</v>
      </c>
      <c r="I15" s="533"/>
      <c r="J15" s="533">
        <f t="shared" si="4"/>
        <v>0</v>
      </c>
      <c r="K15" s="534"/>
      <c r="L15" s="534">
        <f t="shared" si="5"/>
        <v>0</v>
      </c>
      <c r="M15" s="535">
        <f t="shared" si="11"/>
        <v>0</v>
      </c>
      <c r="N15" s="536">
        <f t="shared" si="12"/>
        <v>0</v>
      </c>
      <c r="O15" s="537">
        <f t="shared" si="13"/>
        <v>0</v>
      </c>
      <c r="P15" s="538"/>
      <c r="Q15" s="538">
        <f t="shared" si="7"/>
        <v>0</v>
      </c>
      <c r="R15" s="539"/>
      <c r="S15" s="539">
        <f t="shared" si="8"/>
        <v>0</v>
      </c>
      <c r="T15" s="535">
        <f t="shared" si="14"/>
        <v>0</v>
      </c>
      <c r="U15" s="536">
        <f t="shared" si="15"/>
        <v>0</v>
      </c>
      <c r="V15" s="540">
        <f t="shared" si="16"/>
        <v>0</v>
      </c>
      <c r="W15" s="541"/>
      <c r="X15" s="542" t="s">
        <v>1004</v>
      </c>
      <c r="Y15" s="543">
        <f t="shared" si="17"/>
        <v>0</v>
      </c>
      <c r="Z15" s="543">
        <f t="shared" si="18"/>
        <v>0</v>
      </c>
      <c r="AA15" s="544"/>
      <c r="AB15" s="545"/>
      <c r="AC15" s="545"/>
    </row>
    <row r="16" spans="1:29" s="546" customFormat="1" hidden="1" outlineLevel="3" x14ac:dyDescent="0.25">
      <c r="A16" s="547" t="s">
        <v>1073</v>
      </c>
      <c r="B16" s="548" t="str">
        <f t="shared" si="3"/>
        <v>3.2/1</v>
      </c>
      <c r="C16" s="529"/>
      <c r="D16" s="528" t="s">
        <v>2067</v>
      </c>
      <c r="E16" s="530" t="s">
        <v>2068</v>
      </c>
      <c r="F16" s="531"/>
      <c r="G16" s="531"/>
      <c r="H16" s="532">
        <f t="shared" si="10"/>
        <v>0</v>
      </c>
      <c r="I16" s="533"/>
      <c r="J16" s="533">
        <f t="shared" si="4"/>
        <v>0</v>
      </c>
      <c r="K16" s="534"/>
      <c r="L16" s="534">
        <f t="shared" si="5"/>
        <v>0</v>
      </c>
      <c r="M16" s="535">
        <f t="shared" si="11"/>
        <v>0</v>
      </c>
      <c r="N16" s="536">
        <f t="shared" si="12"/>
        <v>0</v>
      </c>
      <c r="O16" s="537">
        <f t="shared" si="13"/>
        <v>0</v>
      </c>
      <c r="P16" s="538"/>
      <c r="Q16" s="538">
        <f t="shared" si="7"/>
        <v>0</v>
      </c>
      <c r="R16" s="539"/>
      <c r="S16" s="539">
        <f t="shared" si="8"/>
        <v>0</v>
      </c>
      <c r="T16" s="535">
        <f t="shared" si="14"/>
        <v>0</v>
      </c>
      <c r="U16" s="536">
        <f t="shared" si="15"/>
        <v>0</v>
      </c>
      <c r="V16" s="540">
        <f t="shared" si="16"/>
        <v>0</v>
      </c>
      <c r="W16" s="541"/>
      <c r="X16" s="542" t="s">
        <v>1004</v>
      </c>
      <c r="Y16" s="543">
        <f t="shared" si="17"/>
        <v>0</v>
      </c>
      <c r="Z16" s="543">
        <f t="shared" si="18"/>
        <v>0</v>
      </c>
      <c r="AA16" s="544"/>
      <c r="AB16" s="545"/>
      <c r="AC16" s="545"/>
    </row>
    <row r="17" spans="1:29" hidden="1" outlineLevel="2" x14ac:dyDescent="0.25">
      <c r="A17" s="158" t="s">
        <v>1095</v>
      </c>
      <c r="B17" s="159" t="str">
        <f>+B13</f>
        <v>3.2/1</v>
      </c>
      <c r="C17" s="242">
        <v>1.2</v>
      </c>
      <c r="D17" s="161" t="s">
        <v>1389</v>
      </c>
      <c r="E17" s="162"/>
      <c r="F17" s="40"/>
      <c r="G17" s="40"/>
      <c r="H17" s="33">
        <f t="shared" si="0"/>
        <v>0</v>
      </c>
      <c r="I17" s="504"/>
      <c r="J17" s="504">
        <f t="shared" si="4"/>
        <v>0</v>
      </c>
      <c r="K17" s="498"/>
      <c r="L17" s="498">
        <f t="shared" si="5"/>
        <v>0</v>
      </c>
      <c r="M17" s="34">
        <f t="shared" si="6"/>
        <v>0</v>
      </c>
      <c r="N17" s="163">
        <f t="shared" si="1"/>
        <v>0</v>
      </c>
      <c r="O17" s="35"/>
      <c r="P17" s="520"/>
      <c r="Q17" s="520">
        <f t="shared" si="7"/>
        <v>0</v>
      </c>
      <c r="R17" s="525"/>
      <c r="S17" s="525">
        <f t="shared" si="8"/>
        <v>0</v>
      </c>
      <c r="T17" s="34">
        <f t="shared" si="2"/>
        <v>0</v>
      </c>
      <c r="U17" s="163">
        <f>+ROUND(T17*H17,2)</f>
        <v>0</v>
      </c>
      <c r="V17" s="36"/>
      <c r="W17" s="164"/>
      <c r="X17" s="128" t="s">
        <v>1004</v>
      </c>
      <c r="Y17" s="37">
        <f>+ROUND((O17)*(1+SUMIF($Y$2:$Y$4,X17,$Z$2:$Z$4)),0)</f>
        <v>0</v>
      </c>
      <c r="Z17" s="37">
        <f t="shared" si="9"/>
        <v>0</v>
      </c>
      <c r="AA17" s="166"/>
      <c r="AB17" s="38"/>
      <c r="AC17" s="38"/>
    </row>
    <row r="18" spans="1:29" hidden="1" outlineLevel="2" x14ac:dyDescent="0.25">
      <c r="A18" s="158" t="s">
        <v>1095</v>
      </c>
      <c r="B18" s="159" t="str">
        <f t="shared" si="3"/>
        <v>3.2/1</v>
      </c>
      <c r="C18" s="168" t="s">
        <v>1390</v>
      </c>
      <c r="D18" s="169" t="s">
        <v>1391</v>
      </c>
      <c r="E18" s="170" t="s">
        <v>1612</v>
      </c>
      <c r="F18" s="171"/>
      <c r="G18" s="171"/>
      <c r="H18" s="33">
        <f t="shared" si="0"/>
        <v>0</v>
      </c>
      <c r="I18" s="505"/>
      <c r="J18" s="505">
        <f t="shared" si="4"/>
        <v>0</v>
      </c>
      <c r="K18" s="499"/>
      <c r="L18" s="499">
        <f t="shared" si="5"/>
        <v>0</v>
      </c>
      <c r="M18" s="39">
        <f t="shared" si="6"/>
        <v>0</v>
      </c>
      <c r="N18" s="163">
        <f t="shared" si="1"/>
        <v>0</v>
      </c>
      <c r="O18" s="172">
        <f t="shared" ref="O18:O23" si="19">N18</f>
        <v>0</v>
      </c>
      <c r="P18" s="521"/>
      <c r="Q18" s="521">
        <f t="shared" si="7"/>
        <v>0</v>
      </c>
      <c r="R18" s="526"/>
      <c r="S18" s="526">
        <f t="shared" si="8"/>
        <v>0</v>
      </c>
      <c r="T18" s="39">
        <f t="shared" si="2"/>
        <v>0</v>
      </c>
      <c r="U18" s="163">
        <f>+ROUND(T18*H18,2)</f>
        <v>0</v>
      </c>
      <c r="V18" s="173">
        <f t="shared" ref="V18:V23" si="20">U18</f>
        <v>0</v>
      </c>
      <c r="W18" s="164"/>
      <c r="X18" s="128" t="s">
        <v>1004</v>
      </c>
      <c r="Y18" s="37">
        <f>+ROUND((O18)*(1+SUMIF($Y$2:$Y$4,X18,$Z$2:$Z$4)),0)</f>
        <v>0</v>
      </c>
      <c r="Z18" s="37">
        <f t="shared" si="9"/>
        <v>0</v>
      </c>
      <c r="AA18" s="166"/>
      <c r="AB18" s="38"/>
      <c r="AC18" s="38"/>
    </row>
    <row r="19" spans="1:29" hidden="1" outlineLevel="2" x14ac:dyDescent="0.25">
      <c r="A19" s="158" t="s">
        <v>1095</v>
      </c>
      <c r="B19" s="159" t="str">
        <f t="shared" si="3"/>
        <v>3.2/1</v>
      </c>
      <c r="C19" s="168" t="s">
        <v>1392</v>
      </c>
      <c r="D19" s="169" t="s">
        <v>1393</v>
      </c>
      <c r="E19" s="170" t="s">
        <v>1612</v>
      </c>
      <c r="F19" s="171"/>
      <c r="G19" s="171"/>
      <c r="H19" s="33">
        <f t="shared" si="0"/>
        <v>0</v>
      </c>
      <c r="I19" s="505"/>
      <c r="J19" s="505">
        <f t="shared" si="4"/>
        <v>0</v>
      </c>
      <c r="K19" s="499"/>
      <c r="L19" s="499">
        <f t="shared" si="5"/>
        <v>0</v>
      </c>
      <c r="M19" s="39">
        <f t="shared" si="6"/>
        <v>0</v>
      </c>
      <c r="N19" s="163">
        <f t="shared" si="1"/>
        <v>0</v>
      </c>
      <c r="O19" s="172">
        <f t="shared" si="19"/>
        <v>0</v>
      </c>
      <c r="P19" s="521"/>
      <c r="Q19" s="521">
        <f t="shared" si="7"/>
        <v>0</v>
      </c>
      <c r="R19" s="526"/>
      <c r="S19" s="526">
        <f t="shared" si="8"/>
        <v>0</v>
      </c>
      <c r="T19" s="39">
        <f t="shared" si="2"/>
        <v>0</v>
      </c>
      <c r="U19" s="163">
        <f>+ROUND(T19*H19,2)</f>
        <v>0</v>
      </c>
      <c r="V19" s="173">
        <f t="shared" si="20"/>
        <v>0</v>
      </c>
      <c r="W19" s="164"/>
      <c r="X19" s="128" t="s">
        <v>1004</v>
      </c>
      <c r="Y19" s="37">
        <f>+ROUND((O19)*(1+SUMIF($Y$2:$Y$4,X19,$Z$2:$Z$4)),0)</f>
        <v>0</v>
      </c>
      <c r="Z19" s="37">
        <f t="shared" si="9"/>
        <v>0</v>
      </c>
      <c r="AA19" s="166"/>
      <c r="AB19" s="38"/>
      <c r="AC19" s="38"/>
    </row>
    <row r="20" spans="1:29" hidden="1" outlineLevel="2" x14ac:dyDescent="0.25">
      <c r="A20" s="158" t="s">
        <v>1099</v>
      </c>
      <c r="B20" s="159" t="str">
        <f t="shared" si="3"/>
        <v>3.2/1</v>
      </c>
      <c r="C20" s="168" t="s">
        <v>1394</v>
      </c>
      <c r="D20" s="169" t="s">
        <v>1395</v>
      </c>
      <c r="E20" s="170" t="s">
        <v>2068</v>
      </c>
      <c r="F20" s="171"/>
      <c r="G20" s="171"/>
      <c r="H20" s="33">
        <f t="shared" si="0"/>
        <v>0</v>
      </c>
      <c r="I20" s="505"/>
      <c r="J20" s="505">
        <f t="shared" si="4"/>
        <v>0</v>
      </c>
      <c r="K20" s="499"/>
      <c r="L20" s="499">
        <f t="shared" si="5"/>
        <v>0</v>
      </c>
      <c r="M20" s="39">
        <f t="shared" si="6"/>
        <v>0</v>
      </c>
      <c r="N20" s="163">
        <f t="shared" si="1"/>
        <v>0</v>
      </c>
      <c r="O20" s="172">
        <f t="shared" si="19"/>
        <v>0</v>
      </c>
      <c r="P20" s="521"/>
      <c r="Q20" s="521">
        <f t="shared" si="7"/>
        <v>0</v>
      </c>
      <c r="R20" s="526"/>
      <c r="S20" s="526">
        <f t="shared" si="8"/>
        <v>0</v>
      </c>
      <c r="T20" s="39">
        <f t="shared" si="2"/>
        <v>0</v>
      </c>
      <c r="U20" s="163">
        <f>+ROUND(T20*H20,2)</f>
        <v>0</v>
      </c>
      <c r="V20" s="173">
        <f t="shared" si="20"/>
        <v>0</v>
      </c>
      <c r="W20" s="164"/>
      <c r="X20" s="128" t="s">
        <v>1004</v>
      </c>
      <c r="Y20" s="37">
        <f>+ROUND((O20)*(1+SUMIF($Y$2:$Y$4,X20,$Z$2:$Z$4)),0)</f>
        <v>0</v>
      </c>
      <c r="Z20" s="37">
        <f t="shared" si="9"/>
        <v>0</v>
      </c>
      <c r="AA20" s="166"/>
      <c r="AB20" s="38"/>
      <c r="AC20" s="38"/>
    </row>
    <row r="21" spans="1:29" hidden="1" outlineLevel="2" x14ac:dyDescent="0.25">
      <c r="A21" s="158" t="s">
        <v>1103</v>
      </c>
      <c r="B21" s="159" t="str">
        <f t="shared" si="3"/>
        <v>3.2/1</v>
      </c>
      <c r="C21" s="168" t="s">
        <v>1396</v>
      </c>
      <c r="D21" s="169" t="s">
        <v>1397</v>
      </c>
      <c r="E21" s="170" t="s">
        <v>1612</v>
      </c>
      <c r="F21" s="171"/>
      <c r="G21" s="171"/>
      <c r="H21" s="33">
        <f t="shared" si="0"/>
        <v>0</v>
      </c>
      <c r="I21" s="505"/>
      <c r="J21" s="505">
        <f t="shared" si="4"/>
        <v>0</v>
      </c>
      <c r="K21" s="499"/>
      <c r="L21" s="499">
        <f t="shared" si="5"/>
        <v>0</v>
      </c>
      <c r="M21" s="39">
        <f t="shared" si="6"/>
        <v>0</v>
      </c>
      <c r="N21" s="163">
        <f t="shared" si="1"/>
        <v>0</v>
      </c>
      <c r="O21" s="172">
        <f t="shared" si="19"/>
        <v>0</v>
      </c>
      <c r="P21" s="521"/>
      <c r="Q21" s="521">
        <f t="shared" si="7"/>
        <v>0</v>
      </c>
      <c r="R21" s="526"/>
      <c r="S21" s="526">
        <f t="shared" si="8"/>
        <v>0</v>
      </c>
      <c r="T21" s="39">
        <f t="shared" si="2"/>
        <v>0</v>
      </c>
      <c r="U21" s="163">
        <f>+ROUND(T21*H21,2)</f>
        <v>0</v>
      </c>
      <c r="V21" s="173">
        <f t="shared" si="20"/>
        <v>0</v>
      </c>
      <c r="W21" s="164"/>
      <c r="X21" s="128" t="s">
        <v>1004</v>
      </c>
      <c r="Y21" s="37">
        <f>+ROUND((O21)*(1+SUMIF($Y$2:$Y$4,X21,$Z$2:$Z$4)),0)</f>
        <v>0</v>
      </c>
      <c r="Z21" s="37">
        <f t="shared" si="9"/>
        <v>0</v>
      </c>
      <c r="AA21" s="166"/>
      <c r="AB21" s="38"/>
      <c r="AC21" s="38"/>
    </row>
    <row r="22" spans="1:29" hidden="1" outlineLevel="2" x14ac:dyDescent="0.25">
      <c r="A22" s="158" t="s">
        <v>1107</v>
      </c>
      <c r="B22" s="159" t="str">
        <f t="shared" si="3"/>
        <v>3.2/1</v>
      </c>
      <c r="C22" s="168" t="s">
        <v>1398</v>
      </c>
      <c r="D22" s="169" t="s">
        <v>1399</v>
      </c>
      <c r="E22" s="170"/>
      <c r="F22" s="171"/>
      <c r="G22" s="171"/>
      <c r="H22" s="33">
        <f t="shared" si="0"/>
        <v>0</v>
      </c>
      <c r="I22" s="505"/>
      <c r="J22" s="505">
        <f t="shared" si="4"/>
        <v>0</v>
      </c>
      <c r="K22" s="499"/>
      <c r="L22" s="499">
        <f t="shared" si="5"/>
        <v>0</v>
      </c>
      <c r="M22" s="39">
        <f t="shared" si="6"/>
        <v>0</v>
      </c>
      <c r="N22" s="163">
        <f t="shared" si="1"/>
        <v>0</v>
      </c>
      <c r="O22" s="172">
        <f t="shared" si="19"/>
        <v>0</v>
      </c>
      <c r="P22" s="521"/>
      <c r="Q22" s="521">
        <f t="shared" si="7"/>
        <v>0</v>
      </c>
      <c r="R22" s="526"/>
      <c r="S22" s="526">
        <f t="shared" si="8"/>
        <v>0</v>
      </c>
      <c r="T22" s="39">
        <f t="shared" si="2"/>
        <v>0</v>
      </c>
      <c r="U22" s="163">
        <f>+ROUND(T22*H22,2)</f>
        <v>0</v>
      </c>
      <c r="V22" s="173">
        <f t="shared" si="20"/>
        <v>0</v>
      </c>
      <c r="W22" s="164"/>
      <c r="X22" s="128" t="s">
        <v>1004</v>
      </c>
      <c r="Y22" s="37">
        <f>+ROUND((O22)*(1+SUMIF($Y$2:$Y$4,X22,$Z$2:$Z$4)),0)</f>
        <v>0</v>
      </c>
      <c r="Z22" s="37">
        <f t="shared" si="9"/>
        <v>0</v>
      </c>
      <c r="AA22" s="166"/>
      <c r="AB22" s="38"/>
      <c r="AC22" s="38"/>
    </row>
    <row r="23" spans="1:29" hidden="1" outlineLevel="2" x14ac:dyDescent="0.25">
      <c r="A23" s="158" t="s">
        <v>1019</v>
      </c>
      <c r="B23" s="159" t="str">
        <f t="shared" si="3"/>
        <v>3.2/1</v>
      </c>
      <c r="C23" s="168" t="s">
        <v>1400</v>
      </c>
      <c r="D23" s="174" t="s">
        <v>1401</v>
      </c>
      <c r="E23" s="170" t="s">
        <v>39</v>
      </c>
      <c r="F23" s="171"/>
      <c r="G23" s="171"/>
      <c r="H23" s="33">
        <f t="shared" si="0"/>
        <v>0</v>
      </c>
      <c r="I23" s="505"/>
      <c r="J23" s="505">
        <f t="shared" si="4"/>
        <v>0</v>
      </c>
      <c r="K23" s="499"/>
      <c r="L23" s="499">
        <f t="shared" si="5"/>
        <v>0</v>
      </c>
      <c r="M23" s="39">
        <f t="shared" si="6"/>
        <v>0</v>
      </c>
      <c r="N23" s="163">
        <f t="shared" si="1"/>
        <v>0</v>
      </c>
      <c r="O23" s="172">
        <f t="shared" si="19"/>
        <v>0</v>
      </c>
      <c r="P23" s="521"/>
      <c r="Q23" s="521">
        <f t="shared" si="7"/>
        <v>0</v>
      </c>
      <c r="R23" s="526"/>
      <c r="S23" s="526">
        <f t="shared" si="8"/>
        <v>0</v>
      </c>
      <c r="T23" s="39">
        <f t="shared" si="2"/>
        <v>0</v>
      </c>
      <c r="U23" s="163">
        <f>+ROUND(T23*H23,2)</f>
        <v>0</v>
      </c>
      <c r="V23" s="173">
        <f t="shared" si="20"/>
        <v>0</v>
      </c>
      <c r="W23" s="164"/>
      <c r="X23" s="128" t="s">
        <v>1004</v>
      </c>
      <c r="Y23" s="37">
        <f>+ROUND((O23)*(1+SUMIF($Y$2:$Y$4,X23,$Z$2:$Z$4)),0)</f>
        <v>0</v>
      </c>
      <c r="Z23" s="37">
        <f t="shared" si="9"/>
        <v>0</v>
      </c>
      <c r="AA23" s="166"/>
      <c r="AB23" s="38"/>
      <c r="AC23" s="38"/>
    </row>
    <row r="24" spans="1:29" hidden="1" outlineLevel="1" x14ac:dyDescent="0.25">
      <c r="A24" s="506" t="s">
        <v>1022</v>
      </c>
      <c r="B24" s="507" t="str">
        <f t="shared" si="3"/>
        <v>3.2/1</v>
      </c>
      <c r="C24" s="508"/>
      <c r="D24" s="509" t="s">
        <v>1023</v>
      </c>
      <c r="E24" s="510"/>
      <c r="F24" s="511"/>
      <c r="G24" s="511"/>
      <c r="H24" s="512"/>
      <c r="I24" s="512"/>
      <c r="J24" s="512">
        <f t="shared" si="4"/>
        <v>0</v>
      </c>
      <c r="K24" s="512"/>
      <c r="L24" s="512">
        <f t="shared" si="5"/>
        <v>0</v>
      </c>
      <c r="M24" s="512">
        <f t="shared" si="6"/>
        <v>0</v>
      </c>
      <c r="N24" s="512">
        <f>SUM(N7:N23)</f>
        <v>0</v>
      </c>
      <c r="O24" s="513">
        <f>SUM(O7:O23)</f>
        <v>0</v>
      </c>
      <c r="P24" s="512"/>
      <c r="Q24" s="512">
        <f t="shared" si="7"/>
        <v>0</v>
      </c>
      <c r="R24" s="512"/>
      <c r="S24" s="512">
        <f t="shared" si="8"/>
        <v>0</v>
      </c>
      <c r="T24" s="512">
        <f t="shared" si="2"/>
        <v>0</v>
      </c>
      <c r="U24" s="512">
        <f>SUM(U7:U23)</f>
        <v>0</v>
      </c>
      <c r="V24" s="513">
        <f>SUM(V7:V23)</f>
        <v>0</v>
      </c>
      <c r="W24" s="507"/>
      <c r="X24" s="514" t="s">
        <v>1004</v>
      </c>
      <c r="Y24" s="515">
        <f>SUM(Y7:Y23)</f>
        <v>0</v>
      </c>
      <c r="Z24" s="515">
        <f>SUM(Z7:Z23)</f>
        <v>0</v>
      </c>
      <c r="AA24" s="166"/>
      <c r="AB24" s="38"/>
      <c r="AC24" s="38"/>
    </row>
    <row r="25" spans="1:29" hidden="1" outlineLevel="1" x14ac:dyDescent="0.25">
      <c r="A25" s="158" t="s">
        <v>1139</v>
      </c>
      <c r="B25" s="159" t="s">
        <v>1402</v>
      </c>
      <c r="C25" s="243">
        <v>2</v>
      </c>
      <c r="D25" s="167" t="s">
        <v>1403</v>
      </c>
      <c r="E25" s="162"/>
      <c r="F25" s="40"/>
      <c r="G25" s="40"/>
      <c r="H25" s="33">
        <f t="shared" si="0"/>
        <v>0</v>
      </c>
      <c r="I25" s="504"/>
      <c r="J25" s="504">
        <f t="shared" si="4"/>
        <v>0</v>
      </c>
      <c r="K25" s="498"/>
      <c r="L25" s="498">
        <f t="shared" si="5"/>
        <v>0</v>
      </c>
      <c r="M25" s="34">
        <f t="shared" si="6"/>
        <v>0</v>
      </c>
      <c r="N25" s="163">
        <f t="shared" si="1"/>
        <v>0</v>
      </c>
      <c r="O25" s="35"/>
      <c r="P25" s="520"/>
      <c r="Q25" s="520">
        <f t="shared" si="7"/>
        <v>0</v>
      </c>
      <c r="R25" s="525"/>
      <c r="S25" s="525">
        <f t="shared" si="8"/>
        <v>0</v>
      </c>
      <c r="T25" s="34">
        <f t="shared" si="2"/>
        <v>0</v>
      </c>
      <c r="U25" s="163">
        <f>+ROUND(T25*H25,2)</f>
        <v>0</v>
      </c>
      <c r="V25" s="36"/>
      <c r="W25" s="164"/>
      <c r="X25" s="128" t="s">
        <v>1004</v>
      </c>
      <c r="Y25" s="37">
        <f>+ROUND((O25)*(1+SUMIF($Y$2:$Y$4,X25,$Z$2:$Z$4)),0)</f>
        <v>0</v>
      </c>
      <c r="Z25" s="37">
        <f t="shared" ref="Z25:Z45" si="21">+ROUND((V25)*(1+SUMIF($Y$2:$Y$4,X25,$Z$2:$Z$4)),0)</f>
        <v>0</v>
      </c>
      <c r="AA25" s="166"/>
      <c r="AB25" s="38"/>
      <c r="AC25" s="38"/>
    </row>
    <row r="26" spans="1:29" hidden="1" outlineLevel="2" x14ac:dyDescent="0.25">
      <c r="A26" s="158" t="s">
        <v>1139</v>
      </c>
      <c r="B26" s="159" t="str">
        <f>+B25</f>
        <v>3.2/2</v>
      </c>
      <c r="C26" s="244">
        <v>2.1</v>
      </c>
      <c r="D26" s="161" t="s">
        <v>1404</v>
      </c>
      <c r="E26" s="170"/>
      <c r="F26" s="40"/>
      <c r="G26" s="40"/>
      <c r="H26" s="33">
        <f t="shared" si="0"/>
        <v>0</v>
      </c>
      <c r="I26" s="504"/>
      <c r="J26" s="504">
        <f t="shared" si="4"/>
        <v>0</v>
      </c>
      <c r="K26" s="498"/>
      <c r="L26" s="498">
        <f t="shared" si="5"/>
        <v>0</v>
      </c>
      <c r="M26" s="34">
        <f t="shared" si="6"/>
        <v>0</v>
      </c>
      <c r="N26" s="163">
        <f t="shared" si="1"/>
        <v>0</v>
      </c>
      <c r="O26" s="172">
        <f t="shared" ref="O26:O45" si="22">N26</f>
        <v>0</v>
      </c>
      <c r="P26" s="520"/>
      <c r="Q26" s="520">
        <f t="shared" si="7"/>
        <v>0</v>
      </c>
      <c r="R26" s="525"/>
      <c r="S26" s="525">
        <f t="shared" si="8"/>
        <v>0</v>
      </c>
      <c r="T26" s="34">
        <f t="shared" si="2"/>
        <v>0</v>
      </c>
      <c r="U26" s="163">
        <f>+ROUND(T26*H26,2)</f>
        <v>0</v>
      </c>
      <c r="V26" s="173">
        <f t="shared" ref="V26:V45" si="23">U26</f>
        <v>0</v>
      </c>
      <c r="W26" s="164"/>
      <c r="X26" s="128" t="s">
        <v>1004</v>
      </c>
      <c r="Y26" s="37">
        <f>+ROUND((O26)*(1+SUMIF($Y$2:$Y$4,X26,$Z$2:$Z$4)),0)</f>
        <v>0</v>
      </c>
      <c r="Z26" s="37">
        <f t="shared" si="21"/>
        <v>0</v>
      </c>
      <c r="AA26" s="166"/>
      <c r="AB26" s="38"/>
      <c r="AC26" s="38"/>
    </row>
    <row r="27" spans="1:29" ht="24" hidden="1" outlineLevel="2" x14ac:dyDescent="0.25">
      <c r="A27" s="158" t="s">
        <v>1139</v>
      </c>
      <c r="B27" s="159" t="str">
        <f>+B26</f>
        <v>3.2/2</v>
      </c>
      <c r="C27" s="168" t="s">
        <v>1405</v>
      </c>
      <c r="D27" s="169" t="s">
        <v>1406</v>
      </c>
      <c r="E27" s="170"/>
      <c r="F27" s="171"/>
      <c r="G27" s="171"/>
      <c r="H27" s="33">
        <f t="shared" si="0"/>
        <v>0</v>
      </c>
      <c r="I27" s="505"/>
      <c r="J27" s="505">
        <f t="shared" si="4"/>
        <v>0</v>
      </c>
      <c r="K27" s="499"/>
      <c r="L27" s="499">
        <f t="shared" si="5"/>
        <v>0</v>
      </c>
      <c r="M27" s="39">
        <f t="shared" si="6"/>
        <v>0</v>
      </c>
      <c r="N27" s="163">
        <f t="shared" si="1"/>
        <v>0</v>
      </c>
      <c r="O27" s="172">
        <f t="shared" si="22"/>
        <v>0</v>
      </c>
      <c r="P27" s="521"/>
      <c r="Q27" s="521">
        <f t="shared" si="7"/>
        <v>0</v>
      </c>
      <c r="R27" s="526"/>
      <c r="S27" s="526">
        <f t="shared" si="8"/>
        <v>0</v>
      </c>
      <c r="T27" s="39">
        <f t="shared" si="2"/>
        <v>0</v>
      </c>
      <c r="U27" s="163">
        <f>+ROUND(T27*H27,2)</f>
        <v>0</v>
      </c>
      <c r="V27" s="173">
        <f t="shared" si="23"/>
        <v>0</v>
      </c>
      <c r="W27" s="164"/>
      <c r="X27" s="128" t="s">
        <v>1004</v>
      </c>
      <c r="Y27" s="37">
        <f>+ROUND((O27)*(1+SUMIF($Y$2:$Y$4,X27,$Z$2:$Z$4)),0)</f>
        <v>0</v>
      </c>
      <c r="Z27" s="37">
        <f t="shared" si="21"/>
        <v>0</v>
      </c>
      <c r="AA27" s="166"/>
      <c r="AB27" s="38"/>
      <c r="AC27" s="38"/>
    </row>
    <row r="28" spans="1:29" hidden="1" outlineLevel="2" x14ac:dyDescent="0.25">
      <c r="A28" s="158" t="s">
        <v>1117</v>
      </c>
      <c r="B28" s="159" t="str">
        <f>+B25</f>
        <v>3.2/2</v>
      </c>
      <c r="C28" s="244">
        <v>2.2000000000000002</v>
      </c>
      <c r="D28" s="161" t="s">
        <v>1407</v>
      </c>
      <c r="E28" s="170"/>
      <c r="F28" s="40"/>
      <c r="G28" s="40"/>
      <c r="H28" s="33">
        <f t="shared" si="0"/>
        <v>0</v>
      </c>
      <c r="I28" s="504"/>
      <c r="J28" s="504">
        <f t="shared" si="4"/>
        <v>0</v>
      </c>
      <c r="K28" s="498"/>
      <c r="L28" s="498">
        <f t="shared" si="5"/>
        <v>0</v>
      </c>
      <c r="M28" s="34">
        <f t="shared" si="6"/>
        <v>0</v>
      </c>
      <c r="N28" s="163">
        <f t="shared" si="1"/>
        <v>0</v>
      </c>
      <c r="O28" s="172">
        <f t="shared" si="22"/>
        <v>0</v>
      </c>
      <c r="P28" s="520"/>
      <c r="Q28" s="520">
        <f t="shared" si="7"/>
        <v>0</v>
      </c>
      <c r="R28" s="525"/>
      <c r="S28" s="525">
        <f t="shared" si="8"/>
        <v>0</v>
      </c>
      <c r="T28" s="34">
        <f t="shared" si="2"/>
        <v>0</v>
      </c>
      <c r="U28" s="163">
        <f>+ROUND(T28*H28,2)</f>
        <v>0</v>
      </c>
      <c r="V28" s="173">
        <f t="shared" si="23"/>
        <v>0</v>
      </c>
      <c r="W28" s="164"/>
      <c r="X28" s="128" t="s">
        <v>1004</v>
      </c>
      <c r="Y28" s="37">
        <f>+ROUND((O28)*(1+SUMIF($Y$2:$Y$4,X28,$Z$2:$Z$4)),0)</f>
        <v>0</v>
      </c>
      <c r="Z28" s="37">
        <f t="shared" si="21"/>
        <v>0</v>
      </c>
      <c r="AA28" s="166"/>
      <c r="AB28" s="38"/>
      <c r="AC28" s="38"/>
    </row>
    <row r="29" spans="1:29" ht="24" hidden="1" outlineLevel="2" x14ac:dyDescent="0.25">
      <c r="A29" s="158" t="s">
        <v>1117</v>
      </c>
      <c r="B29" s="159" t="str">
        <f>+B26</f>
        <v>3.2/2</v>
      </c>
      <c r="C29" s="168" t="s">
        <v>1408</v>
      </c>
      <c r="D29" s="169" t="s">
        <v>1409</v>
      </c>
      <c r="E29" s="170"/>
      <c r="F29" s="171"/>
      <c r="G29" s="171"/>
      <c r="H29" s="33">
        <f t="shared" si="0"/>
        <v>0</v>
      </c>
      <c r="I29" s="505"/>
      <c r="J29" s="505">
        <f t="shared" si="4"/>
        <v>0</v>
      </c>
      <c r="K29" s="499"/>
      <c r="L29" s="499">
        <f t="shared" si="5"/>
        <v>0</v>
      </c>
      <c r="M29" s="39">
        <f t="shared" si="6"/>
        <v>0</v>
      </c>
      <c r="N29" s="163">
        <f t="shared" si="1"/>
        <v>0</v>
      </c>
      <c r="O29" s="172">
        <f t="shared" si="22"/>
        <v>0</v>
      </c>
      <c r="P29" s="521"/>
      <c r="Q29" s="521">
        <f t="shared" si="7"/>
        <v>0</v>
      </c>
      <c r="R29" s="526"/>
      <c r="S29" s="526">
        <f t="shared" si="8"/>
        <v>0</v>
      </c>
      <c r="T29" s="39">
        <f t="shared" si="2"/>
        <v>0</v>
      </c>
      <c r="U29" s="163">
        <f>+ROUND(T29*H29,2)</f>
        <v>0</v>
      </c>
      <c r="V29" s="173">
        <f t="shared" si="23"/>
        <v>0</v>
      </c>
      <c r="W29" s="164"/>
      <c r="X29" s="128" t="s">
        <v>1004</v>
      </c>
      <c r="Y29" s="37">
        <f>+ROUND((O29)*(1+SUMIF($Y$2:$Y$4,X29,$Z$2:$Z$4)),0)</f>
        <v>0</v>
      </c>
      <c r="Z29" s="37">
        <f t="shared" si="21"/>
        <v>0</v>
      </c>
      <c r="AA29" s="166"/>
      <c r="AB29" s="38"/>
      <c r="AC29" s="38"/>
    </row>
    <row r="30" spans="1:29" s="546" customFormat="1" hidden="1" outlineLevel="3" x14ac:dyDescent="0.25">
      <c r="A30" s="547" t="s">
        <v>1099</v>
      </c>
      <c r="B30" s="548" t="str">
        <f t="shared" ref="B30:B32" si="24">+B29</f>
        <v>3.2/2</v>
      </c>
      <c r="C30" s="529"/>
      <c r="D30" s="528" t="s">
        <v>1395</v>
      </c>
      <c r="E30" s="530" t="s">
        <v>2068</v>
      </c>
      <c r="F30" s="531"/>
      <c r="G30" s="531"/>
      <c r="H30" s="532">
        <f t="shared" si="0"/>
        <v>0</v>
      </c>
      <c r="I30" s="533"/>
      <c r="J30" s="533">
        <f t="shared" si="4"/>
        <v>0</v>
      </c>
      <c r="K30" s="534"/>
      <c r="L30" s="534">
        <f t="shared" si="5"/>
        <v>0</v>
      </c>
      <c r="M30" s="535">
        <f t="shared" si="6"/>
        <v>0</v>
      </c>
      <c r="N30" s="536">
        <f t="shared" si="1"/>
        <v>0</v>
      </c>
      <c r="O30" s="537">
        <f t="shared" si="22"/>
        <v>0</v>
      </c>
      <c r="P30" s="538"/>
      <c r="Q30" s="538">
        <f t="shared" si="7"/>
        <v>0</v>
      </c>
      <c r="R30" s="539"/>
      <c r="S30" s="539">
        <f t="shared" si="8"/>
        <v>0</v>
      </c>
      <c r="T30" s="535">
        <f t="shared" si="2"/>
        <v>0</v>
      </c>
      <c r="U30" s="536">
        <f t="shared" ref="U30:U32" si="25">+ROUND(T30*H30,2)</f>
        <v>0</v>
      </c>
      <c r="V30" s="540">
        <f t="shared" si="23"/>
        <v>0</v>
      </c>
      <c r="W30" s="541"/>
      <c r="X30" s="542" t="s">
        <v>1004</v>
      </c>
      <c r="Y30" s="543">
        <f t="shared" ref="Y30:Y32" si="26">+ROUND((O30)*(1+SUMIF($Y$2:$Y$4,X30,$Z$2:$Z$4)),0)</f>
        <v>0</v>
      </c>
      <c r="Z30" s="543">
        <f t="shared" si="21"/>
        <v>0</v>
      </c>
      <c r="AA30" s="544"/>
      <c r="AB30" s="545"/>
      <c r="AC30" s="545"/>
    </row>
    <row r="31" spans="1:29" s="546" customFormat="1" hidden="1" outlineLevel="3" x14ac:dyDescent="0.25">
      <c r="A31" s="547" t="s">
        <v>1103</v>
      </c>
      <c r="B31" s="548" t="str">
        <f t="shared" si="24"/>
        <v>3.2/2</v>
      </c>
      <c r="C31" s="529"/>
      <c r="D31" s="528" t="s">
        <v>1397</v>
      </c>
      <c r="E31" s="530" t="s">
        <v>1612</v>
      </c>
      <c r="F31" s="531"/>
      <c r="G31" s="531"/>
      <c r="H31" s="532">
        <f t="shared" si="0"/>
        <v>0</v>
      </c>
      <c r="I31" s="533"/>
      <c r="J31" s="533">
        <f t="shared" si="4"/>
        <v>0</v>
      </c>
      <c r="K31" s="534"/>
      <c r="L31" s="534">
        <f t="shared" si="5"/>
        <v>0</v>
      </c>
      <c r="M31" s="535">
        <f t="shared" si="6"/>
        <v>0</v>
      </c>
      <c r="N31" s="536">
        <f t="shared" si="1"/>
        <v>0</v>
      </c>
      <c r="O31" s="537">
        <f t="shared" si="22"/>
        <v>0</v>
      </c>
      <c r="P31" s="538"/>
      <c r="Q31" s="538">
        <f t="shared" si="7"/>
        <v>0</v>
      </c>
      <c r="R31" s="539"/>
      <c r="S31" s="539">
        <f t="shared" si="8"/>
        <v>0</v>
      </c>
      <c r="T31" s="535">
        <f t="shared" si="2"/>
        <v>0</v>
      </c>
      <c r="U31" s="536">
        <f t="shared" si="25"/>
        <v>0</v>
      </c>
      <c r="V31" s="540">
        <f t="shared" si="23"/>
        <v>0</v>
      </c>
      <c r="W31" s="541"/>
      <c r="X31" s="542" t="s">
        <v>1004</v>
      </c>
      <c r="Y31" s="543">
        <f t="shared" si="26"/>
        <v>0</v>
      </c>
      <c r="Z31" s="543">
        <f t="shared" si="21"/>
        <v>0</v>
      </c>
      <c r="AA31" s="544"/>
      <c r="AB31" s="545"/>
      <c r="AC31" s="545"/>
    </row>
    <row r="32" spans="1:29" s="546" customFormat="1" hidden="1" outlineLevel="3" x14ac:dyDescent="0.25">
      <c r="A32" s="547" t="s">
        <v>1107</v>
      </c>
      <c r="B32" s="548" t="str">
        <f t="shared" si="24"/>
        <v>3.2/2</v>
      </c>
      <c r="C32" s="529"/>
      <c r="D32" s="528" t="s">
        <v>1399</v>
      </c>
      <c r="E32" s="530"/>
      <c r="F32" s="531"/>
      <c r="G32" s="531"/>
      <c r="H32" s="532">
        <f t="shared" si="0"/>
        <v>0</v>
      </c>
      <c r="I32" s="533"/>
      <c r="J32" s="533">
        <f t="shared" si="4"/>
        <v>0</v>
      </c>
      <c r="K32" s="534"/>
      <c r="L32" s="534">
        <f t="shared" si="5"/>
        <v>0</v>
      </c>
      <c r="M32" s="535">
        <f t="shared" si="6"/>
        <v>0</v>
      </c>
      <c r="N32" s="536">
        <f t="shared" si="1"/>
        <v>0</v>
      </c>
      <c r="O32" s="537">
        <f t="shared" si="22"/>
        <v>0</v>
      </c>
      <c r="P32" s="538"/>
      <c r="Q32" s="538">
        <f t="shared" si="7"/>
        <v>0</v>
      </c>
      <c r="R32" s="539"/>
      <c r="S32" s="539">
        <f t="shared" si="8"/>
        <v>0</v>
      </c>
      <c r="T32" s="535">
        <f t="shared" si="2"/>
        <v>0</v>
      </c>
      <c r="U32" s="536">
        <f t="shared" si="25"/>
        <v>0</v>
      </c>
      <c r="V32" s="540">
        <f t="shared" si="23"/>
        <v>0</v>
      </c>
      <c r="W32" s="541"/>
      <c r="X32" s="542" t="s">
        <v>1004</v>
      </c>
      <c r="Y32" s="543">
        <f t="shared" si="26"/>
        <v>0</v>
      </c>
      <c r="Z32" s="543">
        <f t="shared" si="21"/>
        <v>0</v>
      </c>
      <c r="AA32" s="544"/>
      <c r="AB32" s="545"/>
      <c r="AC32" s="545"/>
    </row>
    <row r="33" spans="1:29" hidden="1" outlineLevel="2" x14ac:dyDescent="0.25">
      <c r="A33" s="158" t="s">
        <v>1149</v>
      </c>
      <c r="B33" s="159" t="str">
        <f>+B28</f>
        <v>3.2/2</v>
      </c>
      <c r="C33" s="168" t="s">
        <v>1410</v>
      </c>
      <c r="D33" s="169" t="s">
        <v>1411</v>
      </c>
      <c r="E33" s="170"/>
      <c r="F33" s="40"/>
      <c r="G33" s="40"/>
      <c r="H33" s="33">
        <f t="shared" si="0"/>
        <v>0</v>
      </c>
      <c r="I33" s="504"/>
      <c r="J33" s="504">
        <f t="shared" si="4"/>
        <v>0</v>
      </c>
      <c r="K33" s="498"/>
      <c r="L33" s="498">
        <f t="shared" si="5"/>
        <v>0</v>
      </c>
      <c r="M33" s="34">
        <f t="shared" si="6"/>
        <v>0</v>
      </c>
      <c r="N33" s="163">
        <f t="shared" si="1"/>
        <v>0</v>
      </c>
      <c r="O33" s="172">
        <f t="shared" si="22"/>
        <v>0</v>
      </c>
      <c r="P33" s="520"/>
      <c r="Q33" s="520">
        <f t="shared" si="7"/>
        <v>0</v>
      </c>
      <c r="R33" s="525"/>
      <c r="S33" s="525">
        <f t="shared" si="8"/>
        <v>0</v>
      </c>
      <c r="T33" s="34">
        <f t="shared" si="2"/>
        <v>0</v>
      </c>
      <c r="U33" s="163">
        <f>+ROUND(T33*H33,2)</f>
        <v>0</v>
      </c>
      <c r="V33" s="173">
        <f t="shared" si="23"/>
        <v>0</v>
      </c>
      <c r="W33" s="164"/>
      <c r="X33" s="128" t="s">
        <v>1004</v>
      </c>
      <c r="Y33" s="37">
        <f>+ROUND((O33)*(1+SUMIF($Y$2:$Y$4,X33,$Z$2:$Z$4)),0)</f>
        <v>0</v>
      </c>
      <c r="Z33" s="37">
        <f t="shared" si="21"/>
        <v>0</v>
      </c>
      <c r="AA33" s="166"/>
      <c r="AB33" s="38"/>
      <c r="AC33" s="38"/>
    </row>
    <row r="34" spans="1:29" hidden="1" outlineLevel="2" x14ac:dyDescent="0.25">
      <c r="A34" s="158" t="s">
        <v>1149</v>
      </c>
      <c r="B34" s="159" t="str">
        <f>+B29</f>
        <v>3.2/2</v>
      </c>
      <c r="C34" s="168" t="s">
        <v>1412</v>
      </c>
      <c r="D34" s="181" t="s">
        <v>1413</v>
      </c>
      <c r="E34" s="170" t="s">
        <v>66</v>
      </c>
      <c r="F34" s="171"/>
      <c r="G34" s="171"/>
      <c r="H34" s="33">
        <f t="shared" si="0"/>
        <v>0</v>
      </c>
      <c r="I34" s="505"/>
      <c r="J34" s="505">
        <f t="shared" si="4"/>
        <v>0</v>
      </c>
      <c r="K34" s="499"/>
      <c r="L34" s="499">
        <f t="shared" si="5"/>
        <v>0</v>
      </c>
      <c r="M34" s="39">
        <f t="shared" si="6"/>
        <v>0</v>
      </c>
      <c r="N34" s="163">
        <f t="shared" si="1"/>
        <v>0</v>
      </c>
      <c r="O34" s="172">
        <f t="shared" si="22"/>
        <v>0</v>
      </c>
      <c r="P34" s="521"/>
      <c r="Q34" s="521">
        <f t="shared" si="7"/>
        <v>0</v>
      </c>
      <c r="R34" s="526"/>
      <c r="S34" s="526">
        <f t="shared" si="8"/>
        <v>0</v>
      </c>
      <c r="T34" s="39">
        <f t="shared" si="2"/>
        <v>0</v>
      </c>
      <c r="U34" s="163">
        <f>+ROUND(T34*H34,2)</f>
        <v>0</v>
      </c>
      <c r="V34" s="173">
        <f t="shared" si="23"/>
        <v>0</v>
      </c>
      <c r="W34" s="164"/>
      <c r="X34" s="128" t="s">
        <v>1004</v>
      </c>
      <c r="Y34" s="37">
        <f>+ROUND((O34)*(1+SUMIF($Y$2:$Y$4,X34,$Z$2:$Z$4)),0)</f>
        <v>0</v>
      </c>
      <c r="Z34" s="37">
        <f t="shared" si="21"/>
        <v>0</v>
      </c>
      <c r="AA34" s="166"/>
      <c r="AB34" s="38"/>
      <c r="AC34" s="38"/>
    </row>
    <row r="35" spans="1:29" hidden="1" outlineLevel="2" x14ac:dyDescent="0.25">
      <c r="A35" s="158" t="s">
        <v>1149</v>
      </c>
      <c r="B35" s="159" t="str">
        <f>+B34</f>
        <v>3.2/2</v>
      </c>
      <c r="C35" s="168" t="s">
        <v>1414</v>
      </c>
      <c r="D35" s="181" t="s">
        <v>1415</v>
      </c>
      <c r="E35" s="170" t="s">
        <v>39</v>
      </c>
      <c r="F35" s="171"/>
      <c r="G35" s="171"/>
      <c r="H35" s="33">
        <f t="shared" si="0"/>
        <v>0</v>
      </c>
      <c r="I35" s="505"/>
      <c r="J35" s="505">
        <f t="shared" si="4"/>
        <v>0</v>
      </c>
      <c r="K35" s="499"/>
      <c r="L35" s="499">
        <f t="shared" si="5"/>
        <v>0</v>
      </c>
      <c r="M35" s="39">
        <f t="shared" si="6"/>
        <v>0</v>
      </c>
      <c r="N35" s="163">
        <f t="shared" si="1"/>
        <v>0</v>
      </c>
      <c r="O35" s="172">
        <f t="shared" si="22"/>
        <v>0</v>
      </c>
      <c r="P35" s="521"/>
      <c r="Q35" s="521">
        <f t="shared" si="7"/>
        <v>0</v>
      </c>
      <c r="R35" s="526"/>
      <c r="S35" s="526">
        <f t="shared" si="8"/>
        <v>0</v>
      </c>
      <c r="T35" s="39">
        <f t="shared" si="2"/>
        <v>0</v>
      </c>
      <c r="U35" s="163">
        <f>+ROUND(T35*H35,2)</f>
        <v>0</v>
      </c>
      <c r="V35" s="173">
        <f t="shared" si="23"/>
        <v>0</v>
      </c>
      <c r="W35" s="164"/>
      <c r="X35" s="128" t="s">
        <v>1004</v>
      </c>
      <c r="Y35" s="37">
        <f>+ROUND((O35)*(1+SUMIF($Y$2:$Y$4,X35,$Z$2:$Z$4)),0)</f>
        <v>0</v>
      </c>
      <c r="Z35" s="37">
        <f t="shared" si="21"/>
        <v>0</v>
      </c>
      <c r="AA35" s="166"/>
      <c r="AB35" s="38"/>
      <c r="AC35" s="38"/>
    </row>
    <row r="36" spans="1:29" hidden="1" outlineLevel="2" x14ac:dyDescent="0.25">
      <c r="A36" s="158" t="s">
        <v>1145</v>
      </c>
      <c r="B36" s="159" t="str">
        <f>+B33</f>
        <v>3.2/2</v>
      </c>
      <c r="C36" s="244">
        <v>2.2999999999999998</v>
      </c>
      <c r="D36" s="161" t="s">
        <v>1147</v>
      </c>
      <c r="E36" s="170"/>
      <c r="F36" s="40"/>
      <c r="G36" s="40"/>
      <c r="H36" s="33">
        <f t="shared" si="0"/>
        <v>0</v>
      </c>
      <c r="I36" s="504"/>
      <c r="J36" s="504">
        <f t="shared" si="4"/>
        <v>0</v>
      </c>
      <c r="K36" s="498"/>
      <c r="L36" s="498">
        <f t="shared" si="5"/>
        <v>0</v>
      </c>
      <c r="M36" s="34">
        <f t="shared" si="6"/>
        <v>0</v>
      </c>
      <c r="N36" s="163">
        <f t="shared" si="1"/>
        <v>0</v>
      </c>
      <c r="O36" s="172">
        <f t="shared" si="22"/>
        <v>0</v>
      </c>
      <c r="P36" s="520"/>
      <c r="Q36" s="520">
        <f t="shared" si="7"/>
        <v>0</v>
      </c>
      <c r="R36" s="525"/>
      <c r="S36" s="525">
        <f t="shared" si="8"/>
        <v>0</v>
      </c>
      <c r="T36" s="34">
        <f t="shared" si="2"/>
        <v>0</v>
      </c>
      <c r="U36" s="163">
        <f>+ROUND(T36*H36,2)</f>
        <v>0</v>
      </c>
      <c r="V36" s="173">
        <f t="shared" si="23"/>
        <v>0</v>
      </c>
      <c r="W36" s="164"/>
      <c r="X36" s="128" t="s">
        <v>1004</v>
      </c>
      <c r="Y36" s="37">
        <f>+ROUND((O36)*(1+SUMIF($Y$2:$Y$4,X36,$Z$2:$Z$4)),0)</f>
        <v>0</v>
      </c>
      <c r="Z36" s="37">
        <f t="shared" si="21"/>
        <v>0</v>
      </c>
      <c r="AA36" s="166"/>
      <c r="AB36" s="38"/>
      <c r="AC36" s="38"/>
    </row>
    <row r="37" spans="1:29" hidden="1" outlineLevel="2" x14ac:dyDescent="0.25">
      <c r="A37" s="158" t="s">
        <v>1145</v>
      </c>
      <c r="B37" s="159" t="str">
        <f>+B34</f>
        <v>3.2/2</v>
      </c>
      <c r="C37" s="168" t="s">
        <v>1416</v>
      </c>
      <c r="D37" s="174" t="s">
        <v>1417</v>
      </c>
      <c r="E37" s="170"/>
      <c r="F37" s="40"/>
      <c r="G37" s="40"/>
      <c r="H37" s="33">
        <f t="shared" si="0"/>
        <v>0</v>
      </c>
      <c r="I37" s="504"/>
      <c r="J37" s="504">
        <f t="shared" si="4"/>
        <v>0</v>
      </c>
      <c r="K37" s="498"/>
      <c r="L37" s="498">
        <f t="shared" si="5"/>
        <v>0</v>
      </c>
      <c r="M37" s="34">
        <f t="shared" si="6"/>
        <v>0</v>
      </c>
      <c r="N37" s="163">
        <f t="shared" si="1"/>
        <v>0</v>
      </c>
      <c r="O37" s="172">
        <f t="shared" si="22"/>
        <v>0</v>
      </c>
      <c r="P37" s="520"/>
      <c r="Q37" s="520">
        <f t="shared" si="7"/>
        <v>0</v>
      </c>
      <c r="R37" s="525"/>
      <c r="S37" s="525">
        <f t="shared" si="8"/>
        <v>0</v>
      </c>
      <c r="T37" s="34">
        <f t="shared" si="2"/>
        <v>0</v>
      </c>
      <c r="U37" s="163">
        <f>+ROUND(T37*H37,2)</f>
        <v>0</v>
      </c>
      <c r="V37" s="173">
        <f t="shared" si="23"/>
        <v>0</v>
      </c>
      <c r="W37" s="164"/>
      <c r="X37" s="128" t="s">
        <v>1004</v>
      </c>
      <c r="Y37" s="37">
        <f>+ROUND((O37)*(1+SUMIF($Y$2:$Y$4,X37,$Z$2:$Z$4)),0)</f>
        <v>0</v>
      </c>
      <c r="Z37" s="37">
        <f t="shared" si="21"/>
        <v>0</v>
      </c>
      <c r="AA37" s="166"/>
      <c r="AB37" s="38"/>
      <c r="AC37" s="38"/>
    </row>
    <row r="38" spans="1:29" hidden="1" outlineLevel="2" x14ac:dyDescent="0.25">
      <c r="A38" s="158" t="s">
        <v>1145</v>
      </c>
      <c r="B38" s="159" t="str">
        <f>+B35</f>
        <v>3.2/2</v>
      </c>
      <c r="C38" s="168" t="s">
        <v>1418</v>
      </c>
      <c r="D38" s="169" t="s">
        <v>1419</v>
      </c>
      <c r="E38" s="170" t="s">
        <v>1612</v>
      </c>
      <c r="F38" s="171"/>
      <c r="G38" s="171"/>
      <c r="H38" s="33">
        <f t="shared" si="0"/>
        <v>0</v>
      </c>
      <c r="I38" s="505"/>
      <c r="J38" s="505">
        <f t="shared" si="4"/>
        <v>0</v>
      </c>
      <c r="K38" s="499"/>
      <c r="L38" s="499">
        <f t="shared" si="5"/>
        <v>0</v>
      </c>
      <c r="M38" s="39">
        <f t="shared" si="6"/>
        <v>0</v>
      </c>
      <c r="N38" s="163">
        <f t="shared" si="1"/>
        <v>0</v>
      </c>
      <c r="O38" s="172">
        <f t="shared" si="22"/>
        <v>0</v>
      </c>
      <c r="P38" s="521"/>
      <c r="Q38" s="521">
        <f t="shared" si="7"/>
        <v>0</v>
      </c>
      <c r="R38" s="526"/>
      <c r="S38" s="526">
        <f t="shared" si="8"/>
        <v>0</v>
      </c>
      <c r="T38" s="39">
        <f t="shared" si="2"/>
        <v>0</v>
      </c>
      <c r="U38" s="163">
        <f>+ROUND(T38*H38,2)</f>
        <v>0</v>
      </c>
      <c r="V38" s="173">
        <f t="shared" si="23"/>
        <v>0</v>
      </c>
      <c r="W38" s="164"/>
      <c r="X38" s="128" t="s">
        <v>1004</v>
      </c>
      <c r="Y38" s="37">
        <f>+ROUND((O38)*(1+SUMIF($Y$2:$Y$4,X38,$Z$2:$Z$4)),0)</f>
        <v>0</v>
      </c>
      <c r="Z38" s="37">
        <f t="shared" si="21"/>
        <v>0</v>
      </c>
      <c r="AA38" s="166"/>
      <c r="AB38" s="38"/>
      <c r="AC38" s="38"/>
    </row>
    <row r="39" spans="1:29" hidden="1" outlineLevel="2" x14ac:dyDescent="0.25">
      <c r="A39" s="158" t="s">
        <v>1145</v>
      </c>
      <c r="B39" s="159" t="str">
        <f>+B38</f>
        <v>3.2/2</v>
      </c>
      <c r="C39" s="168" t="s">
        <v>1420</v>
      </c>
      <c r="D39" s="169" t="s">
        <v>1421</v>
      </c>
      <c r="E39" s="170" t="s">
        <v>1612</v>
      </c>
      <c r="F39" s="171"/>
      <c r="G39" s="171"/>
      <c r="H39" s="33">
        <f t="shared" si="0"/>
        <v>0</v>
      </c>
      <c r="I39" s="505"/>
      <c r="J39" s="505">
        <f t="shared" si="4"/>
        <v>0</v>
      </c>
      <c r="K39" s="499"/>
      <c r="L39" s="499">
        <f t="shared" si="5"/>
        <v>0</v>
      </c>
      <c r="M39" s="39">
        <f t="shared" si="6"/>
        <v>0</v>
      </c>
      <c r="N39" s="163">
        <f t="shared" si="1"/>
        <v>0</v>
      </c>
      <c r="O39" s="172">
        <f t="shared" si="22"/>
        <v>0</v>
      </c>
      <c r="P39" s="521"/>
      <c r="Q39" s="521">
        <f t="shared" si="7"/>
        <v>0</v>
      </c>
      <c r="R39" s="526"/>
      <c r="S39" s="526">
        <f t="shared" si="8"/>
        <v>0</v>
      </c>
      <c r="T39" s="39">
        <f t="shared" si="2"/>
        <v>0</v>
      </c>
      <c r="U39" s="163">
        <f>+ROUND(T39*H39,2)</f>
        <v>0</v>
      </c>
      <c r="V39" s="173">
        <f t="shared" si="23"/>
        <v>0</v>
      </c>
      <c r="W39" s="164"/>
      <c r="X39" s="128" t="s">
        <v>1004</v>
      </c>
      <c r="Y39" s="37">
        <f>+ROUND((O39)*(1+SUMIF($Y$2:$Y$4,X39,$Z$2:$Z$4)),0)</f>
        <v>0</v>
      </c>
      <c r="Z39" s="37">
        <f t="shared" si="21"/>
        <v>0</v>
      </c>
      <c r="AA39" s="166"/>
      <c r="AB39" s="38"/>
      <c r="AC39" s="38"/>
    </row>
    <row r="40" spans="1:29" hidden="1" outlineLevel="2" x14ac:dyDescent="0.25">
      <c r="A40" s="158" t="s">
        <v>1147</v>
      </c>
      <c r="B40" s="159" t="str">
        <f>+B38</f>
        <v>3.2/2</v>
      </c>
      <c r="C40" s="168" t="s">
        <v>1422</v>
      </c>
      <c r="D40" s="174" t="s">
        <v>1423</v>
      </c>
      <c r="E40" s="170"/>
      <c r="F40" s="40"/>
      <c r="G40" s="40"/>
      <c r="H40" s="33">
        <f t="shared" si="0"/>
        <v>0</v>
      </c>
      <c r="I40" s="504"/>
      <c r="J40" s="504">
        <f t="shared" si="4"/>
        <v>0</v>
      </c>
      <c r="K40" s="498"/>
      <c r="L40" s="498">
        <f t="shared" si="5"/>
        <v>0</v>
      </c>
      <c r="M40" s="34">
        <f t="shared" si="6"/>
        <v>0</v>
      </c>
      <c r="N40" s="163">
        <f t="shared" si="1"/>
        <v>0</v>
      </c>
      <c r="O40" s="172">
        <f t="shared" si="22"/>
        <v>0</v>
      </c>
      <c r="P40" s="520"/>
      <c r="Q40" s="520">
        <f t="shared" si="7"/>
        <v>0</v>
      </c>
      <c r="R40" s="525"/>
      <c r="S40" s="525">
        <f t="shared" si="8"/>
        <v>0</v>
      </c>
      <c r="T40" s="34">
        <f t="shared" si="2"/>
        <v>0</v>
      </c>
      <c r="U40" s="163">
        <f>+ROUND(T40*H40,2)</f>
        <v>0</v>
      </c>
      <c r="V40" s="173">
        <f t="shared" si="23"/>
        <v>0</v>
      </c>
      <c r="W40" s="164"/>
      <c r="X40" s="128" t="s">
        <v>1004</v>
      </c>
      <c r="Y40" s="37">
        <f>+ROUND((O40)*(1+SUMIF($Y$2:$Y$4,X40,$Z$2:$Z$4)),0)</f>
        <v>0</v>
      </c>
      <c r="Z40" s="37">
        <f t="shared" si="21"/>
        <v>0</v>
      </c>
      <c r="AA40" s="166"/>
      <c r="AB40" s="38"/>
      <c r="AC40" s="38"/>
    </row>
    <row r="41" spans="1:29" hidden="1" outlineLevel="2" x14ac:dyDescent="0.25">
      <c r="A41" s="158" t="s">
        <v>1147</v>
      </c>
      <c r="B41" s="159" t="str">
        <f>+B39</f>
        <v>3.2/2</v>
      </c>
      <c r="C41" s="168" t="s">
        <v>1424</v>
      </c>
      <c r="D41" s="169" t="s">
        <v>1425</v>
      </c>
      <c r="E41" s="170" t="s">
        <v>1612</v>
      </c>
      <c r="F41" s="171"/>
      <c r="G41" s="171"/>
      <c r="H41" s="33">
        <f t="shared" si="0"/>
        <v>0</v>
      </c>
      <c r="I41" s="505"/>
      <c r="J41" s="505">
        <f t="shared" si="4"/>
        <v>0</v>
      </c>
      <c r="K41" s="499"/>
      <c r="L41" s="499">
        <f t="shared" si="5"/>
        <v>0</v>
      </c>
      <c r="M41" s="39">
        <f t="shared" si="6"/>
        <v>0</v>
      </c>
      <c r="N41" s="163">
        <f t="shared" si="1"/>
        <v>0</v>
      </c>
      <c r="O41" s="172">
        <f t="shared" si="22"/>
        <v>0</v>
      </c>
      <c r="P41" s="521"/>
      <c r="Q41" s="521">
        <f t="shared" si="7"/>
        <v>0</v>
      </c>
      <c r="R41" s="526"/>
      <c r="S41" s="526">
        <f t="shared" si="8"/>
        <v>0</v>
      </c>
      <c r="T41" s="39">
        <f t="shared" si="2"/>
        <v>0</v>
      </c>
      <c r="U41" s="163">
        <f>+ROUND(T41*H41,2)</f>
        <v>0</v>
      </c>
      <c r="V41" s="173">
        <f t="shared" si="23"/>
        <v>0</v>
      </c>
      <c r="W41" s="164"/>
      <c r="X41" s="128" t="s">
        <v>1004</v>
      </c>
      <c r="Y41" s="37">
        <f>+ROUND((O41)*(1+SUMIF($Y$2:$Y$4,X41,$Z$2:$Z$4)),0)</f>
        <v>0</v>
      </c>
      <c r="Z41" s="37">
        <f t="shared" si="21"/>
        <v>0</v>
      </c>
      <c r="AA41" s="166"/>
      <c r="AB41" s="38"/>
      <c r="AC41" s="38"/>
    </row>
    <row r="42" spans="1:29" hidden="1" outlineLevel="2" x14ac:dyDescent="0.25">
      <c r="A42" s="158" t="s">
        <v>1147</v>
      </c>
      <c r="B42" s="159" t="str">
        <f>+B41</f>
        <v>3.2/2</v>
      </c>
      <c r="C42" s="168" t="s">
        <v>1426</v>
      </c>
      <c r="D42" s="169" t="s">
        <v>1427</v>
      </c>
      <c r="E42" s="170" t="s">
        <v>66</v>
      </c>
      <c r="F42" s="171"/>
      <c r="G42" s="171"/>
      <c r="H42" s="33">
        <f t="shared" si="0"/>
        <v>0</v>
      </c>
      <c r="I42" s="505"/>
      <c r="J42" s="505">
        <f t="shared" si="4"/>
        <v>0</v>
      </c>
      <c r="K42" s="499"/>
      <c r="L42" s="499">
        <f t="shared" si="5"/>
        <v>0</v>
      </c>
      <c r="M42" s="39">
        <f t="shared" si="6"/>
        <v>0</v>
      </c>
      <c r="N42" s="163">
        <f t="shared" si="1"/>
        <v>0</v>
      </c>
      <c r="O42" s="172">
        <f t="shared" si="22"/>
        <v>0</v>
      </c>
      <c r="P42" s="521"/>
      <c r="Q42" s="521">
        <f t="shared" si="7"/>
        <v>0</v>
      </c>
      <c r="R42" s="526"/>
      <c r="S42" s="526">
        <f t="shared" si="8"/>
        <v>0</v>
      </c>
      <c r="T42" s="39">
        <f t="shared" si="2"/>
        <v>0</v>
      </c>
      <c r="U42" s="163">
        <f>+ROUND(T42*H42,2)</f>
        <v>0</v>
      </c>
      <c r="V42" s="173">
        <f t="shared" si="23"/>
        <v>0</v>
      </c>
      <c r="W42" s="164"/>
      <c r="X42" s="128" t="s">
        <v>1004</v>
      </c>
      <c r="Y42" s="37">
        <f>+ROUND((O42)*(1+SUMIF($Y$2:$Y$4,X42,$Z$2:$Z$4)),0)</f>
        <v>0</v>
      </c>
      <c r="Z42" s="37">
        <f t="shared" si="21"/>
        <v>0</v>
      </c>
      <c r="AA42" s="166"/>
      <c r="AB42" s="38"/>
      <c r="AC42" s="38"/>
    </row>
    <row r="43" spans="1:29" hidden="1" outlineLevel="2" x14ac:dyDescent="0.25">
      <c r="A43" s="158" t="s">
        <v>1147</v>
      </c>
      <c r="B43" s="159" t="str">
        <f>+B41</f>
        <v>3.2/2</v>
      </c>
      <c r="C43" s="168" t="s">
        <v>1428</v>
      </c>
      <c r="D43" s="174" t="s">
        <v>1429</v>
      </c>
      <c r="E43" s="170"/>
      <c r="F43" s="40"/>
      <c r="G43" s="40"/>
      <c r="H43" s="33">
        <f t="shared" si="0"/>
        <v>0</v>
      </c>
      <c r="I43" s="504"/>
      <c r="J43" s="504">
        <f t="shared" si="4"/>
        <v>0</v>
      </c>
      <c r="K43" s="498"/>
      <c r="L43" s="498">
        <f t="shared" si="5"/>
        <v>0</v>
      </c>
      <c r="M43" s="34">
        <f t="shared" si="6"/>
        <v>0</v>
      </c>
      <c r="N43" s="163">
        <f t="shared" si="1"/>
        <v>0</v>
      </c>
      <c r="O43" s="172">
        <f t="shared" si="22"/>
        <v>0</v>
      </c>
      <c r="P43" s="520"/>
      <c r="Q43" s="520">
        <f t="shared" si="7"/>
        <v>0</v>
      </c>
      <c r="R43" s="525"/>
      <c r="S43" s="525">
        <f t="shared" si="8"/>
        <v>0</v>
      </c>
      <c r="T43" s="34">
        <f t="shared" si="2"/>
        <v>0</v>
      </c>
      <c r="U43" s="163">
        <f>+ROUND(T43*H43,2)</f>
        <v>0</v>
      </c>
      <c r="V43" s="173">
        <f t="shared" si="23"/>
        <v>0</v>
      </c>
      <c r="W43" s="164"/>
      <c r="X43" s="128" t="s">
        <v>1004</v>
      </c>
      <c r="Y43" s="37">
        <f>+ROUND((O43)*(1+SUMIF($Y$2:$Y$4,X43,$Z$2:$Z$4)),0)</f>
        <v>0</v>
      </c>
      <c r="Z43" s="37">
        <f t="shared" si="21"/>
        <v>0</v>
      </c>
      <c r="AA43" s="166"/>
      <c r="AB43" s="38"/>
      <c r="AC43" s="38"/>
    </row>
    <row r="44" spans="1:29" hidden="1" outlineLevel="2" x14ac:dyDescent="0.25">
      <c r="A44" s="158" t="s">
        <v>1149</v>
      </c>
      <c r="B44" s="159" t="str">
        <f>+B42</f>
        <v>3.2/2</v>
      </c>
      <c r="C44" s="168" t="s">
        <v>1430</v>
      </c>
      <c r="D44" s="169" t="s">
        <v>1431</v>
      </c>
      <c r="E44" s="170" t="s">
        <v>66</v>
      </c>
      <c r="F44" s="171"/>
      <c r="G44" s="171"/>
      <c r="H44" s="33">
        <f t="shared" si="0"/>
        <v>0</v>
      </c>
      <c r="I44" s="505"/>
      <c r="J44" s="505">
        <f t="shared" si="4"/>
        <v>0</v>
      </c>
      <c r="K44" s="499"/>
      <c r="L44" s="499">
        <f t="shared" si="5"/>
        <v>0</v>
      </c>
      <c r="M44" s="39">
        <f t="shared" si="6"/>
        <v>0</v>
      </c>
      <c r="N44" s="163">
        <f t="shared" si="1"/>
        <v>0</v>
      </c>
      <c r="O44" s="172">
        <f t="shared" si="22"/>
        <v>0</v>
      </c>
      <c r="P44" s="521"/>
      <c r="Q44" s="521">
        <f t="shared" si="7"/>
        <v>0</v>
      </c>
      <c r="R44" s="526"/>
      <c r="S44" s="526">
        <f t="shared" si="8"/>
        <v>0</v>
      </c>
      <c r="T44" s="39">
        <f t="shared" si="2"/>
        <v>0</v>
      </c>
      <c r="U44" s="163">
        <f>+ROUND(T44*H44,2)</f>
        <v>0</v>
      </c>
      <c r="V44" s="173">
        <f t="shared" si="23"/>
        <v>0</v>
      </c>
      <c r="W44" s="164"/>
      <c r="X44" s="128" t="s">
        <v>1004</v>
      </c>
      <c r="Y44" s="37">
        <f>+ROUND((O44)*(1+SUMIF($Y$2:$Y$4,X44,$Z$2:$Z$4)),0)</f>
        <v>0</v>
      </c>
      <c r="Z44" s="37">
        <f t="shared" si="21"/>
        <v>0</v>
      </c>
      <c r="AA44" s="166"/>
      <c r="AB44" s="38"/>
      <c r="AC44" s="38"/>
    </row>
    <row r="45" spans="1:29" hidden="1" outlineLevel="2" x14ac:dyDescent="0.25">
      <c r="A45" s="158" t="s">
        <v>1149</v>
      </c>
      <c r="B45" s="159" t="str">
        <f>+B44</f>
        <v>3.2/2</v>
      </c>
      <c r="C45" s="168" t="s">
        <v>1432</v>
      </c>
      <c r="D45" s="169" t="s">
        <v>1413</v>
      </c>
      <c r="E45" s="170" t="s">
        <v>66</v>
      </c>
      <c r="F45" s="171"/>
      <c r="G45" s="171"/>
      <c r="H45" s="33">
        <f t="shared" si="0"/>
        <v>0</v>
      </c>
      <c r="I45" s="505"/>
      <c r="J45" s="505">
        <f t="shared" si="4"/>
        <v>0</v>
      </c>
      <c r="K45" s="499"/>
      <c r="L45" s="499">
        <f t="shared" si="5"/>
        <v>0</v>
      </c>
      <c r="M45" s="39">
        <f t="shared" si="6"/>
        <v>0</v>
      </c>
      <c r="N45" s="163">
        <f t="shared" si="1"/>
        <v>0</v>
      </c>
      <c r="O45" s="172">
        <f t="shared" si="22"/>
        <v>0</v>
      </c>
      <c r="P45" s="521"/>
      <c r="Q45" s="521">
        <f t="shared" si="7"/>
        <v>0</v>
      </c>
      <c r="R45" s="526"/>
      <c r="S45" s="526">
        <f t="shared" si="8"/>
        <v>0</v>
      </c>
      <c r="T45" s="39">
        <f t="shared" si="2"/>
        <v>0</v>
      </c>
      <c r="U45" s="163">
        <f>+ROUND(T45*H45,2)</f>
        <v>0</v>
      </c>
      <c r="V45" s="173">
        <f t="shared" si="23"/>
        <v>0</v>
      </c>
      <c r="W45" s="164"/>
      <c r="X45" s="128" t="s">
        <v>1004</v>
      </c>
      <c r="Y45" s="37">
        <f>+ROUND((O45)*(1+SUMIF($Y$2:$Y$4,X45,$Z$2:$Z$4)),0)</f>
        <v>0</v>
      </c>
      <c r="Z45" s="37">
        <f t="shared" si="21"/>
        <v>0</v>
      </c>
      <c r="AA45" s="166"/>
      <c r="AB45" s="38"/>
      <c r="AC45" s="38"/>
    </row>
    <row r="46" spans="1:29" hidden="1" outlineLevel="1" x14ac:dyDescent="0.25">
      <c r="A46" s="506" t="s">
        <v>1022</v>
      </c>
      <c r="B46" s="507" t="str">
        <f>+B45</f>
        <v>3.2/2</v>
      </c>
      <c r="C46" s="508"/>
      <c r="D46" s="509" t="s">
        <v>1023</v>
      </c>
      <c r="E46" s="510"/>
      <c r="F46" s="511"/>
      <c r="G46" s="511"/>
      <c r="H46" s="512"/>
      <c r="I46" s="512"/>
      <c r="J46" s="512">
        <f t="shared" si="4"/>
        <v>0</v>
      </c>
      <c r="K46" s="512"/>
      <c r="L46" s="512">
        <f t="shared" si="5"/>
        <v>0</v>
      </c>
      <c r="M46" s="512">
        <f t="shared" si="6"/>
        <v>0</v>
      </c>
      <c r="N46" s="512">
        <f>SUM(N25:N45)</f>
        <v>0</v>
      </c>
      <c r="O46" s="513">
        <f>SUM(O25:O45)</f>
        <v>0</v>
      </c>
      <c r="P46" s="512"/>
      <c r="Q46" s="512">
        <f t="shared" si="7"/>
        <v>0</v>
      </c>
      <c r="R46" s="512"/>
      <c r="S46" s="512">
        <f t="shared" si="8"/>
        <v>0</v>
      </c>
      <c r="T46" s="512">
        <f t="shared" si="2"/>
        <v>0</v>
      </c>
      <c r="U46" s="512">
        <f>SUM(U25:U45)</f>
        <v>0</v>
      </c>
      <c r="V46" s="513">
        <f>SUM(V25:V45)</f>
        <v>0</v>
      </c>
      <c r="W46" s="507"/>
      <c r="X46" s="514" t="s">
        <v>1004</v>
      </c>
      <c r="Y46" s="515">
        <f>+ROUND((O46)*(1+SUMIF($Y$2:$Y$4,X46,$Z$2:$Z$4)),0)</f>
        <v>0</v>
      </c>
      <c r="Z46" s="515">
        <f>+ROUND((V46)*(1+SUMIF($Y$2:$Y$4,X46,$Z$2:$Z$4)),0)</f>
        <v>0</v>
      </c>
      <c r="AA46" s="166"/>
      <c r="AB46" s="38"/>
      <c r="AC46" s="38"/>
    </row>
    <row r="47" spans="1:29" hidden="1" outlineLevel="1" x14ac:dyDescent="0.25">
      <c r="A47" s="547" t="s">
        <v>1099</v>
      </c>
      <c r="B47" s="159" t="s">
        <v>1433</v>
      </c>
      <c r="C47" s="243">
        <v>2</v>
      </c>
      <c r="D47" s="167" t="s">
        <v>1434</v>
      </c>
      <c r="E47" s="162"/>
      <c r="F47" s="40"/>
      <c r="G47" s="40"/>
      <c r="H47" s="33">
        <f t="shared" si="0"/>
        <v>0</v>
      </c>
      <c r="I47" s="504"/>
      <c r="J47" s="504">
        <f t="shared" si="4"/>
        <v>0</v>
      </c>
      <c r="K47" s="498"/>
      <c r="L47" s="498">
        <f t="shared" si="5"/>
        <v>0</v>
      </c>
      <c r="M47" s="34">
        <f t="shared" si="6"/>
        <v>0</v>
      </c>
      <c r="N47" s="163">
        <f t="shared" si="1"/>
        <v>0</v>
      </c>
      <c r="O47" s="35"/>
      <c r="P47" s="520"/>
      <c r="Q47" s="520">
        <f t="shared" si="7"/>
        <v>0</v>
      </c>
      <c r="R47" s="525"/>
      <c r="S47" s="525">
        <f t="shared" si="8"/>
        <v>0</v>
      </c>
      <c r="T47" s="34">
        <f t="shared" si="2"/>
        <v>0</v>
      </c>
      <c r="U47" s="163">
        <f>+ROUND(T47*H47,2)</f>
        <v>0</v>
      </c>
      <c r="V47" s="36"/>
      <c r="W47" s="164"/>
      <c r="X47" s="128" t="s">
        <v>1004</v>
      </c>
      <c r="Y47" s="37">
        <f>+ROUND((O47)*(1+SUMIF($Y$2:$Y$4,X47,$Z$2:$Z$4)),0)</f>
        <v>0</v>
      </c>
      <c r="Z47" s="37">
        <f t="shared" ref="Z47:Z71" si="27">+ROUND((V47)*(1+SUMIF($Y$2:$Y$4,X47,$Z$2:$Z$4)),0)</f>
        <v>0</v>
      </c>
      <c r="AA47" s="166"/>
      <c r="AB47" s="38"/>
      <c r="AC47" s="38"/>
    </row>
    <row r="48" spans="1:29" hidden="1" outlineLevel="2" x14ac:dyDescent="0.25">
      <c r="A48" s="547" t="s">
        <v>1099</v>
      </c>
      <c r="B48" s="159" t="str">
        <f>+B47</f>
        <v>3.2/3</v>
      </c>
      <c r="C48" s="244">
        <v>2.4</v>
      </c>
      <c r="D48" s="161" t="s">
        <v>1435</v>
      </c>
      <c r="E48" s="170"/>
      <c r="F48" s="40"/>
      <c r="G48" s="40"/>
      <c r="H48" s="33">
        <f t="shared" si="0"/>
        <v>0</v>
      </c>
      <c r="I48" s="504"/>
      <c r="J48" s="504">
        <f t="shared" si="4"/>
        <v>0</v>
      </c>
      <c r="K48" s="498"/>
      <c r="L48" s="498">
        <f t="shared" si="5"/>
        <v>0</v>
      </c>
      <c r="M48" s="34">
        <f t="shared" si="6"/>
        <v>0</v>
      </c>
      <c r="N48" s="163">
        <f t="shared" si="1"/>
        <v>0</v>
      </c>
      <c r="O48" s="172">
        <f t="shared" ref="O48:O71" si="28">N48</f>
        <v>0</v>
      </c>
      <c r="P48" s="520"/>
      <c r="Q48" s="520">
        <f t="shared" si="7"/>
        <v>0</v>
      </c>
      <c r="R48" s="525"/>
      <c r="S48" s="525">
        <f t="shared" si="8"/>
        <v>0</v>
      </c>
      <c r="T48" s="34">
        <f t="shared" si="2"/>
        <v>0</v>
      </c>
      <c r="U48" s="163">
        <f>+ROUND(T48*H48,2)</f>
        <v>0</v>
      </c>
      <c r="V48" s="173">
        <f t="shared" ref="V48:V71" si="29">U48</f>
        <v>0</v>
      </c>
      <c r="W48" s="164"/>
      <c r="X48" s="128" t="s">
        <v>1004</v>
      </c>
      <c r="Y48" s="37">
        <f>+ROUND((O48)*(1+SUMIF($Y$2:$Y$4,X48,$Z$2:$Z$4)),0)</f>
        <v>0</v>
      </c>
      <c r="Z48" s="37">
        <f t="shared" si="27"/>
        <v>0</v>
      </c>
      <c r="AA48" s="166"/>
      <c r="AB48" s="38"/>
      <c r="AC48" s="38"/>
    </row>
    <row r="49" spans="1:29" hidden="1" outlineLevel="2" x14ac:dyDescent="0.25">
      <c r="A49" s="547" t="s">
        <v>1099</v>
      </c>
      <c r="B49" s="159" t="str">
        <f>+B48</f>
        <v>3.2/3</v>
      </c>
      <c r="C49" s="168" t="s">
        <v>1436</v>
      </c>
      <c r="D49" s="169" t="s">
        <v>1437</v>
      </c>
      <c r="E49" s="170"/>
      <c r="F49" s="40"/>
      <c r="G49" s="40"/>
      <c r="H49" s="33">
        <f t="shared" si="0"/>
        <v>0</v>
      </c>
      <c r="I49" s="504"/>
      <c r="J49" s="504">
        <f t="shared" si="4"/>
        <v>0</v>
      </c>
      <c r="K49" s="498"/>
      <c r="L49" s="498">
        <f t="shared" si="5"/>
        <v>0</v>
      </c>
      <c r="M49" s="34">
        <f t="shared" si="6"/>
        <v>0</v>
      </c>
      <c r="N49" s="163">
        <f t="shared" si="1"/>
        <v>0</v>
      </c>
      <c r="O49" s="172">
        <f t="shared" si="28"/>
        <v>0</v>
      </c>
      <c r="P49" s="520"/>
      <c r="Q49" s="520">
        <f t="shared" si="7"/>
        <v>0</v>
      </c>
      <c r="R49" s="525"/>
      <c r="S49" s="525">
        <f t="shared" si="8"/>
        <v>0</v>
      </c>
      <c r="T49" s="34">
        <f t="shared" si="2"/>
        <v>0</v>
      </c>
      <c r="U49" s="163">
        <f>+ROUND(T49*H49,2)</f>
        <v>0</v>
      </c>
      <c r="V49" s="173">
        <f t="shared" si="29"/>
        <v>0</v>
      </c>
      <c r="W49" s="164"/>
      <c r="X49" s="128" t="s">
        <v>1004</v>
      </c>
      <c r="Y49" s="37">
        <f>+ROUND((O49)*(1+SUMIF($Y$2:$Y$4,X49,$Z$2:$Z$4)),0)</f>
        <v>0</v>
      </c>
      <c r="Z49" s="37">
        <f t="shared" si="27"/>
        <v>0</v>
      </c>
      <c r="AA49" s="166"/>
      <c r="AB49" s="38"/>
      <c r="AC49" s="38"/>
    </row>
    <row r="50" spans="1:29" hidden="1" outlineLevel="2" x14ac:dyDescent="0.25">
      <c r="A50" s="547" t="s">
        <v>1099</v>
      </c>
      <c r="B50" s="159" t="str">
        <f>+B49</f>
        <v>3.2/3</v>
      </c>
      <c r="C50" s="168" t="s">
        <v>1438</v>
      </c>
      <c r="D50" s="181" t="s">
        <v>1439</v>
      </c>
      <c r="E50" s="170"/>
      <c r="F50" s="171"/>
      <c r="G50" s="171"/>
      <c r="H50" s="33">
        <f t="shared" si="0"/>
        <v>0</v>
      </c>
      <c r="I50" s="505"/>
      <c r="J50" s="505">
        <f t="shared" si="4"/>
        <v>0</v>
      </c>
      <c r="K50" s="499"/>
      <c r="L50" s="499">
        <f t="shared" si="5"/>
        <v>0</v>
      </c>
      <c r="M50" s="39">
        <f t="shared" si="6"/>
        <v>0</v>
      </c>
      <c r="N50" s="163">
        <f t="shared" si="1"/>
        <v>0</v>
      </c>
      <c r="O50" s="172">
        <f t="shared" si="28"/>
        <v>0</v>
      </c>
      <c r="P50" s="521"/>
      <c r="Q50" s="521">
        <f t="shared" si="7"/>
        <v>0</v>
      </c>
      <c r="R50" s="526"/>
      <c r="S50" s="526">
        <f t="shared" si="8"/>
        <v>0</v>
      </c>
      <c r="T50" s="39">
        <f t="shared" si="2"/>
        <v>0</v>
      </c>
      <c r="U50" s="163">
        <f>+ROUND(T50*H50,2)</f>
        <v>0</v>
      </c>
      <c r="V50" s="173">
        <f t="shared" si="29"/>
        <v>0</v>
      </c>
      <c r="W50" s="164"/>
      <c r="X50" s="128" t="s">
        <v>1004</v>
      </c>
      <c r="Y50" s="37">
        <f>+ROUND((O50)*(1+SUMIF($Y$2:$Y$4,X50,$Z$2:$Z$4)),0)</f>
        <v>0</v>
      </c>
      <c r="Z50" s="37">
        <f t="shared" si="27"/>
        <v>0</v>
      </c>
      <c r="AA50" s="166"/>
      <c r="AB50" s="38"/>
      <c r="AC50" s="38"/>
    </row>
    <row r="51" spans="1:29" s="546" customFormat="1" hidden="1" outlineLevel="3" x14ac:dyDescent="0.25">
      <c r="A51" s="547" t="s">
        <v>1099</v>
      </c>
      <c r="B51" s="548" t="str">
        <f t="shared" ref="B51:B57" si="30">+B50</f>
        <v>3.2/3</v>
      </c>
      <c r="C51" s="529"/>
      <c r="D51" s="528" t="s">
        <v>1395</v>
      </c>
      <c r="E51" s="530" t="s">
        <v>2068</v>
      </c>
      <c r="F51" s="531"/>
      <c r="G51" s="531"/>
      <c r="H51" s="532">
        <f t="shared" ref="H51:H53" si="31">+SUM(F51:G51)</f>
        <v>0</v>
      </c>
      <c r="I51" s="533"/>
      <c r="J51" s="533">
        <f t="shared" si="4"/>
        <v>0</v>
      </c>
      <c r="K51" s="534"/>
      <c r="L51" s="534">
        <f t="shared" si="5"/>
        <v>0</v>
      </c>
      <c r="M51" s="535">
        <f t="shared" ref="M51:M53" si="32">+J51+L51</f>
        <v>0</v>
      </c>
      <c r="N51" s="536">
        <f t="shared" ref="N51:N53" si="33">+ROUND(M51*H51,2)</f>
        <v>0</v>
      </c>
      <c r="O51" s="537">
        <f t="shared" si="28"/>
        <v>0</v>
      </c>
      <c r="P51" s="538"/>
      <c r="Q51" s="538">
        <f t="shared" si="7"/>
        <v>0</v>
      </c>
      <c r="R51" s="539"/>
      <c r="S51" s="539">
        <f t="shared" si="8"/>
        <v>0</v>
      </c>
      <c r="T51" s="535">
        <f t="shared" ref="T51:T53" si="34">+Q51+S51</f>
        <v>0</v>
      </c>
      <c r="U51" s="536">
        <f t="shared" ref="U51:U53" si="35">+ROUND(T51*H51,2)</f>
        <v>0</v>
      </c>
      <c r="V51" s="540">
        <f t="shared" si="29"/>
        <v>0</v>
      </c>
      <c r="W51" s="541"/>
      <c r="X51" s="542" t="s">
        <v>1004</v>
      </c>
      <c r="Y51" s="543">
        <f t="shared" ref="Y51:Y53" si="36">+ROUND((O51)*(1+SUMIF($Y$2:$Y$4,X51,$Z$2:$Z$4)),0)</f>
        <v>0</v>
      </c>
      <c r="Z51" s="543">
        <f t="shared" si="27"/>
        <v>0</v>
      </c>
      <c r="AA51" s="544"/>
      <c r="AB51" s="545"/>
      <c r="AC51" s="545"/>
    </row>
    <row r="52" spans="1:29" s="546" customFormat="1" hidden="1" outlineLevel="3" x14ac:dyDescent="0.25">
      <c r="A52" s="547" t="s">
        <v>1103</v>
      </c>
      <c r="B52" s="548" t="str">
        <f t="shared" si="30"/>
        <v>3.2/3</v>
      </c>
      <c r="C52" s="529"/>
      <c r="D52" s="528" t="s">
        <v>1397</v>
      </c>
      <c r="E52" s="530" t="s">
        <v>1612</v>
      </c>
      <c r="F52" s="531"/>
      <c r="G52" s="531"/>
      <c r="H52" s="532">
        <f t="shared" si="31"/>
        <v>0</v>
      </c>
      <c r="I52" s="533"/>
      <c r="J52" s="533">
        <f t="shared" si="4"/>
        <v>0</v>
      </c>
      <c r="K52" s="534"/>
      <c r="L52" s="534">
        <f t="shared" si="5"/>
        <v>0</v>
      </c>
      <c r="M52" s="535">
        <f t="shared" si="32"/>
        <v>0</v>
      </c>
      <c r="N52" s="536">
        <f t="shared" si="33"/>
        <v>0</v>
      </c>
      <c r="O52" s="537">
        <f t="shared" si="28"/>
        <v>0</v>
      </c>
      <c r="P52" s="538"/>
      <c r="Q52" s="538">
        <f t="shared" si="7"/>
        <v>0</v>
      </c>
      <c r="R52" s="539"/>
      <c r="S52" s="539">
        <f t="shared" si="8"/>
        <v>0</v>
      </c>
      <c r="T52" s="535">
        <f t="shared" si="34"/>
        <v>0</v>
      </c>
      <c r="U52" s="536">
        <f t="shared" si="35"/>
        <v>0</v>
      </c>
      <c r="V52" s="540">
        <f t="shared" si="29"/>
        <v>0</v>
      </c>
      <c r="W52" s="541"/>
      <c r="X52" s="542" t="s">
        <v>1004</v>
      </c>
      <c r="Y52" s="543">
        <f t="shared" si="36"/>
        <v>0</v>
      </c>
      <c r="Z52" s="543">
        <f t="shared" si="27"/>
        <v>0</v>
      </c>
      <c r="AA52" s="544"/>
      <c r="AB52" s="545"/>
      <c r="AC52" s="545"/>
    </row>
    <row r="53" spans="1:29" s="546" customFormat="1" hidden="1" outlineLevel="3" x14ac:dyDescent="0.25">
      <c r="A53" s="547" t="s">
        <v>1107</v>
      </c>
      <c r="B53" s="548" t="str">
        <f t="shared" si="30"/>
        <v>3.2/3</v>
      </c>
      <c r="C53" s="529"/>
      <c r="D53" s="528" t="s">
        <v>1399</v>
      </c>
      <c r="E53" s="530"/>
      <c r="F53" s="531"/>
      <c r="G53" s="531"/>
      <c r="H53" s="532">
        <f t="shared" si="31"/>
        <v>0</v>
      </c>
      <c r="I53" s="533"/>
      <c r="J53" s="533">
        <f t="shared" si="4"/>
        <v>0</v>
      </c>
      <c r="K53" s="534"/>
      <c r="L53" s="534">
        <f t="shared" si="5"/>
        <v>0</v>
      </c>
      <c r="M53" s="535">
        <f t="shared" si="32"/>
        <v>0</v>
      </c>
      <c r="N53" s="536">
        <f t="shared" si="33"/>
        <v>0</v>
      </c>
      <c r="O53" s="537">
        <f t="shared" si="28"/>
        <v>0</v>
      </c>
      <c r="P53" s="538"/>
      <c r="Q53" s="538">
        <f t="shared" si="7"/>
        <v>0</v>
      </c>
      <c r="R53" s="539"/>
      <c r="S53" s="539">
        <f t="shared" si="8"/>
        <v>0</v>
      </c>
      <c r="T53" s="535">
        <f t="shared" si="34"/>
        <v>0</v>
      </c>
      <c r="U53" s="536">
        <f t="shared" si="35"/>
        <v>0</v>
      </c>
      <c r="V53" s="540">
        <f t="shared" si="29"/>
        <v>0</v>
      </c>
      <c r="W53" s="541"/>
      <c r="X53" s="542" t="s">
        <v>1004</v>
      </c>
      <c r="Y53" s="543">
        <f t="shared" si="36"/>
        <v>0</v>
      </c>
      <c r="Z53" s="543">
        <f t="shared" si="27"/>
        <v>0</v>
      </c>
      <c r="AA53" s="544"/>
      <c r="AB53" s="545"/>
      <c r="AC53" s="545"/>
    </row>
    <row r="54" spans="1:29" hidden="1" outlineLevel="2" x14ac:dyDescent="0.25">
      <c r="A54" s="547" t="s">
        <v>1099</v>
      </c>
      <c r="B54" s="159" t="str">
        <f>+B50</f>
        <v>3.2/3</v>
      </c>
      <c r="C54" s="168" t="s">
        <v>1440</v>
      </c>
      <c r="D54" s="181" t="s">
        <v>1441</v>
      </c>
      <c r="E54" s="170"/>
      <c r="F54" s="171"/>
      <c r="G54" s="171"/>
      <c r="H54" s="33">
        <f t="shared" si="0"/>
        <v>0</v>
      </c>
      <c r="I54" s="505"/>
      <c r="J54" s="505">
        <f t="shared" si="4"/>
        <v>0</v>
      </c>
      <c r="K54" s="499"/>
      <c r="L54" s="499">
        <f t="shared" si="5"/>
        <v>0</v>
      </c>
      <c r="M54" s="39">
        <f t="shared" si="6"/>
        <v>0</v>
      </c>
      <c r="N54" s="163">
        <f t="shared" si="1"/>
        <v>0</v>
      </c>
      <c r="O54" s="172">
        <f t="shared" si="28"/>
        <v>0</v>
      </c>
      <c r="P54" s="521"/>
      <c r="Q54" s="521">
        <f t="shared" si="7"/>
        <v>0</v>
      </c>
      <c r="R54" s="526"/>
      <c r="S54" s="526">
        <f t="shared" si="8"/>
        <v>0</v>
      </c>
      <c r="T54" s="39">
        <f t="shared" si="2"/>
        <v>0</v>
      </c>
      <c r="U54" s="163">
        <f>+ROUND(T54*H54,2)</f>
        <v>0</v>
      </c>
      <c r="V54" s="173">
        <f t="shared" si="29"/>
        <v>0</v>
      </c>
      <c r="W54" s="164"/>
      <c r="X54" s="128" t="s">
        <v>1004</v>
      </c>
      <c r="Y54" s="37">
        <f>+ROUND((O54)*(1+SUMIF($Y$2:$Y$4,X54,$Z$2:$Z$4)),0)</f>
        <v>0</v>
      </c>
      <c r="Z54" s="37">
        <f t="shared" si="27"/>
        <v>0</v>
      </c>
      <c r="AA54" s="166"/>
      <c r="AB54" s="38"/>
      <c r="AC54" s="38"/>
    </row>
    <row r="55" spans="1:29" s="546" customFormat="1" hidden="1" outlineLevel="3" x14ac:dyDescent="0.25">
      <c r="A55" s="547" t="s">
        <v>1099</v>
      </c>
      <c r="B55" s="548" t="str">
        <f t="shared" si="30"/>
        <v>3.2/3</v>
      </c>
      <c r="C55" s="529"/>
      <c r="D55" s="528" t="s">
        <v>1395</v>
      </c>
      <c r="E55" s="530" t="s">
        <v>2068</v>
      </c>
      <c r="F55" s="531"/>
      <c r="G55" s="531"/>
      <c r="H55" s="532">
        <f t="shared" si="0"/>
        <v>0</v>
      </c>
      <c r="I55" s="533"/>
      <c r="J55" s="533">
        <f t="shared" si="4"/>
        <v>0</v>
      </c>
      <c r="K55" s="534"/>
      <c r="L55" s="534">
        <f t="shared" si="5"/>
        <v>0</v>
      </c>
      <c r="M55" s="535">
        <f t="shared" si="6"/>
        <v>0</v>
      </c>
      <c r="N55" s="536">
        <f t="shared" si="1"/>
        <v>0</v>
      </c>
      <c r="O55" s="537">
        <f t="shared" ref="O55:O57" si="37">N55</f>
        <v>0</v>
      </c>
      <c r="P55" s="538"/>
      <c r="Q55" s="538">
        <f t="shared" si="7"/>
        <v>0</v>
      </c>
      <c r="R55" s="539"/>
      <c r="S55" s="539">
        <f t="shared" si="8"/>
        <v>0</v>
      </c>
      <c r="T55" s="535">
        <f t="shared" si="2"/>
        <v>0</v>
      </c>
      <c r="U55" s="536">
        <f t="shared" ref="U55:U57" si="38">+ROUND(T55*H55,2)</f>
        <v>0</v>
      </c>
      <c r="V55" s="540">
        <f t="shared" ref="V55:V57" si="39">U55</f>
        <v>0</v>
      </c>
      <c r="W55" s="541"/>
      <c r="X55" s="542" t="s">
        <v>1004</v>
      </c>
      <c r="Y55" s="543">
        <f t="shared" ref="Y55:Y57" si="40">+ROUND((O55)*(1+SUMIF($Y$2:$Y$4,X55,$Z$2:$Z$4)),0)</f>
        <v>0</v>
      </c>
      <c r="Z55" s="543">
        <f t="shared" ref="Z55:Z57" si="41">+ROUND((V55)*(1+SUMIF($Y$2:$Y$4,X55,$Z$2:$Z$4)),0)</f>
        <v>0</v>
      </c>
      <c r="AA55" s="544"/>
      <c r="AB55" s="545"/>
      <c r="AC55" s="545"/>
    </row>
    <row r="56" spans="1:29" s="546" customFormat="1" hidden="1" outlineLevel="3" x14ac:dyDescent="0.25">
      <c r="A56" s="547" t="s">
        <v>1103</v>
      </c>
      <c r="B56" s="548" t="str">
        <f t="shared" si="30"/>
        <v>3.2/3</v>
      </c>
      <c r="C56" s="529"/>
      <c r="D56" s="528" t="s">
        <v>1397</v>
      </c>
      <c r="E56" s="530" t="s">
        <v>1612</v>
      </c>
      <c r="F56" s="531"/>
      <c r="G56" s="531"/>
      <c r="H56" s="532">
        <f t="shared" si="0"/>
        <v>0</v>
      </c>
      <c r="I56" s="533"/>
      <c r="J56" s="533">
        <f t="shared" si="4"/>
        <v>0</v>
      </c>
      <c r="K56" s="534"/>
      <c r="L56" s="534">
        <f t="shared" si="5"/>
        <v>0</v>
      </c>
      <c r="M56" s="535">
        <f t="shared" si="6"/>
        <v>0</v>
      </c>
      <c r="N56" s="536">
        <f t="shared" si="1"/>
        <v>0</v>
      </c>
      <c r="O56" s="537">
        <f t="shared" si="37"/>
        <v>0</v>
      </c>
      <c r="P56" s="538"/>
      <c r="Q56" s="538">
        <f t="shared" si="7"/>
        <v>0</v>
      </c>
      <c r="R56" s="539"/>
      <c r="S56" s="539">
        <f t="shared" si="8"/>
        <v>0</v>
      </c>
      <c r="T56" s="535">
        <f t="shared" si="2"/>
        <v>0</v>
      </c>
      <c r="U56" s="536">
        <f t="shared" si="38"/>
        <v>0</v>
      </c>
      <c r="V56" s="540">
        <f t="shared" si="39"/>
        <v>0</v>
      </c>
      <c r="W56" s="541"/>
      <c r="X56" s="542" t="s">
        <v>1004</v>
      </c>
      <c r="Y56" s="543">
        <f t="shared" si="40"/>
        <v>0</v>
      </c>
      <c r="Z56" s="543">
        <f t="shared" si="41"/>
        <v>0</v>
      </c>
      <c r="AA56" s="544"/>
      <c r="AB56" s="545"/>
      <c r="AC56" s="545"/>
    </row>
    <row r="57" spans="1:29" s="546" customFormat="1" hidden="1" outlineLevel="3" x14ac:dyDescent="0.25">
      <c r="A57" s="547" t="s">
        <v>1107</v>
      </c>
      <c r="B57" s="548" t="str">
        <f t="shared" si="30"/>
        <v>3.2/3</v>
      </c>
      <c r="C57" s="529"/>
      <c r="D57" s="528" t="s">
        <v>1399</v>
      </c>
      <c r="E57" s="530"/>
      <c r="F57" s="531"/>
      <c r="G57" s="531"/>
      <c r="H57" s="532">
        <f t="shared" si="0"/>
        <v>0</v>
      </c>
      <c r="I57" s="533"/>
      <c r="J57" s="533">
        <f t="shared" si="4"/>
        <v>0</v>
      </c>
      <c r="K57" s="534"/>
      <c r="L57" s="534">
        <f t="shared" si="5"/>
        <v>0</v>
      </c>
      <c r="M57" s="535">
        <f t="shared" si="6"/>
        <v>0</v>
      </c>
      <c r="N57" s="536">
        <f t="shared" si="1"/>
        <v>0</v>
      </c>
      <c r="O57" s="537">
        <f t="shared" si="37"/>
        <v>0</v>
      </c>
      <c r="P57" s="538"/>
      <c r="Q57" s="538">
        <f t="shared" si="7"/>
        <v>0</v>
      </c>
      <c r="R57" s="539"/>
      <c r="S57" s="539">
        <f t="shared" si="8"/>
        <v>0</v>
      </c>
      <c r="T57" s="535">
        <f t="shared" si="2"/>
        <v>0</v>
      </c>
      <c r="U57" s="536">
        <f t="shared" si="38"/>
        <v>0</v>
      </c>
      <c r="V57" s="540">
        <f t="shared" si="39"/>
        <v>0</v>
      </c>
      <c r="W57" s="541"/>
      <c r="X57" s="542" t="s">
        <v>1004</v>
      </c>
      <c r="Y57" s="543">
        <f t="shared" si="40"/>
        <v>0</v>
      </c>
      <c r="Z57" s="543">
        <f t="shared" si="41"/>
        <v>0</v>
      </c>
      <c r="AA57" s="544"/>
      <c r="AB57" s="545"/>
      <c r="AC57" s="545"/>
    </row>
    <row r="58" spans="1:29" hidden="1" outlineLevel="2" x14ac:dyDescent="0.25">
      <c r="A58" s="158" t="s">
        <v>1182</v>
      </c>
      <c r="B58" s="159" t="str">
        <f>+B54</f>
        <v>3.2/3</v>
      </c>
      <c r="C58" s="168" t="s">
        <v>1442</v>
      </c>
      <c r="D58" s="169" t="s">
        <v>1443</v>
      </c>
      <c r="E58" s="170"/>
      <c r="F58" s="40"/>
      <c r="G58" s="40"/>
      <c r="H58" s="33">
        <f t="shared" si="0"/>
        <v>0</v>
      </c>
      <c r="I58" s="504"/>
      <c r="J58" s="504">
        <f t="shared" si="4"/>
        <v>0</v>
      </c>
      <c r="K58" s="498"/>
      <c r="L58" s="498">
        <f t="shared" si="5"/>
        <v>0</v>
      </c>
      <c r="M58" s="34">
        <f t="shared" si="6"/>
        <v>0</v>
      </c>
      <c r="N58" s="163">
        <f t="shared" si="1"/>
        <v>0</v>
      </c>
      <c r="O58" s="172">
        <f t="shared" si="28"/>
        <v>0</v>
      </c>
      <c r="P58" s="520"/>
      <c r="Q58" s="520">
        <f t="shared" si="7"/>
        <v>0</v>
      </c>
      <c r="R58" s="525"/>
      <c r="S58" s="525">
        <f t="shared" si="8"/>
        <v>0</v>
      </c>
      <c r="T58" s="34">
        <f t="shared" si="2"/>
        <v>0</v>
      </c>
      <c r="U58" s="163">
        <f>+ROUND(T58*H58,2)</f>
        <v>0</v>
      </c>
      <c r="V58" s="173">
        <f t="shared" si="29"/>
        <v>0</v>
      </c>
      <c r="W58" s="164"/>
      <c r="X58" s="128" t="s">
        <v>1004</v>
      </c>
      <c r="Y58" s="37">
        <f>+ROUND((O58)*(1+SUMIF($Y$2:$Y$4,X58,$Z$2:$Z$4)),0)</f>
        <v>0</v>
      </c>
      <c r="Z58" s="37">
        <f t="shared" si="27"/>
        <v>0</v>
      </c>
      <c r="AA58" s="166"/>
      <c r="AB58" s="38"/>
      <c r="AC58" s="38"/>
    </row>
    <row r="59" spans="1:29" hidden="1" outlineLevel="2" x14ac:dyDescent="0.25">
      <c r="A59" s="158" t="s">
        <v>1182</v>
      </c>
      <c r="B59" s="159" t="str">
        <f>+B54</f>
        <v>3.2/3</v>
      </c>
      <c r="C59" s="168" t="s">
        <v>1444</v>
      </c>
      <c r="D59" s="181" t="s">
        <v>1445</v>
      </c>
      <c r="E59" s="170"/>
      <c r="F59" s="171"/>
      <c r="G59" s="171"/>
      <c r="H59" s="33">
        <f t="shared" si="0"/>
        <v>0</v>
      </c>
      <c r="I59" s="505"/>
      <c r="J59" s="505">
        <f t="shared" si="4"/>
        <v>0</v>
      </c>
      <c r="K59" s="499"/>
      <c r="L59" s="499">
        <f t="shared" si="5"/>
        <v>0</v>
      </c>
      <c r="M59" s="39">
        <f t="shared" si="6"/>
        <v>0</v>
      </c>
      <c r="N59" s="163">
        <f t="shared" si="1"/>
        <v>0</v>
      </c>
      <c r="O59" s="172">
        <f t="shared" si="28"/>
        <v>0</v>
      </c>
      <c r="P59" s="521"/>
      <c r="Q59" s="521">
        <f t="shared" si="7"/>
        <v>0</v>
      </c>
      <c r="R59" s="526"/>
      <c r="S59" s="526">
        <f t="shared" si="8"/>
        <v>0</v>
      </c>
      <c r="T59" s="39">
        <f t="shared" si="2"/>
        <v>0</v>
      </c>
      <c r="U59" s="163">
        <f>+ROUND(T59*H59,2)</f>
        <v>0</v>
      </c>
      <c r="V59" s="173">
        <f t="shared" si="29"/>
        <v>0</v>
      </c>
      <c r="W59" s="164"/>
      <c r="X59" s="128" t="s">
        <v>1004</v>
      </c>
      <c r="Y59" s="37">
        <f>+ROUND((O59)*(1+SUMIF($Y$2:$Y$4,X59,$Z$2:$Z$4)),0)</f>
        <v>0</v>
      </c>
      <c r="Z59" s="37">
        <f t="shared" si="27"/>
        <v>0</v>
      </c>
      <c r="AA59" s="166"/>
      <c r="AB59" s="38"/>
      <c r="AC59" s="38"/>
    </row>
    <row r="60" spans="1:29" hidden="1" outlineLevel="2" x14ac:dyDescent="0.25">
      <c r="A60" s="158" t="s">
        <v>1182</v>
      </c>
      <c r="B60" s="159" t="str">
        <f>+B58</f>
        <v>3.2/3</v>
      </c>
      <c r="C60" s="168" t="s">
        <v>1446</v>
      </c>
      <c r="D60" s="181" t="s">
        <v>1447</v>
      </c>
      <c r="E60" s="170"/>
      <c r="F60" s="171"/>
      <c r="G60" s="171"/>
      <c r="H60" s="33">
        <f t="shared" si="0"/>
        <v>0</v>
      </c>
      <c r="I60" s="505"/>
      <c r="J60" s="505">
        <f t="shared" si="4"/>
        <v>0</v>
      </c>
      <c r="K60" s="499"/>
      <c r="L60" s="499">
        <f t="shared" si="5"/>
        <v>0</v>
      </c>
      <c r="M60" s="39">
        <f t="shared" si="6"/>
        <v>0</v>
      </c>
      <c r="N60" s="163">
        <f t="shared" si="1"/>
        <v>0</v>
      </c>
      <c r="O60" s="172">
        <f t="shared" si="28"/>
        <v>0</v>
      </c>
      <c r="P60" s="521"/>
      <c r="Q60" s="521">
        <f t="shared" si="7"/>
        <v>0</v>
      </c>
      <c r="R60" s="526"/>
      <c r="S60" s="526">
        <f t="shared" si="8"/>
        <v>0</v>
      </c>
      <c r="T60" s="39">
        <f t="shared" si="2"/>
        <v>0</v>
      </c>
      <c r="U60" s="163">
        <f>+ROUND(T60*H60,2)</f>
        <v>0</v>
      </c>
      <c r="V60" s="173">
        <f t="shared" si="29"/>
        <v>0</v>
      </c>
      <c r="W60" s="164"/>
      <c r="X60" s="128" t="s">
        <v>1004</v>
      </c>
      <c r="Y60" s="37">
        <f>+ROUND((O60)*(1+SUMIF($Y$2:$Y$4,X60,$Z$2:$Z$4)),0)</f>
        <v>0</v>
      </c>
      <c r="Z60" s="37">
        <f t="shared" si="27"/>
        <v>0</v>
      </c>
      <c r="AA60" s="166"/>
      <c r="AB60" s="38"/>
      <c r="AC60" s="38"/>
    </row>
    <row r="61" spans="1:29" hidden="1" outlineLevel="2" x14ac:dyDescent="0.25">
      <c r="A61" s="158" t="s">
        <v>1255</v>
      </c>
      <c r="B61" s="159" t="str">
        <f>+B60</f>
        <v>3.2/3</v>
      </c>
      <c r="C61" s="168" t="s">
        <v>1448</v>
      </c>
      <c r="D61" s="169" t="s">
        <v>1449</v>
      </c>
      <c r="E61" s="170"/>
      <c r="F61" s="40"/>
      <c r="G61" s="40"/>
      <c r="H61" s="33">
        <f t="shared" si="0"/>
        <v>0</v>
      </c>
      <c r="I61" s="504"/>
      <c r="J61" s="504">
        <f t="shared" si="4"/>
        <v>0</v>
      </c>
      <c r="K61" s="498"/>
      <c r="L61" s="498">
        <f t="shared" si="5"/>
        <v>0</v>
      </c>
      <c r="M61" s="34">
        <f t="shared" si="6"/>
        <v>0</v>
      </c>
      <c r="N61" s="163">
        <f t="shared" si="1"/>
        <v>0</v>
      </c>
      <c r="O61" s="172">
        <f t="shared" si="28"/>
        <v>0</v>
      </c>
      <c r="P61" s="520"/>
      <c r="Q61" s="520">
        <f t="shared" si="7"/>
        <v>0</v>
      </c>
      <c r="R61" s="525"/>
      <c r="S61" s="525">
        <f t="shared" si="8"/>
        <v>0</v>
      </c>
      <c r="T61" s="34">
        <f t="shared" si="2"/>
        <v>0</v>
      </c>
      <c r="U61" s="163">
        <f>+ROUND(T61*H61,2)</f>
        <v>0</v>
      </c>
      <c r="V61" s="173">
        <f t="shared" si="29"/>
        <v>0</v>
      </c>
      <c r="W61" s="164"/>
      <c r="X61" s="128" t="s">
        <v>1004</v>
      </c>
      <c r="Y61" s="37">
        <f>+ROUND((O61)*(1+SUMIF($Y$2:$Y$4,X61,$Z$2:$Z$4)),0)</f>
        <v>0</v>
      </c>
      <c r="Z61" s="37">
        <f t="shared" si="27"/>
        <v>0</v>
      </c>
      <c r="AA61" s="166"/>
      <c r="AB61" s="38"/>
      <c r="AC61" s="38"/>
    </row>
    <row r="62" spans="1:29" hidden="1" outlineLevel="2" x14ac:dyDescent="0.25">
      <c r="A62" s="158" t="s">
        <v>1255</v>
      </c>
      <c r="B62" s="159" t="str">
        <f>+B60</f>
        <v>3.2/3</v>
      </c>
      <c r="C62" s="168" t="s">
        <v>1450</v>
      </c>
      <c r="D62" s="181" t="s">
        <v>1451</v>
      </c>
      <c r="E62" s="170" t="s">
        <v>66</v>
      </c>
      <c r="F62" s="171"/>
      <c r="G62" s="171"/>
      <c r="H62" s="33">
        <f t="shared" si="0"/>
        <v>0</v>
      </c>
      <c r="I62" s="505"/>
      <c r="J62" s="505">
        <f t="shared" si="4"/>
        <v>0</v>
      </c>
      <c r="K62" s="499"/>
      <c r="L62" s="499">
        <f t="shared" si="5"/>
        <v>0</v>
      </c>
      <c r="M62" s="39">
        <f t="shared" si="6"/>
        <v>0</v>
      </c>
      <c r="N62" s="163">
        <f t="shared" si="1"/>
        <v>0</v>
      </c>
      <c r="O62" s="172">
        <f t="shared" si="28"/>
        <v>0</v>
      </c>
      <c r="P62" s="521"/>
      <c r="Q62" s="521">
        <f t="shared" si="7"/>
        <v>0</v>
      </c>
      <c r="R62" s="526"/>
      <c r="S62" s="526">
        <f t="shared" si="8"/>
        <v>0</v>
      </c>
      <c r="T62" s="39">
        <f t="shared" si="2"/>
        <v>0</v>
      </c>
      <c r="U62" s="163">
        <f>+ROUND(T62*H62,2)</f>
        <v>0</v>
      </c>
      <c r="V62" s="173">
        <f t="shared" si="29"/>
        <v>0</v>
      </c>
      <c r="W62" s="164"/>
      <c r="X62" s="128" t="s">
        <v>1004</v>
      </c>
      <c r="Y62" s="37">
        <f>+ROUND((O62)*(1+SUMIF($Y$2:$Y$4,X62,$Z$2:$Z$4)),0)</f>
        <v>0</v>
      </c>
      <c r="Z62" s="37">
        <f t="shared" si="27"/>
        <v>0</v>
      </c>
      <c r="AA62" s="166"/>
      <c r="AB62" s="38"/>
      <c r="AC62" s="38"/>
    </row>
    <row r="63" spans="1:29" hidden="1" outlineLevel="2" x14ac:dyDescent="0.25">
      <c r="A63" s="158" t="s">
        <v>1255</v>
      </c>
      <c r="B63" s="159" t="str">
        <f>+B62</f>
        <v>3.2/3</v>
      </c>
      <c r="C63" s="168" t="s">
        <v>1452</v>
      </c>
      <c r="D63" s="181" t="s">
        <v>1453</v>
      </c>
      <c r="E63" s="170" t="s">
        <v>66</v>
      </c>
      <c r="F63" s="171"/>
      <c r="G63" s="171"/>
      <c r="H63" s="33">
        <f t="shared" si="0"/>
        <v>0</v>
      </c>
      <c r="I63" s="505"/>
      <c r="J63" s="505">
        <f t="shared" si="4"/>
        <v>0</v>
      </c>
      <c r="K63" s="499"/>
      <c r="L63" s="499">
        <f t="shared" si="5"/>
        <v>0</v>
      </c>
      <c r="M63" s="39">
        <f t="shared" si="6"/>
        <v>0</v>
      </c>
      <c r="N63" s="163">
        <f t="shared" si="1"/>
        <v>0</v>
      </c>
      <c r="O63" s="172">
        <f t="shared" si="28"/>
        <v>0</v>
      </c>
      <c r="P63" s="521"/>
      <c r="Q63" s="521">
        <f t="shared" si="7"/>
        <v>0</v>
      </c>
      <c r="R63" s="526"/>
      <c r="S63" s="526">
        <f t="shared" si="8"/>
        <v>0</v>
      </c>
      <c r="T63" s="39">
        <f t="shared" si="2"/>
        <v>0</v>
      </c>
      <c r="U63" s="163">
        <f>+ROUND(T63*H63,2)</f>
        <v>0</v>
      </c>
      <c r="V63" s="173">
        <f t="shared" si="29"/>
        <v>0</v>
      </c>
      <c r="W63" s="164"/>
      <c r="X63" s="128" t="s">
        <v>1004</v>
      </c>
      <c r="Y63" s="37">
        <f>+ROUND((O63)*(1+SUMIF($Y$2:$Y$4,X63,$Z$2:$Z$4)),0)</f>
        <v>0</v>
      </c>
      <c r="Z63" s="37">
        <f t="shared" si="27"/>
        <v>0</v>
      </c>
      <c r="AA63" s="166"/>
      <c r="AB63" s="38"/>
      <c r="AC63" s="38"/>
    </row>
    <row r="64" spans="1:29" hidden="1" outlineLevel="2" x14ac:dyDescent="0.25">
      <c r="A64" s="158" t="s">
        <v>1253</v>
      </c>
      <c r="B64" s="159" t="str">
        <f>+B63</f>
        <v>3.2/3</v>
      </c>
      <c r="C64" s="168" t="s">
        <v>1454</v>
      </c>
      <c r="D64" s="169" t="s">
        <v>1455</v>
      </c>
      <c r="E64" s="170"/>
      <c r="F64" s="171"/>
      <c r="G64" s="171"/>
      <c r="H64" s="33">
        <f t="shared" si="0"/>
        <v>0</v>
      </c>
      <c r="I64" s="505"/>
      <c r="J64" s="505">
        <f t="shared" si="4"/>
        <v>0</v>
      </c>
      <c r="K64" s="499"/>
      <c r="L64" s="499">
        <f t="shared" si="5"/>
        <v>0</v>
      </c>
      <c r="M64" s="39">
        <f t="shared" si="6"/>
        <v>0</v>
      </c>
      <c r="N64" s="163">
        <f t="shared" si="1"/>
        <v>0</v>
      </c>
      <c r="O64" s="172">
        <f t="shared" si="28"/>
        <v>0</v>
      </c>
      <c r="P64" s="521"/>
      <c r="Q64" s="521">
        <f t="shared" si="7"/>
        <v>0</v>
      </c>
      <c r="R64" s="526"/>
      <c r="S64" s="526">
        <f t="shared" si="8"/>
        <v>0</v>
      </c>
      <c r="T64" s="39">
        <f t="shared" si="2"/>
        <v>0</v>
      </c>
      <c r="U64" s="163">
        <f>+ROUND(T64*H64,2)</f>
        <v>0</v>
      </c>
      <c r="V64" s="173">
        <f t="shared" si="29"/>
        <v>0</v>
      </c>
      <c r="W64" s="164"/>
      <c r="X64" s="128" t="s">
        <v>1004</v>
      </c>
      <c r="Y64" s="37">
        <f>+ROUND((O64)*(1+SUMIF($Y$2:$Y$4,X64,$Z$2:$Z$4)),0)</f>
        <v>0</v>
      </c>
      <c r="Z64" s="37">
        <f t="shared" si="27"/>
        <v>0</v>
      </c>
      <c r="AA64" s="166"/>
      <c r="AB64" s="38"/>
      <c r="AC64" s="38"/>
    </row>
    <row r="65" spans="1:29" hidden="1" outlineLevel="2" x14ac:dyDescent="0.25">
      <c r="A65" s="158" t="s">
        <v>1171</v>
      </c>
      <c r="B65" s="159" t="str">
        <f>+B62</f>
        <v>3.2/3</v>
      </c>
      <c r="C65" s="244">
        <v>2.5</v>
      </c>
      <c r="D65" s="161" t="s">
        <v>1456</v>
      </c>
      <c r="E65" s="170"/>
      <c r="F65" s="40"/>
      <c r="G65" s="40"/>
      <c r="H65" s="33">
        <f t="shared" si="0"/>
        <v>0</v>
      </c>
      <c r="I65" s="504"/>
      <c r="J65" s="504">
        <f t="shared" si="4"/>
        <v>0</v>
      </c>
      <c r="K65" s="498"/>
      <c r="L65" s="498">
        <f t="shared" si="5"/>
        <v>0</v>
      </c>
      <c r="M65" s="34">
        <f t="shared" si="6"/>
        <v>0</v>
      </c>
      <c r="N65" s="163">
        <f t="shared" si="1"/>
        <v>0</v>
      </c>
      <c r="O65" s="172">
        <f t="shared" si="28"/>
        <v>0</v>
      </c>
      <c r="P65" s="520"/>
      <c r="Q65" s="520">
        <f t="shared" si="7"/>
        <v>0</v>
      </c>
      <c r="R65" s="525"/>
      <c r="S65" s="525">
        <f t="shared" si="8"/>
        <v>0</v>
      </c>
      <c r="T65" s="34">
        <f t="shared" si="2"/>
        <v>0</v>
      </c>
      <c r="U65" s="163">
        <f>+ROUND(T65*H65,2)</f>
        <v>0</v>
      </c>
      <c r="V65" s="173">
        <f t="shared" si="29"/>
        <v>0</v>
      </c>
      <c r="W65" s="164"/>
      <c r="X65" s="128" t="s">
        <v>1004</v>
      </c>
      <c r="Y65" s="37">
        <f>+ROUND((O65)*(1+SUMIF($Y$2:$Y$4,X65,$Z$2:$Z$4)),0)</f>
        <v>0</v>
      </c>
      <c r="Z65" s="37">
        <f t="shared" si="27"/>
        <v>0</v>
      </c>
      <c r="AA65" s="166"/>
      <c r="AB65" s="38"/>
      <c r="AC65" s="38"/>
    </row>
    <row r="66" spans="1:29" ht="24" hidden="1" outlineLevel="2" x14ac:dyDescent="0.25">
      <c r="A66" s="158" t="s">
        <v>1171</v>
      </c>
      <c r="B66" s="159" t="str">
        <f>+B64</f>
        <v>3.2/3</v>
      </c>
      <c r="C66" s="168" t="s">
        <v>1457</v>
      </c>
      <c r="D66" s="174" t="s">
        <v>1458</v>
      </c>
      <c r="E66" s="170"/>
      <c r="F66" s="171"/>
      <c r="G66" s="171"/>
      <c r="H66" s="33">
        <f t="shared" si="0"/>
        <v>0</v>
      </c>
      <c r="I66" s="505"/>
      <c r="J66" s="505">
        <f t="shared" si="4"/>
        <v>0</v>
      </c>
      <c r="K66" s="499"/>
      <c r="L66" s="499">
        <f t="shared" si="5"/>
        <v>0</v>
      </c>
      <c r="M66" s="39">
        <f t="shared" si="6"/>
        <v>0</v>
      </c>
      <c r="N66" s="163">
        <f t="shared" si="1"/>
        <v>0</v>
      </c>
      <c r="O66" s="172">
        <f t="shared" si="28"/>
        <v>0</v>
      </c>
      <c r="P66" s="521"/>
      <c r="Q66" s="521">
        <f t="shared" si="7"/>
        <v>0</v>
      </c>
      <c r="R66" s="526"/>
      <c r="S66" s="526">
        <f t="shared" si="8"/>
        <v>0</v>
      </c>
      <c r="T66" s="39">
        <f t="shared" si="2"/>
        <v>0</v>
      </c>
      <c r="U66" s="163">
        <f>+ROUND(T66*H66,2)</f>
        <v>0</v>
      </c>
      <c r="V66" s="173">
        <f t="shared" si="29"/>
        <v>0</v>
      </c>
      <c r="W66" s="164"/>
      <c r="X66" s="128" t="s">
        <v>1004</v>
      </c>
      <c r="Y66" s="37">
        <f>+ROUND((O66)*(1+SUMIF($Y$2:$Y$4,X66,$Z$2:$Z$4)),0)</f>
        <v>0</v>
      </c>
      <c r="Z66" s="37">
        <f t="shared" si="27"/>
        <v>0</v>
      </c>
      <c r="AA66" s="166"/>
      <c r="AB66" s="38"/>
      <c r="AC66" s="38"/>
    </row>
    <row r="67" spans="1:29" s="546" customFormat="1" hidden="1" outlineLevel="3" x14ac:dyDescent="0.25">
      <c r="A67" s="158" t="s">
        <v>1171</v>
      </c>
      <c r="B67" s="548" t="str">
        <f t="shared" ref="B67:B69" si="42">+B66</f>
        <v>3.2/3</v>
      </c>
      <c r="C67" s="529"/>
      <c r="D67" s="528" t="s">
        <v>2069</v>
      </c>
      <c r="E67" s="530" t="s">
        <v>1612</v>
      </c>
      <c r="F67" s="531"/>
      <c r="G67" s="531"/>
      <c r="H67" s="532">
        <f t="shared" si="0"/>
        <v>0</v>
      </c>
      <c r="I67" s="533"/>
      <c r="J67" s="533">
        <f t="shared" si="4"/>
        <v>0</v>
      </c>
      <c r="K67" s="534"/>
      <c r="L67" s="534">
        <f t="shared" si="5"/>
        <v>0</v>
      </c>
      <c r="M67" s="535">
        <f t="shared" si="6"/>
        <v>0</v>
      </c>
      <c r="N67" s="536">
        <f t="shared" si="1"/>
        <v>0</v>
      </c>
      <c r="O67" s="537">
        <f t="shared" ref="O67:O69" si="43">N67</f>
        <v>0</v>
      </c>
      <c r="P67" s="538"/>
      <c r="Q67" s="538">
        <f t="shared" si="7"/>
        <v>0</v>
      </c>
      <c r="R67" s="539"/>
      <c r="S67" s="539">
        <f t="shared" si="8"/>
        <v>0</v>
      </c>
      <c r="T67" s="535">
        <f t="shared" si="2"/>
        <v>0</v>
      </c>
      <c r="U67" s="536">
        <f t="shared" ref="U67:U69" si="44">+ROUND(T67*H67,2)</f>
        <v>0</v>
      </c>
      <c r="V67" s="540">
        <f t="shared" ref="V67:V69" si="45">U67</f>
        <v>0</v>
      </c>
      <c r="W67" s="541"/>
      <c r="X67" s="542" t="s">
        <v>1004</v>
      </c>
      <c r="Y67" s="543">
        <f t="shared" ref="Y67:Y69" si="46">+ROUND((O67)*(1+SUMIF($Y$2:$Y$4,X67,$Z$2:$Z$4)),0)</f>
        <v>0</v>
      </c>
      <c r="Z67" s="543">
        <f t="shared" ref="Z67:Z69" si="47">+ROUND((V67)*(1+SUMIF($Y$2:$Y$4,X67,$Z$2:$Z$4)),0)</f>
        <v>0</v>
      </c>
      <c r="AA67" s="544"/>
      <c r="AB67" s="545"/>
      <c r="AC67" s="545"/>
    </row>
    <row r="68" spans="1:29" s="546" customFormat="1" hidden="1" outlineLevel="3" x14ac:dyDescent="0.25">
      <c r="A68" s="547" t="s">
        <v>1176</v>
      </c>
      <c r="B68" s="548" t="str">
        <f t="shared" si="42"/>
        <v>3.2/3</v>
      </c>
      <c r="C68" s="529"/>
      <c r="D68" s="528" t="s">
        <v>2070</v>
      </c>
      <c r="E68" s="530" t="s">
        <v>1612</v>
      </c>
      <c r="F68" s="531"/>
      <c r="G68" s="531"/>
      <c r="H68" s="532">
        <f t="shared" si="0"/>
        <v>0</v>
      </c>
      <c r="I68" s="533"/>
      <c r="J68" s="533">
        <f t="shared" si="4"/>
        <v>0</v>
      </c>
      <c r="K68" s="534"/>
      <c r="L68" s="534">
        <f t="shared" si="5"/>
        <v>0</v>
      </c>
      <c r="M68" s="535">
        <f t="shared" si="6"/>
        <v>0</v>
      </c>
      <c r="N68" s="536">
        <f t="shared" si="1"/>
        <v>0</v>
      </c>
      <c r="O68" s="537">
        <f t="shared" si="43"/>
        <v>0</v>
      </c>
      <c r="P68" s="538"/>
      <c r="Q68" s="538">
        <f t="shared" si="7"/>
        <v>0</v>
      </c>
      <c r="R68" s="539"/>
      <c r="S68" s="539">
        <f t="shared" si="8"/>
        <v>0</v>
      </c>
      <c r="T68" s="535">
        <f t="shared" si="2"/>
        <v>0</v>
      </c>
      <c r="U68" s="536">
        <f t="shared" si="44"/>
        <v>0</v>
      </c>
      <c r="V68" s="540">
        <f t="shared" si="45"/>
        <v>0</v>
      </c>
      <c r="W68" s="541"/>
      <c r="X68" s="542" t="s">
        <v>1004</v>
      </c>
      <c r="Y68" s="543">
        <f t="shared" si="46"/>
        <v>0</v>
      </c>
      <c r="Z68" s="543">
        <f t="shared" si="47"/>
        <v>0</v>
      </c>
      <c r="AA68" s="544"/>
      <c r="AB68" s="545"/>
      <c r="AC68" s="545"/>
    </row>
    <row r="69" spans="1:29" s="546" customFormat="1" hidden="1" outlineLevel="3" x14ac:dyDescent="0.25">
      <c r="A69" s="547" t="s">
        <v>1184</v>
      </c>
      <c r="B69" s="548" t="str">
        <f t="shared" si="42"/>
        <v>3.2/3</v>
      </c>
      <c r="C69" s="529"/>
      <c r="D69" s="528" t="s">
        <v>2071</v>
      </c>
      <c r="E69" s="530" t="s">
        <v>1612</v>
      </c>
      <c r="F69" s="531"/>
      <c r="G69" s="531"/>
      <c r="H69" s="532">
        <f t="shared" si="0"/>
        <v>0</v>
      </c>
      <c r="I69" s="533">
        <f>+I68</f>
        <v>0</v>
      </c>
      <c r="J69" s="533">
        <f t="shared" si="4"/>
        <v>0</v>
      </c>
      <c r="K69" s="534">
        <f>+K68</f>
        <v>0</v>
      </c>
      <c r="L69" s="534">
        <f t="shared" si="5"/>
        <v>0</v>
      </c>
      <c r="M69" s="535">
        <f t="shared" si="6"/>
        <v>0</v>
      </c>
      <c r="N69" s="536">
        <f t="shared" si="1"/>
        <v>0</v>
      </c>
      <c r="O69" s="537">
        <f t="shared" si="43"/>
        <v>0</v>
      </c>
      <c r="P69" s="538"/>
      <c r="Q69" s="538">
        <f t="shared" si="7"/>
        <v>0</v>
      </c>
      <c r="R69" s="539"/>
      <c r="S69" s="539">
        <f t="shared" si="8"/>
        <v>0</v>
      </c>
      <c r="T69" s="535">
        <f t="shared" si="2"/>
        <v>0</v>
      </c>
      <c r="U69" s="536">
        <f t="shared" si="44"/>
        <v>0</v>
      </c>
      <c r="V69" s="540">
        <f t="shared" si="45"/>
        <v>0</v>
      </c>
      <c r="W69" s="541"/>
      <c r="X69" s="542" t="s">
        <v>1004</v>
      </c>
      <c r="Y69" s="543">
        <f t="shared" si="46"/>
        <v>0</v>
      </c>
      <c r="Z69" s="543">
        <f t="shared" si="47"/>
        <v>0</v>
      </c>
      <c r="AA69" s="544"/>
      <c r="AB69" s="545"/>
      <c r="AC69" s="545"/>
    </row>
    <row r="70" spans="1:29" hidden="1" outlineLevel="2" x14ac:dyDescent="0.25">
      <c r="A70" s="158" t="s">
        <v>1213</v>
      </c>
      <c r="B70" s="159" t="str">
        <f>+B66</f>
        <v>3.2/3</v>
      </c>
      <c r="C70" s="168" t="s">
        <v>1459</v>
      </c>
      <c r="D70" s="174" t="s">
        <v>1460</v>
      </c>
      <c r="E70" s="170"/>
      <c r="F70" s="171"/>
      <c r="G70" s="171"/>
      <c r="H70" s="33">
        <f t="shared" si="0"/>
        <v>0</v>
      </c>
      <c r="I70" s="505"/>
      <c r="J70" s="505">
        <f t="shared" si="4"/>
        <v>0</v>
      </c>
      <c r="K70" s="499"/>
      <c r="L70" s="499">
        <f t="shared" si="5"/>
        <v>0</v>
      </c>
      <c r="M70" s="39">
        <f t="shared" si="6"/>
        <v>0</v>
      </c>
      <c r="N70" s="163">
        <f t="shared" si="1"/>
        <v>0</v>
      </c>
      <c r="O70" s="172">
        <f t="shared" si="28"/>
        <v>0</v>
      </c>
      <c r="P70" s="521"/>
      <c r="Q70" s="521">
        <f t="shared" si="7"/>
        <v>0</v>
      </c>
      <c r="R70" s="526"/>
      <c r="S70" s="526">
        <f t="shared" si="8"/>
        <v>0</v>
      </c>
      <c r="T70" s="39">
        <f t="shared" si="2"/>
        <v>0</v>
      </c>
      <c r="U70" s="163">
        <f>+ROUND(T70*H70,2)</f>
        <v>0</v>
      </c>
      <c r="V70" s="173">
        <f t="shared" si="29"/>
        <v>0</v>
      </c>
      <c r="W70" s="164"/>
      <c r="X70" s="128" t="s">
        <v>1004</v>
      </c>
      <c r="Y70" s="37">
        <f>+ROUND((O70)*(1+SUMIF($Y$2:$Y$4,X70,$Z$2:$Z$4)),0)</f>
        <v>0</v>
      </c>
      <c r="Z70" s="37">
        <f t="shared" si="27"/>
        <v>0</v>
      </c>
      <c r="AA70" s="166"/>
      <c r="AB70" s="38"/>
      <c r="AC70" s="38"/>
    </row>
    <row r="71" spans="1:29" hidden="1" outlineLevel="2" x14ac:dyDescent="0.25">
      <c r="A71" s="158" t="s">
        <v>1213</v>
      </c>
      <c r="B71" s="159" t="str">
        <f>+B70</f>
        <v>3.2/3</v>
      </c>
      <c r="C71" s="168" t="s">
        <v>1461</v>
      </c>
      <c r="D71" s="174" t="s">
        <v>1462</v>
      </c>
      <c r="E71" s="170"/>
      <c r="F71" s="171"/>
      <c r="G71" s="171"/>
      <c r="H71" s="33">
        <f t="shared" si="0"/>
        <v>0</v>
      </c>
      <c r="I71" s="505"/>
      <c r="J71" s="505">
        <f t="shared" si="4"/>
        <v>0</v>
      </c>
      <c r="K71" s="499"/>
      <c r="L71" s="499">
        <f t="shared" si="5"/>
        <v>0</v>
      </c>
      <c r="M71" s="39">
        <f t="shared" si="6"/>
        <v>0</v>
      </c>
      <c r="N71" s="163">
        <f t="shared" si="1"/>
        <v>0</v>
      </c>
      <c r="O71" s="172">
        <f t="shared" si="28"/>
        <v>0</v>
      </c>
      <c r="P71" s="521"/>
      <c r="Q71" s="521">
        <f t="shared" si="7"/>
        <v>0</v>
      </c>
      <c r="R71" s="526"/>
      <c r="S71" s="526">
        <f t="shared" si="8"/>
        <v>0</v>
      </c>
      <c r="T71" s="39">
        <f t="shared" si="2"/>
        <v>0</v>
      </c>
      <c r="U71" s="163">
        <f>+ROUND(T71*H71,2)</f>
        <v>0</v>
      </c>
      <c r="V71" s="173">
        <f t="shared" si="29"/>
        <v>0</v>
      </c>
      <c r="W71" s="164"/>
      <c r="X71" s="128" t="s">
        <v>1004</v>
      </c>
      <c r="Y71" s="37">
        <f>+ROUND((O71)*(1+SUMIF($Y$2:$Y$4,X71,$Z$2:$Z$4)),0)</f>
        <v>0</v>
      </c>
      <c r="Z71" s="37">
        <f t="shared" si="27"/>
        <v>0</v>
      </c>
      <c r="AA71" s="166"/>
      <c r="AB71" s="38"/>
      <c r="AC71" s="38"/>
    </row>
    <row r="72" spans="1:29" hidden="1" outlineLevel="1" x14ac:dyDescent="0.25">
      <c r="A72" s="506" t="s">
        <v>1022</v>
      </c>
      <c r="B72" s="507" t="str">
        <f>+B71</f>
        <v>3.2/3</v>
      </c>
      <c r="C72" s="508"/>
      <c r="D72" s="509" t="s">
        <v>1023</v>
      </c>
      <c r="E72" s="510"/>
      <c r="F72" s="511"/>
      <c r="G72" s="511"/>
      <c r="H72" s="512">
        <f t="shared" si="0"/>
        <v>0</v>
      </c>
      <c r="I72" s="512"/>
      <c r="J72" s="512">
        <f t="shared" si="4"/>
        <v>0</v>
      </c>
      <c r="K72" s="512"/>
      <c r="L72" s="512">
        <f t="shared" si="5"/>
        <v>0</v>
      </c>
      <c r="M72" s="512">
        <f t="shared" si="6"/>
        <v>0</v>
      </c>
      <c r="N72" s="512">
        <f>SUM(N47:N71)</f>
        <v>0</v>
      </c>
      <c r="O72" s="513">
        <f>SUM(O47:O71)</f>
        <v>0</v>
      </c>
      <c r="P72" s="512"/>
      <c r="Q72" s="512">
        <f t="shared" si="7"/>
        <v>0</v>
      </c>
      <c r="R72" s="512"/>
      <c r="S72" s="512">
        <f t="shared" si="8"/>
        <v>0</v>
      </c>
      <c r="T72" s="512">
        <f t="shared" si="2"/>
        <v>0</v>
      </c>
      <c r="U72" s="512">
        <f>SUM(U47:U71)</f>
        <v>0</v>
      </c>
      <c r="V72" s="513">
        <f>SUM(V47:V71)</f>
        <v>0</v>
      </c>
      <c r="W72" s="507"/>
      <c r="X72" s="128" t="s">
        <v>1004</v>
      </c>
      <c r="Y72" s="515">
        <f>+ROUND((O72)*(1+SUMIF($Y$2:$Y$4,X72,$Z$2:$Z$4)),0)</f>
        <v>0</v>
      </c>
      <c r="Z72" s="515">
        <f>+ROUND((V72)*(1+SUMIF($Y$2:$Y$4,X72,$Z$2:$Z$4)),0)</f>
        <v>0</v>
      </c>
      <c r="AA72" s="166"/>
      <c r="AB72" s="38"/>
      <c r="AC72" s="38"/>
    </row>
    <row r="73" spans="1:29" hidden="1" outlineLevel="1" x14ac:dyDescent="0.25">
      <c r="A73" s="158" t="s">
        <v>1207</v>
      </c>
      <c r="B73" s="159" t="s">
        <v>1463</v>
      </c>
      <c r="C73" s="243">
        <v>2</v>
      </c>
      <c r="D73" s="167" t="s">
        <v>1434</v>
      </c>
      <c r="E73" s="162"/>
      <c r="F73" s="40"/>
      <c r="G73" s="40"/>
      <c r="H73" s="33">
        <f t="shared" si="0"/>
        <v>0</v>
      </c>
      <c r="I73" s="504"/>
      <c r="J73" s="504">
        <f t="shared" si="4"/>
        <v>0</v>
      </c>
      <c r="K73" s="498"/>
      <c r="L73" s="498">
        <f t="shared" si="5"/>
        <v>0</v>
      </c>
      <c r="M73" s="34">
        <f t="shared" si="6"/>
        <v>0</v>
      </c>
      <c r="N73" s="163">
        <f t="shared" si="1"/>
        <v>0</v>
      </c>
      <c r="O73" s="35"/>
      <c r="P73" s="520"/>
      <c r="Q73" s="520">
        <f t="shared" si="7"/>
        <v>0</v>
      </c>
      <c r="R73" s="525"/>
      <c r="S73" s="525">
        <f t="shared" si="8"/>
        <v>0</v>
      </c>
      <c r="T73" s="34">
        <f t="shared" si="2"/>
        <v>0</v>
      </c>
      <c r="U73" s="163">
        <f>+ROUND(T73*H73,2)</f>
        <v>0</v>
      </c>
      <c r="V73" s="36"/>
      <c r="W73" s="164"/>
      <c r="X73" s="128" t="s">
        <v>1004</v>
      </c>
      <c r="Y73" s="37">
        <f>+ROUND((O73)*(1+SUMIF($Y$2:$Y$4,X73,$Z$2:$Z$4)),0)</f>
        <v>0</v>
      </c>
      <c r="Z73" s="37">
        <f t="shared" ref="Z73:Z89" si="48">+ROUND((V73)*(1+SUMIF($Y$2:$Y$4,X73,$Z$2:$Z$4)),0)</f>
        <v>0</v>
      </c>
      <c r="AA73" s="166"/>
      <c r="AB73" s="38"/>
      <c r="AC73" s="38"/>
    </row>
    <row r="74" spans="1:29" hidden="1" outlineLevel="2" x14ac:dyDescent="0.25">
      <c r="A74" s="158" t="s">
        <v>1207</v>
      </c>
      <c r="B74" s="159" t="str">
        <f>+B73</f>
        <v>3.2/4</v>
      </c>
      <c r="C74" s="244">
        <v>2.6</v>
      </c>
      <c r="D74" s="161" t="s">
        <v>1464</v>
      </c>
      <c r="E74" s="170"/>
      <c r="F74" s="40"/>
      <c r="G74" s="40"/>
      <c r="H74" s="33">
        <f t="shared" si="0"/>
        <v>0</v>
      </c>
      <c r="I74" s="504"/>
      <c r="J74" s="504">
        <f t="shared" si="4"/>
        <v>0</v>
      </c>
      <c r="K74" s="498"/>
      <c r="L74" s="498">
        <f t="shared" si="5"/>
        <v>0</v>
      </c>
      <c r="M74" s="34">
        <f t="shared" si="6"/>
        <v>0</v>
      </c>
      <c r="N74" s="163">
        <f t="shared" si="1"/>
        <v>0</v>
      </c>
      <c r="O74" s="172">
        <f t="shared" ref="O74:O89" si="49">N74</f>
        <v>0</v>
      </c>
      <c r="P74" s="520"/>
      <c r="Q74" s="520">
        <f t="shared" si="7"/>
        <v>0</v>
      </c>
      <c r="R74" s="525"/>
      <c r="S74" s="525">
        <f t="shared" si="8"/>
        <v>0</v>
      </c>
      <c r="T74" s="34">
        <f t="shared" si="2"/>
        <v>0</v>
      </c>
      <c r="U74" s="163">
        <f>+ROUND(T74*H74,2)</f>
        <v>0</v>
      </c>
      <c r="V74" s="173">
        <f t="shared" ref="V74:V89" si="50">U74</f>
        <v>0</v>
      </c>
      <c r="W74" s="164"/>
      <c r="X74" s="128" t="s">
        <v>1004</v>
      </c>
      <c r="Y74" s="37">
        <f>+ROUND((O74)*(1+SUMIF($Y$2:$Y$4,X74,$Z$2:$Z$4)),0)</f>
        <v>0</v>
      </c>
      <c r="Z74" s="37">
        <f t="shared" si="48"/>
        <v>0</v>
      </c>
      <c r="AA74" s="166"/>
      <c r="AB74" s="38"/>
      <c r="AC74" s="38"/>
    </row>
    <row r="75" spans="1:29" hidden="1" outlineLevel="2" x14ac:dyDescent="0.25">
      <c r="A75" s="158" t="s">
        <v>1207</v>
      </c>
      <c r="B75" s="159" t="str">
        <f>+B73</f>
        <v>3.2/4</v>
      </c>
      <c r="C75" s="168" t="s">
        <v>1465</v>
      </c>
      <c r="D75" s="169" t="s">
        <v>1466</v>
      </c>
      <c r="E75" s="170"/>
      <c r="F75" s="40"/>
      <c r="G75" s="40"/>
      <c r="H75" s="33">
        <f t="shared" si="0"/>
        <v>0</v>
      </c>
      <c r="I75" s="504"/>
      <c r="J75" s="504">
        <f t="shared" si="4"/>
        <v>0</v>
      </c>
      <c r="K75" s="498"/>
      <c r="L75" s="498">
        <f t="shared" si="5"/>
        <v>0</v>
      </c>
      <c r="M75" s="34">
        <f t="shared" si="6"/>
        <v>0</v>
      </c>
      <c r="N75" s="163">
        <f t="shared" si="1"/>
        <v>0</v>
      </c>
      <c r="O75" s="172">
        <f t="shared" si="49"/>
        <v>0</v>
      </c>
      <c r="P75" s="520"/>
      <c r="Q75" s="520">
        <f t="shared" si="7"/>
        <v>0</v>
      </c>
      <c r="R75" s="525"/>
      <c r="S75" s="525">
        <f t="shared" si="8"/>
        <v>0</v>
      </c>
      <c r="T75" s="34">
        <f t="shared" si="2"/>
        <v>0</v>
      </c>
      <c r="U75" s="163">
        <f>+ROUND(T75*H75,2)</f>
        <v>0</v>
      </c>
      <c r="V75" s="173">
        <f t="shared" si="50"/>
        <v>0</v>
      </c>
      <c r="W75" s="164"/>
      <c r="X75" s="128" t="s">
        <v>1004</v>
      </c>
      <c r="Y75" s="37">
        <f>+ROUND((O75)*(1+SUMIF($Y$2:$Y$4,X75,$Z$2:$Z$4)),0)</f>
        <v>0</v>
      </c>
      <c r="Z75" s="37">
        <f t="shared" si="48"/>
        <v>0</v>
      </c>
      <c r="AA75" s="166"/>
      <c r="AB75" s="38"/>
      <c r="AC75" s="38"/>
    </row>
    <row r="76" spans="1:29" hidden="1" outlineLevel="2" x14ac:dyDescent="0.25">
      <c r="A76" s="158" t="s">
        <v>1207</v>
      </c>
      <c r="B76" s="159" t="str">
        <f>+B74</f>
        <v>3.2/4</v>
      </c>
      <c r="C76" s="168" t="s">
        <v>1467</v>
      </c>
      <c r="D76" s="181" t="s">
        <v>1468</v>
      </c>
      <c r="E76" s="170" t="s">
        <v>39</v>
      </c>
      <c r="F76" s="171"/>
      <c r="G76" s="171"/>
      <c r="H76" s="33">
        <f t="shared" si="0"/>
        <v>0</v>
      </c>
      <c r="I76" s="505"/>
      <c r="J76" s="505">
        <f t="shared" si="4"/>
        <v>0</v>
      </c>
      <c r="K76" s="499"/>
      <c r="L76" s="499">
        <f t="shared" si="5"/>
        <v>0</v>
      </c>
      <c r="M76" s="39">
        <f t="shared" si="6"/>
        <v>0</v>
      </c>
      <c r="N76" s="163">
        <f t="shared" si="1"/>
        <v>0</v>
      </c>
      <c r="O76" s="172">
        <f t="shared" si="49"/>
        <v>0</v>
      </c>
      <c r="P76" s="521"/>
      <c r="Q76" s="521">
        <f t="shared" si="7"/>
        <v>0</v>
      </c>
      <c r="R76" s="526"/>
      <c r="S76" s="526">
        <f t="shared" si="8"/>
        <v>0</v>
      </c>
      <c r="T76" s="39">
        <f t="shared" si="2"/>
        <v>0</v>
      </c>
      <c r="U76" s="163">
        <f>+ROUND(T76*H76,2)</f>
        <v>0</v>
      </c>
      <c r="V76" s="173">
        <f t="shared" si="50"/>
        <v>0</v>
      </c>
      <c r="W76" s="164"/>
      <c r="X76" s="128" t="s">
        <v>1004</v>
      </c>
      <c r="Y76" s="37">
        <f>+ROUND((O76)*(1+SUMIF($Y$2:$Y$4,X76,$Z$2:$Z$4)),0)</f>
        <v>0</v>
      </c>
      <c r="Z76" s="37">
        <f t="shared" si="48"/>
        <v>0</v>
      </c>
      <c r="AA76" s="166"/>
      <c r="AB76" s="38"/>
      <c r="AC76" s="38"/>
    </row>
    <row r="77" spans="1:29" hidden="1" outlineLevel="2" x14ac:dyDescent="0.25">
      <c r="A77" s="158" t="s">
        <v>1207</v>
      </c>
      <c r="B77" s="159" t="str">
        <f>+B76</f>
        <v>3.2/4</v>
      </c>
      <c r="C77" s="168" t="s">
        <v>1469</v>
      </c>
      <c r="D77" s="181" t="s">
        <v>1470</v>
      </c>
      <c r="E77" s="170" t="s">
        <v>1612</v>
      </c>
      <c r="F77" s="171"/>
      <c r="G77" s="171"/>
      <c r="H77" s="33">
        <f t="shared" si="0"/>
        <v>0</v>
      </c>
      <c r="I77" s="505"/>
      <c r="J77" s="505">
        <f t="shared" si="4"/>
        <v>0</v>
      </c>
      <c r="K77" s="499"/>
      <c r="L77" s="499">
        <f t="shared" si="5"/>
        <v>0</v>
      </c>
      <c r="M77" s="39">
        <f t="shared" si="6"/>
        <v>0</v>
      </c>
      <c r="N77" s="163">
        <f t="shared" si="1"/>
        <v>0</v>
      </c>
      <c r="O77" s="172">
        <f t="shared" si="49"/>
        <v>0</v>
      </c>
      <c r="P77" s="521"/>
      <c r="Q77" s="521">
        <f t="shared" si="7"/>
        <v>0</v>
      </c>
      <c r="R77" s="526"/>
      <c r="S77" s="526">
        <f t="shared" si="8"/>
        <v>0</v>
      </c>
      <c r="T77" s="39">
        <f t="shared" si="2"/>
        <v>0</v>
      </c>
      <c r="U77" s="163">
        <f>+ROUND(T77*H77,2)</f>
        <v>0</v>
      </c>
      <c r="V77" s="173">
        <f t="shared" si="50"/>
        <v>0</v>
      </c>
      <c r="W77" s="164"/>
      <c r="X77" s="128" t="s">
        <v>1004</v>
      </c>
      <c r="Y77" s="37">
        <f>+ROUND((O77)*(1+SUMIF($Y$2:$Y$4,X77,$Z$2:$Z$4)),0)</f>
        <v>0</v>
      </c>
      <c r="Z77" s="37">
        <f t="shared" si="48"/>
        <v>0</v>
      </c>
      <c r="AA77" s="166"/>
      <c r="AB77" s="38"/>
      <c r="AC77" s="38"/>
    </row>
    <row r="78" spans="1:29" hidden="1" outlineLevel="2" x14ac:dyDescent="0.25">
      <c r="A78" s="158" t="s">
        <v>1197</v>
      </c>
      <c r="B78" s="159" t="str">
        <f>+B77</f>
        <v>3.2/4</v>
      </c>
      <c r="C78" s="168" t="s">
        <v>1471</v>
      </c>
      <c r="D78" s="169" t="s">
        <v>1472</v>
      </c>
      <c r="E78" s="170"/>
      <c r="F78" s="171"/>
      <c r="G78" s="171"/>
      <c r="H78" s="33">
        <f t="shared" si="0"/>
        <v>0</v>
      </c>
      <c r="I78" s="505"/>
      <c r="J78" s="505">
        <f t="shared" si="4"/>
        <v>0</v>
      </c>
      <c r="K78" s="499"/>
      <c r="L78" s="499">
        <f t="shared" si="5"/>
        <v>0</v>
      </c>
      <c r="M78" s="39">
        <f t="shared" si="6"/>
        <v>0</v>
      </c>
      <c r="N78" s="163">
        <f t="shared" si="1"/>
        <v>0</v>
      </c>
      <c r="O78" s="172">
        <f t="shared" si="49"/>
        <v>0</v>
      </c>
      <c r="P78" s="521"/>
      <c r="Q78" s="521">
        <f t="shared" si="7"/>
        <v>0</v>
      </c>
      <c r="R78" s="526"/>
      <c r="S78" s="526">
        <f t="shared" si="8"/>
        <v>0</v>
      </c>
      <c r="T78" s="39">
        <f t="shared" si="2"/>
        <v>0</v>
      </c>
      <c r="U78" s="163">
        <f>+ROUND(T78*H78,2)</f>
        <v>0</v>
      </c>
      <c r="V78" s="173">
        <f t="shared" si="50"/>
        <v>0</v>
      </c>
      <c r="W78" s="164"/>
      <c r="X78" s="128" t="s">
        <v>1004</v>
      </c>
      <c r="Y78" s="37">
        <f>+ROUND((O78)*(1+SUMIF($Y$2:$Y$4,X78,$Z$2:$Z$4)),0)</f>
        <v>0</v>
      </c>
      <c r="Z78" s="37">
        <f t="shared" si="48"/>
        <v>0</v>
      </c>
      <c r="AA78" s="166"/>
      <c r="AB78" s="38"/>
      <c r="AC78" s="38"/>
    </row>
    <row r="79" spans="1:29" s="546" customFormat="1" hidden="1" outlineLevel="3" x14ac:dyDescent="0.25">
      <c r="A79" s="158" t="s">
        <v>1197</v>
      </c>
      <c r="B79" s="548" t="str">
        <f t="shared" ref="B79:B81" si="51">+B78</f>
        <v>3.2/4</v>
      </c>
      <c r="C79" s="529"/>
      <c r="D79" s="528" t="s">
        <v>2072</v>
      </c>
      <c r="E79" s="530" t="s">
        <v>39</v>
      </c>
      <c r="F79" s="531"/>
      <c r="G79" s="531"/>
      <c r="H79" s="532">
        <f t="shared" ref="H79" si="52">+SUM(F79:G79)</f>
        <v>0</v>
      </c>
      <c r="I79" s="533"/>
      <c r="J79" s="533">
        <f t="shared" si="4"/>
        <v>0</v>
      </c>
      <c r="K79" s="534"/>
      <c r="L79" s="534">
        <f t="shared" si="5"/>
        <v>0</v>
      </c>
      <c r="M79" s="535">
        <f t="shared" ref="M79" si="53">+J79+L79</f>
        <v>0</v>
      </c>
      <c r="N79" s="536">
        <f t="shared" ref="N79" si="54">+ROUND(M79*H79,2)</f>
        <v>0</v>
      </c>
      <c r="O79" s="537">
        <f t="shared" si="49"/>
        <v>0</v>
      </c>
      <c r="P79" s="538"/>
      <c r="Q79" s="538">
        <f t="shared" si="7"/>
        <v>0</v>
      </c>
      <c r="R79" s="539"/>
      <c r="S79" s="539">
        <f t="shared" si="8"/>
        <v>0</v>
      </c>
      <c r="T79" s="535">
        <f t="shared" ref="T79" si="55">+Q79+S79</f>
        <v>0</v>
      </c>
      <c r="U79" s="536">
        <f t="shared" ref="U79" si="56">+ROUND(T79*H79,2)</f>
        <v>0</v>
      </c>
      <c r="V79" s="540">
        <f t="shared" si="50"/>
        <v>0</v>
      </c>
      <c r="W79" s="541"/>
      <c r="X79" s="542" t="s">
        <v>1004</v>
      </c>
      <c r="Y79" s="543">
        <f t="shared" ref="Y79" si="57">+ROUND((O79)*(1+SUMIF($Y$2:$Y$4,X79,$Z$2:$Z$4)),0)</f>
        <v>0</v>
      </c>
      <c r="Z79" s="543">
        <f t="shared" si="48"/>
        <v>0</v>
      </c>
      <c r="AA79" s="544"/>
      <c r="AB79" s="545"/>
      <c r="AC79" s="545"/>
    </row>
    <row r="80" spans="1:29" ht="24" hidden="1" outlineLevel="2" x14ac:dyDescent="0.25">
      <c r="A80" s="158" t="s">
        <v>1199</v>
      </c>
      <c r="B80" s="159" t="str">
        <f>+B78</f>
        <v>3.2/4</v>
      </c>
      <c r="C80" s="168" t="s">
        <v>1473</v>
      </c>
      <c r="D80" s="181" t="s">
        <v>1474</v>
      </c>
      <c r="E80" s="170"/>
      <c r="F80" s="171"/>
      <c r="G80" s="171"/>
      <c r="H80" s="33">
        <f t="shared" si="0"/>
        <v>0</v>
      </c>
      <c r="I80" s="505"/>
      <c r="J80" s="505">
        <f t="shared" si="4"/>
        <v>0</v>
      </c>
      <c r="K80" s="499"/>
      <c r="L80" s="499">
        <f t="shared" si="5"/>
        <v>0</v>
      </c>
      <c r="M80" s="39">
        <f t="shared" si="6"/>
        <v>0</v>
      </c>
      <c r="N80" s="163">
        <f t="shared" si="1"/>
        <v>0</v>
      </c>
      <c r="O80" s="172">
        <f t="shared" si="49"/>
        <v>0</v>
      </c>
      <c r="P80" s="521"/>
      <c r="Q80" s="521">
        <f t="shared" si="7"/>
        <v>0</v>
      </c>
      <c r="R80" s="526"/>
      <c r="S80" s="526">
        <f t="shared" si="8"/>
        <v>0</v>
      </c>
      <c r="T80" s="39">
        <f t="shared" si="2"/>
        <v>0</v>
      </c>
      <c r="U80" s="163">
        <f>+ROUND(T80*H80,2)</f>
        <v>0</v>
      </c>
      <c r="V80" s="173">
        <f t="shared" si="50"/>
        <v>0</v>
      </c>
      <c r="W80" s="164"/>
      <c r="X80" s="128" t="s">
        <v>1004</v>
      </c>
      <c r="Y80" s="37">
        <f>+ROUND((O80)*(1+SUMIF($Y$2:$Y$4,X80,$Z$2:$Z$4)),0)</f>
        <v>0</v>
      </c>
      <c r="Z80" s="37">
        <f t="shared" si="48"/>
        <v>0</v>
      </c>
      <c r="AA80" s="166"/>
      <c r="AB80" s="38"/>
      <c r="AC80" s="38"/>
    </row>
    <row r="81" spans="1:29" s="546" customFormat="1" hidden="1" outlineLevel="3" x14ac:dyDescent="0.25">
      <c r="A81" s="158" t="s">
        <v>1199</v>
      </c>
      <c r="B81" s="548" t="str">
        <f t="shared" si="51"/>
        <v>3.2/4</v>
      </c>
      <c r="C81" s="529"/>
      <c r="D81" s="528" t="s">
        <v>2073</v>
      </c>
      <c r="E81" s="530" t="s">
        <v>39</v>
      </c>
      <c r="F81" s="531"/>
      <c r="G81" s="531"/>
      <c r="H81" s="532">
        <f t="shared" si="0"/>
        <v>0</v>
      </c>
      <c r="I81" s="533"/>
      <c r="J81" s="533">
        <f t="shared" si="4"/>
        <v>0</v>
      </c>
      <c r="K81" s="534"/>
      <c r="L81" s="534">
        <f t="shared" si="5"/>
        <v>0</v>
      </c>
      <c r="M81" s="535">
        <f t="shared" si="6"/>
        <v>0</v>
      </c>
      <c r="N81" s="536">
        <f t="shared" si="1"/>
        <v>0</v>
      </c>
      <c r="O81" s="537">
        <f t="shared" ref="O81" si="58">N81</f>
        <v>0</v>
      </c>
      <c r="P81" s="538"/>
      <c r="Q81" s="538">
        <f t="shared" si="7"/>
        <v>0</v>
      </c>
      <c r="R81" s="539"/>
      <c r="S81" s="539">
        <f t="shared" si="8"/>
        <v>0</v>
      </c>
      <c r="T81" s="535">
        <f t="shared" si="2"/>
        <v>0</v>
      </c>
      <c r="U81" s="536">
        <f t="shared" ref="U81" si="59">+ROUND(T81*H81,2)</f>
        <v>0</v>
      </c>
      <c r="V81" s="540">
        <f t="shared" ref="V81" si="60">U81</f>
        <v>0</v>
      </c>
      <c r="W81" s="541"/>
      <c r="X81" s="542" t="s">
        <v>1004</v>
      </c>
      <c r="Y81" s="543">
        <f t="shared" ref="Y81" si="61">+ROUND((O81)*(1+SUMIF($Y$2:$Y$4,X81,$Z$2:$Z$4)),0)</f>
        <v>0</v>
      </c>
      <c r="Z81" s="543">
        <f t="shared" ref="Z81" si="62">+ROUND((V81)*(1+SUMIF($Y$2:$Y$4,X81,$Z$2:$Z$4)),0)</f>
        <v>0</v>
      </c>
      <c r="AA81" s="544"/>
      <c r="AB81" s="545"/>
      <c r="AC81" s="545"/>
    </row>
    <row r="82" spans="1:29" hidden="1" outlineLevel="2" x14ac:dyDescent="0.25">
      <c r="A82" s="158" t="s">
        <v>1173</v>
      </c>
      <c r="B82" s="159" t="str">
        <f>+B80</f>
        <v>3.2/4</v>
      </c>
      <c r="C82" s="244">
        <v>2.7</v>
      </c>
      <c r="D82" s="161" t="s">
        <v>1475</v>
      </c>
      <c r="E82" s="170"/>
      <c r="F82" s="40"/>
      <c r="G82" s="40"/>
      <c r="H82" s="33">
        <f t="shared" si="0"/>
        <v>0</v>
      </c>
      <c r="I82" s="504"/>
      <c r="J82" s="504">
        <f t="shared" si="4"/>
        <v>0</v>
      </c>
      <c r="K82" s="498"/>
      <c r="L82" s="498">
        <f t="shared" si="5"/>
        <v>0</v>
      </c>
      <c r="M82" s="34">
        <f t="shared" si="6"/>
        <v>0</v>
      </c>
      <c r="N82" s="163">
        <f t="shared" si="1"/>
        <v>0</v>
      </c>
      <c r="O82" s="172">
        <f t="shared" si="49"/>
        <v>0</v>
      </c>
      <c r="P82" s="520"/>
      <c r="Q82" s="520">
        <f t="shared" si="7"/>
        <v>0</v>
      </c>
      <c r="R82" s="525"/>
      <c r="S82" s="525">
        <f t="shared" si="8"/>
        <v>0</v>
      </c>
      <c r="T82" s="34">
        <f t="shared" si="2"/>
        <v>0</v>
      </c>
      <c r="U82" s="163">
        <f>+ROUND(T82*H82,2)</f>
        <v>0</v>
      </c>
      <c r="V82" s="173">
        <f t="shared" si="50"/>
        <v>0</v>
      </c>
      <c r="W82" s="164"/>
      <c r="X82" s="128" t="s">
        <v>1004</v>
      </c>
      <c r="Y82" s="37">
        <f>+ROUND((O82)*(1+SUMIF($Y$2:$Y$4,X82,$Z$2:$Z$4)),0)</f>
        <v>0</v>
      </c>
      <c r="Z82" s="37">
        <f t="shared" si="48"/>
        <v>0</v>
      </c>
      <c r="AA82" s="166"/>
      <c r="AB82" s="38"/>
      <c r="AC82" s="38"/>
    </row>
    <row r="83" spans="1:29" hidden="1" outlineLevel="2" x14ac:dyDescent="0.25">
      <c r="A83" s="158" t="s">
        <v>1173</v>
      </c>
      <c r="B83" s="159" t="str">
        <f>+B80</f>
        <v>3.2/4</v>
      </c>
      <c r="C83" s="168" t="s">
        <v>1476</v>
      </c>
      <c r="D83" s="169" t="s">
        <v>1477</v>
      </c>
      <c r="E83" s="170"/>
      <c r="F83" s="171"/>
      <c r="G83" s="171"/>
      <c r="H83" s="33">
        <f t="shared" si="0"/>
        <v>0</v>
      </c>
      <c r="I83" s="505"/>
      <c r="J83" s="505">
        <f t="shared" si="4"/>
        <v>0</v>
      </c>
      <c r="K83" s="499"/>
      <c r="L83" s="499">
        <f t="shared" si="5"/>
        <v>0</v>
      </c>
      <c r="M83" s="39">
        <f t="shared" si="6"/>
        <v>0</v>
      </c>
      <c r="N83" s="163">
        <f t="shared" si="1"/>
        <v>0</v>
      </c>
      <c r="O83" s="172">
        <f t="shared" si="49"/>
        <v>0</v>
      </c>
      <c r="P83" s="521"/>
      <c r="Q83" s="521">
        <f t="shared" si="7"/>
        <v>0</v>
      </c>
      <c r="R83" s="526"/>
      <c r="S83" s="526">
        <f t="shared" si="8"/>
        <v>0</v>
      </c>
      <c r="T83" s="39">
        <f t="shared" si="2"/>
        <v>0</v>
      </c>
      <c r="U83" s="163">
        <f>+ROUND(T83*H83,2)</f>
        <v>0</v>
      </c>
      <c r="V83" s="173">
        <f t="shared" si="50"/>
        <v>0</v>
      </c>
      <c r="W83" s="164"/>
      <c r="X83" s="128" t="s">
        <v>1004</v>
      </c>
      <c r="Y83" s="37">
        <f>+ROUND((O83)*(1+SUMIF($Y$2:$Y$4,X83,$Z$2:$Z$4)),0)</f>
        <v>0</v>
      </c>
      <c r="Z83" s="37">
        <f t="shared" si="48"/>
        <v>0</v>
      </c>
      <c r="AA83" s="166"/>
      <c r="AB83" s="38"/>
      <c r="AC83" s="38"/>
    </row>
    <row r="84" spans="1:29" s="546" customFormat="1" hidden="1" outlineLevel="3" x14ac:dyDescent="0.25">
      <c r="A84" s="158" t="s">
        <v>1173</v>
      </c>
      <c r="B84" s="548" t="str">
        <f t="shared" ref="B84:B85" si="63">+B83</f>
        <v>3.2/4</v>
      </c>
      <c r="C84" s="529"/>
      <c r="D84" s="528" t="s">
        <v>2074</v>
      </c>
      <c r="E84" s="530" t="s">
        <v>1612</v>
      </c>
      <c r="F84" s="531"/>
      <c r="G84" s="531"/>
      <c r="H84" s="532">
        <f t="shared" ref="H84:H85" si="64">+SUM(F84:G84)</f>
        <v>0</v>
      </c>
      <c r="I84" s="533"/>
      <c r="J84" s="533">
        <f t="shared" si="4"/>
        <v>0</v>
      </c>
      <c r="K84" s="534"/>
      <c r="L84" s="534">
        <f t="shared" si="5"/>
        <v>0</v>
      </c>
      <c r="M84" s="535">
        <f t="shared" ref="M84:M85" si="65">+J84+L84</f>
        <v>0</v>
      </c>
      <c r="N84" s="536">
        <f t="shared" ref="N84:N85" si="66">+ROUND(M84*H84,2)</f>
        <v>0</v>
      </c>
      <c r="O84" s="537">
        <f t="shared" si="49"/>
        <v>0</v>
      </c>
      <c r="P84" s="538"/>
      <c r="Q84" s="538">
        <f t="shared" si="7"/>
        <v>0</v>
      </c>
      <c r="R84" s="539"/>
      <c r="S84" s="539">
        <f t="shared" si="8"/>
        <v>0</v>
      </c>
      <c r="T84" s="535">
        <f t="shared" ref="T84:T85" si="67">+Q84+S84</f>
        <v>0</v>
      </c>
      <c r="U84" s="536">
        <f t="shared" ref="U84:U85" si="68">+ROUND(T84*H84,2)</f>
        <v>0</v>
      </c>
      <c r="V84" s="540">
        <f t="shared" si="50"/>
        <v>0</v>
      </c>
      <c r="W84" s="541"/>
      <c r="X84" s="542" t="s">
        <v>1004</v>
      </c>
      <c r="Y84" s="543">
        <f t="shared" ref="Y84:Y85" si="69">+ROUND((O84)*(1+SUMIF($Y$2:$Y$4,X84,$Z$2:$Z$4)),0)</f>
        <v>0</v>
      </c>
      <c r="Z84" s="543">
        <f t="shared" si="48"/>
        <v>0</v>
      </c>
      <c r="AA84" s="544"/>
      <c r="AB84" s="545"/>
      <c r="AC84" s="545"/>
    </row>
    <row r="85" spans="1:29" s="546" customFormat="1" hidden="1" outlineLevel="3" x14ac:dyDescent="0.25">
      <c r="A85" s="158" t="s">
        <v>1184</v>
      </c>
      <c r="B85" s="548" t="str">
        <f t="shared" si="63"/>
        <v>3.2/4</v>
      </c>
      <c r="C85" s="529"/>
      <c r="D85" s="528" t="s">
        <v>2071</v>
      </c>
      <c r="E85" s="530" t="s">
        <v>1612</v>
      </c>
      <c r="F85" s="531"/>
      <c r="G85" s="531"/>
      <c r="H85" s="532">
        <f t="shared" si="64"/>
        <v>0</v>
      </c>
      <c r="I85" s="533"/>
      <c r="J85" s="533">
        <f t="shared" si="4"/>
        <v>0</v>
      </c>
      <c r="K85" s="534"/>
      <c r="L85" s="534">
        <f t="shared" si="5"/>
        <v>0</v>
      </c>
      <c r="M85" s="535">
        <f t="shared" si="65"/>
        <v>0</v>
      </c>
      <c r="N85" s="536">
        <f t="shared" si="66"/>
        <v>0</v>
      </c>
      <c r="O85" s="537">
        <f t="shared" si="49"/>
        <v>0</v>
      </c>
      <c r="P85" s="538"/>
      <c r="Q85" s="538">
        <f t="shared" si="7"/>
        <v>0</v>
      </c>
      <c r="R85" s="539"/>
      <c r="S85" s="539">
        <f t="shared" si="8"/>
        <v>0</v>
      </c>
      <c r="T85" s="535">
        <f t="shared" si="67"/>
        <v>0</v>
      </c>
      <c r="U85" s="536">
        <f t="shared" si="68"/>
        <v>0</v>
      </c>
      <c r="V85" s="540">
        <f t="shared" si="50"/>
        <v>0</v>
      </c>
      <c r="W85" s="541"/>
      <c r="X85" s="542" t="s">
        <v>1004</v>
      </c>
      <c r="Y85" s="543">
        <f t="shared" si="69"/>
        <v>0</v>
      </c>
      <c r="Z85" s="543">
        <f t="shared" si="48"/>
        <v>0</v>
      </c>
      <c r="AA85" s="544"/>
      <c r="AB85" s="545"/>
      <c r="AC85" s="545"/>
    </row>
    <row r="86" spans="1:29" hidden="1" outlineLevel="2" x14ac:dyDescent="0.25">
      <c r="A86" s="158" t="s">
        <v>1245</v>
      </c>
      <c r="B86" s="159" t="str">
        <f>+B83</f>
        <v>3.2/4</v>
      </c>
      <c r="C86" s="168" t="s">
        <v>1478</v>
      </c>
      <c r="D86" s="169" t="s">
        <v>1479</v>
      </c>
      <c r="E86" s="170"/>
      <c r="F86" s="171"/>
      <c r="G86" s="171"/>
      <c r="H86" s="33">
        <f t="shared" si="0"/>
        <v>0</v>
      </c>
      <c r="I86" s="505"/>
      <c r="J86" s="505">
        <f t="shared" si="4"/>
        <v>0</v>
      </c>
      <c r="K86" s="499"/>
      <c r="L86" s="499">
        <f t="shared" si="5"/>
        <v>0</v>
      </c>
      <c r="M86" s="39">
        <f t="shared" si="6"/>
        <v>0</v>
      </c>
      <c r="N86" s="163">
        <f t="shared" si="1"/>
        <v>0</v>
      </c>
      <c r="O86" s="172">
        <f t="shared" si="49"/>
        <v>0</v>
      </c>
      <c r="P86" s="521"/>
      <c r="Q86" s="521">
        <f t="shared" si="7"/>
        <v>0</v>
      </c>
      <c r="R86" s="526"/>
      <c r="S86" s="526">
        <f t="shared" si="8"/>
        <v>0</v>
      </c>
      <c r="T86" s="39">
        <f t="shared" si="2"/>
        <v>0</v>
      </c>
      <c r="U86" s="163">
        <f>+ROUND(T86*H86,2)</f>
        <v>0</v>
      </c>
      <c r="V86" s="173">
        <f t="shared" si="50"/>
        <v>0</v>
      </c>
      <c r="W86" s="164"/>
      <c r="X86" s="128" t="s">
        <v>1004</v>
      </c>
      <c r="Y86" s="37">
        <f>+ROUND((O86)*(1+SUMIF($Y$2:$Y$4,X86,$Z$2:$Z$4)),0)</f>
        <v>0</v>
      </c>
      <c r="Z86" s="37">
        <f t="shared" si="48"/>
        <v>0</v>
      </c>
      <c r="AA86" s="166"/>
      <c r="AB86" s="38"/>
      <c r="AC86" s="38"/>
    </row>
    <row r="87" spans="1:29" hidden="1" outlineLevel="2" x14ac:dyDescent="0.25">
      <c r="A87" s="158" t="s">
        <v>1197</v>
      </c>
      <c r="B87" s="159" t="str">
        <f>+B86</f>
        <v>3.2/4</v>
      </c>
      <c r="C87" s="244">
        <v>2.8</v>
      </c>
      <c r="D87" s="161" t="s">
        <v>1480</v>
      </c>
      <c r="E87" s="170"/>
      <c r="F87" s="40"/>
      <c r="G87" s="40"/>
      <c r="H87" s="33">
        <f t="shared" si="0"/>
        <v>0</v>
      </c>
      <c r="I87" s="504"/>
      <c r="J87" s="504">
        <f t="shared" si="4"/>
        <v>0</v>
      </c>
      <c r="K87" s="498"/>
      <c r="L87" s="498">
        <f t="shared" si="5"/>
        <v>0</v>
      </c>
      <c r="M87" s="34">
        <f t="shared" si="6"/>
        <v>0</v>
      </c>
      <c r="N87" s="163">
        <f t="shared" si="1"/>
        <v>0</v>
      </c>
      <c r="O87" s="172">
        <f t="shared" si="49"/>
        <v>0</v>
      </c>
      <c r="P87" s="520"/>
      <c r="Q87" s="520">
        <f t="shared" si="7"/>
        <v>0</v>
      </c>
      <c r="R87" s="525"/>
      <c r="S87" s="525">
        <f t="shared" si="8"/>
        <v>0</v>
      </c>
      <c r="T87" s="34">
        <f t="shared" si="2"/>
        <v>0</v>
      </c>
      <c r="U87" s="163">
        <f>+ROUND(T87*H87,2)</f>
        <v>0</v>
      </c>
      <c r="V87" s="173">
        <f t="shared" si="50"/>
        <v>0</v>
      </c>
      <c r="W87" s="164"/>
      <c r="X87" s="128" t="s">
        <v>1004</v>
      </c>
      <c r="Y87" s="37">
        <f>+ROUND((O87)*(1+SUMIF($Y$2:$Y$4,X87,$Z$2:$Z$4)),0)</f>
        <v>0</v>
      </c>
      <c r="Z87" s="37">
        <f t="shared" si="48"/>
        <v>0</v>
      </c>
      <c r="AA87" s="166"/>
      <c r="AB87" s="38"/>
      <c r="AC87" s="38"/>
    </row>
    <row r="88" spans="1:29" hidden="1" outlineLevel="2" x14ac:dyDescent="0.25">
      <c r="A88" s="158" t="s">
        <v>1197</v>
      </c>
      <c r="B88" s="159" t="str">
        <f>+B86</f>
        <v>3.2/4</v>
      </c>
      <c r="C88" s="168" t="s">
        <v>1481</v>
      </c>
      <c r="D88" s="169" t="s">
        <v>1480</v>
      </c>
      <c r="E88" s="170"/>
      <c r="F88" s="171"/>
      <c r="G88" s="171"/>
      <c r="H88" s="33">
        <f t="shared" si="0"/>
        <v>0</v>
      </c>
      <c r="I88" s="505"/>
      <c r="J88" s="505">
        <f t="shared" si="4"/>
        <v>0</v>
      </c>
      <c r="K88" s="499"/>
      <c r="L88" s="499">
        <f t="shared" si="5"/>
        <v>0</v>
      </c>
      <c r="M88" s="39">
        <f t="shared" si="6"/>
        <v>0</v>
      </c>
      <c r="N88" s="163">
        <f t="shared" si="1"/>
        <v>0</v>
      </c>
      <c r="O88" s="172">
        <f t="shared" si="49"/>
        <v>0</v>
      </c>
      <c r="P88" s="521"/>
      <c r="Q88" s="521">
        <f t="shared" si="7"/>
        <v>0</v>
      </c>
      <c r="R88" s="526"/>
      <c r="S88" s="526">
        <f t="shared" si="8"/>
        <v>0</v>
      </c>
      <c r="T88" s="39">
        <f t="shared" si="2"/>
        <v>0</v>
      </c>
      <c r="U88" s="163">
        <f>+ROUND(T88*H88,2)</f>
        <v>0</v>
      </c>
      <c r="V88" s="173">
        <f t="shared" si="50"/>
        <v>0</v>
      </c>
      <c r="W88" s="164"/>
      <c r="X88" s="128" t="s">
        <v>1004</v>
      </c>
      <c r="Y88" s="37">
        <f>+ROUND((O88)*(1+SUMIF($Y$2:$Y$4,X88,$Z$2:$Z$4)),0)</f>
        <v>0</v>
      </c>
      <c r="Z88" s="37">
        <f t="shared" si="48"/>
        <v>0</v>
      </c>
      <c r="AA88" s="166"/>
      <c r="AB88" s="38"/>
      <c r="AC88" s="38"/>
    </row>
    <row r="89" spans="1:29" s="546" customFormat="1" hidden="1" outlineLevel="3" x14ac:dyDescent="0.25">
      <c r="A89" s="158" t="s">
        <v>1197</v>
      </c>
      <c r="B89" s="548" t="str">
        <f t="shared" ref="B89:B90" si="70">+B87</f>
        <v>3.2/4</v>
      </c>
      <c r="C89" s="529"/>
      <c r="D89" s="528" t="s">
        <v>2072</v>
      </c>
      <c r="E89" s="530" t="s">
        <v>39</v>
      </c>
      <c r="F89" s="531"/>
      <c r="G89" s="531"/>
      <c r="H89" s="532">
        <f t="shared" ref="H89" si="71">+SUM(F89:G89)</f>
        <v>0</v>
      </c>
      <c r="I89" s="533"/>
      <c r="J89" s="533">
        <f t="shared" si="4"/>
        <v>0</v>
      </c>
      <c r="K89" s="534"/>
      <c r="L89" s="534">
        <f t="shared" si="5"/>
        <v>0</v>
      </c>
      <c r="M89" s="535">
        <f t="shared" ref="M89" si="72">+J89+L89</f>
        <v>0</v>
      </c>
      <c r="N89" s="536">
        <f t="shared" ref="N89" si="73">+ROUND(M89*H89,2)</f>
        <v>0</v>
      </c>
      <c r="O89" s="537">
        <f t="shared" si="49"/>
        <v>0</v>
      </c>
      <c r="P89" s="538"/>
      <c r="Q89" s="538">
        <f t="shared" si="7"/>
        <v>0</v>
      </c>
      <c r="R89" s="539"/>
      <c r="S89" s="539">
        <f t="shared" si="8"/>
        <v>0</v>
      </c>
      <c r="T89" s="535">
        <f t="shared" ref="T89" si="74">+Q89+S89</f>
        <v>0</v>
      </c>
      <c r="U89" s="536">
        <f t="shared" ref="U89" si="75">+ROUND(T89*H89,2)</f>
        <v>0</v>
      </c>
      <c r="V89" s="540">
        <f t="shared" si="50"/>
        <v>0</v>
      </c>
      <c r="W89" s="541"/>
      <c r="X89" s="542" t="s">
        <v>1004</v>
      </c>
      <c r="Y89" s="543">
        <f t="shared" ref="Y89" si="76">+ROUND((O89)*(1+SUMIF($Y$2:$Y$4,X89,$Z$2:$Z$4)),0)</f>
        <v>0</v>
      </c>
      <c r="Z89" s="543">
        <f t="shared" si="48"/>
        <v>0</v>
      </c>
      <c r="AA89" s="544"/>
      <c r="AB89" s="545"/>
      <c r="AC89" s="545"/>
    </row>
    <row r="90" spans="1:29" s="546" customFormat="1" hidden="1" outlineLevel="2" x14ac:dyDescent="0.25">
      <c r="A90" s="158" t="s">
        <v>1197</v>
      </c>
      <c r="B90" s="548" t="str">
        <f t="shared" si="70"/>
        <v>3.2/4</v>
      </c>
      <c r="C90" s="529"/>
      <c r="D90" s="528"/>
      <c r="E90" s="530"/>
      <c r="F90" s="531"/>
      <c r="G90" s="531"/>
      <c r="H90" s="532">
        <f t="shared" si="0"/>
        <v>0</v>
      </c>
      <c r="I90" s="533"/>
      <c r="J90" s="533">
        <f t="shared" si="4"/>
        <v>0</v>
      </c>
      <c r="K90" s="534"/>
      <c r="L90" s="534">
        <f t="shared" si="5"/>
        <v>0</v>
      </c>
      <c r="M90" s="535">
        <f t="shared" si="6"/>
        <v>0</v>
      </c>
      <c r="N90" s="536">
        <f t="shared" ref="N90" si="77">+ROUND(M90*H90,2)</f>
        <v>0</v>
      </c>
      <c r="O90" s="537">
        <f t="shared" ref="O90" si="78">N90</f>
        <v>0</v>
      </c>
      <c r="P90" s="538"/>
      <c r="Q90" s="538">
        <f t="shared" si="7"/>
        <v>0</v>
      </c>
      <c r="R90" s="539"/>
      <c r="S90" s="539">
        <f t="shared" si="8"/>
        <v>0</v>
      </c>
      <c r="T90" s="535">
        <f t="shared" si="2"/>
        <v>0</v>
      </c>
      <c r="U90" s="536">
        <f t="shared" ref="U90" si="79">+ROUND(T90*H90,2)</f>
        <v>0</v>
      </c>
      <c r="V90" s="540">
        <f t="shared" ref="V90" si="80">U90</f>
        <v>0</v>
      </c>
      <c r="W90" s="541"/>
      <c r="X90" s="542" t="s">
        <v>1004</v>
      </c>
      <c r="Y90" s="543">
        <f t="shared" ref="Y90" si="81">+ROUND((O90)*(1+SUMIF($Y$2:$Y$4,X90,$Z$2:$Z$4)),0)</f>
        <v>0</v>
      </c>
      <c r="Z90" s="543">
        <f t="shared" ref="Z90" si="82">+ROUND((V90)*(1+SUMIF($Y$2:$Y$4,X90,$Z$2:$Z$4)),0)</f>
        <v>0</v>
      </c>
      <c r="AA90" s="544"/>
      <c r="AB90" s="545"/>
      <c r="AC90" s="545"/>
    </row>
    <row r="91" spans="1:29" hidden="1" outlineLevel="1" x14ac:dyDescent="0.25">
      <c r="A91" s="506" t="s">
        <v>1022</v>
      </c>
      <c r="B91" s="507" t="str">
        <f>+B88</f>
        <v>3.2/4</v>
      </c>
      <c r="C91" s="508"/>
      <c r="D91" s="509" t="s">
        <v>1023</v>
      </c>
      <c r="E91" s="510"/>
      <c r="F91" s="511"/>
      <c r="G91" s="511"/>
      <c r="H91" s="512">
        <f t="shared" si="0"/>
        <v>0</v>
      </c>
      <c r="I91" s="512"/>
      <c r="J91" s="512">
        <f t="shared" si="4"/>
        <v>0</v>
      </c>
      <c r="K91" s="512"/>
      <c r="L91" s="512">
        <f t="shared" si="5"/>
        <v>0</v>
      </c>
      <c r="M91" s="512">
        <f t="shared" si="6"/>
        <v>0</v>
      </c>
      <c r="N91" s="512">
        <f>SUM(N73:N88)</f>
        <v>0</v>
      </c>
      <c r="O91" s="513">
        <f>SUM(O73:O88)</f>
        <v>0</v>
      </c>
      <c r="P91" s="512"/>
      <c r="Q91" s="512">
        <f t="shared" si="7"/>
        <v>0</v>
      </c>
      <c r="R91" s="512"/>
      <c r="S91" s="512">
        <f t="shared" si="8"/>
        <v>0</v>
      </c>
      <c r="T91" s="512">
        <f t="shared" si="2"/>
        <v>0</v>
      </c>
      <c r="U91" s="512">
        <f>SUM(U73:U88)</f>
        <v>0</v>
      </c>
      <c r="V91" s="513">
        <f>SUM(V73:V88)</f>
        <v>0</v>
      </c>
      <c r="W91" s="507"/>
      <c r="X91" s="514" t="s">
        <v>1004</v>
      </c>
      <c r="Y91" s="515">
        <f>+ROUND((O91)*(1+SUMIF($Y$2:$Y$4,X91,$Z$2:$Z$4)),0)</f>
        <v>0</v>
      </c>
      <c r="Z91" s="515">
        <f>+ROUND((V91)*(1+SUMIF($Y$2:$Y$4,X91,$Z$2:$Z$4)),0)</f>
        <v>0</v>
      </c>
      <c r="AA91" s="166"/>
      <c r="AB91" s="38"/>
      <c r="AC91" s="38"/>
    </row>
    <row r="92" spans="1:29" hidden="1" outlineLevel="1" x14ac:dyDescent="0.25">
      <c r="A92" s="158" t="s">
        <v>1161</v>
      </c>
      <c r="B92" s="159" t="s">
        <v>213</v>
      </c>
      <c r="C92" s="243">
        <v>3</v>
      </c>
      <c r="D92" s="161" t="s">
        <v>1482</v>
      </c>
      <c r="E92" s="162"/>
      <c r="F92" s="40"/>
      <c r="G92" s="40"/>
      <c r="H92" s="33">
        <f t="shared" ref="H92:H177" si="83">+SUM(F92:G92)</f>
        <v>0</v>
      </c>
      <c r="I92" s="504"/>
      <c r="J92" s="504">
        <f t="shared" si="4"/>
        <v>0</v>
      </c>
      <c r="K92" s="498"/>
      <c r="L92" s="498">
        <f t="shared" si="5"/>
        <v>0</v>
      </c>
      <c r="M92" s="34">
        <f t="shared" si="6"/>
        <v>0</v>
      </c>
      <c r="N92" s="163">
        <f t="shared" ref="N92:N177" si="84">+ROUND(M92*H92,2)</f>
        <v>0</v>
      </c>
      <c r="O92" s="35"/>
      <c r="P92" s="520"/>
      <c r="Q92" s="520">
        <f t="shared" si="7"/>
        <v>0</v>
      </c>
      <c r="R92" s="525"/>
      <c r="S92" s="525">
        <f t="shared" si="8"/>
        <v>0</v>
      </c>
      <c r="T92" s="34">
        <f t="shared" ref="T92:T177" si="85">+Q92+S92</f>
        <v>0</v>
      </c>
      <c r="U92" s="163">
        <f>+ROUND(T92*H92,2)</f>
        <v>0</v>
      </c>
      <c r="V92" s="36"/>
      <c r="W92" s="164"/>
      <c r="X92" s="128" t="s">
        <v>1004</v>
      </c>
      <c r="Y92" s="37">
        <f>+ROUND((O92)*(1+SUMIF($Y$2:$Y$4,X92,$Z$2:$Z$4)),0)</f>
        <v>0</v>
      </c>
      <c r="Z92" s="37">
        <f t="shared" ref="Z92:Z114" si="86">+ROUND((V92)*(1+SUMIF($Y$2:$Y$4,X92,$Z$2:$Z$4)),0)</f>
        <v>0</v>
      </c>
      <c r="AA92" s="166"/>
      <c r="AB92" s="38"/>
      <c r="AC92" s="38"/>
    </row>
    <row r="93" spans="1:29" hidden="1" outlineLevel="2" x14ac:dyDescent="0.25">
      <c r="A93" s="158" t="s">
        <v>1161</v>
      </c>
      <c r="B93" s="159" t="str">
        <f>+B92</f>
        <v>3.2/5</v>
      </c>
      <c r="C93" s="244">
        <v>3.1</v>
      </c>
      <c r="D93" s="182" t="s">
        <v>146</v>
      </c>
      <c r="E93" s="170"/>
      <c r="F93" s="40"/>
      <c r="G93" s="40"/>
      <c r="H93" s="33">
        <f t="shared" si="83"/>
        <v>0</v>
      </c>
      <c r="I93" s="504"/>
      <c r="J93" s="504">
        <f t="shared" ref="J93:J178" si="87">+I93*$J$5</f>
        <v>0</v>
      </c>
      <c r="K93" s="498"/>
      <c r="L93" s="498">
        <f t="shared" ref="L93:L178" si="88">+K93*$L$5</f>
        <v>0</v>
      </c>
      <c r="M93" s="34">
        <f t="shared" ref="M93:M178" si="89">+J93+L93</f>
        <v>0</v>
      </c>
      <c r="N93" s="163">
        <f t="shared" si="84"/>
        <v>0</v>
      </c>
      <c r="O93" s="172">
        <f t="shared" ref="O93:O114" si="90">N93</f>
        <v>0</v>
      </c>
      <c r="P93" s="520"/>
      <c r="Q93" s="520">
        <f t="shared" ref="Q93:Q178" si="91">+P93*$Q$5</f>
        <v>0</v>
      </c>
      <c r="R93" s="525"/>
      <c r="S93" s="525">
        <f t="shared" ref="S93:S178" si="92">+R93*$S$5</f>
        <v>0</v>
      </c>
      <c r="T93" s="34">
        <f t="shared" si="85"/>
        <v>0</v>
      </c>
      <c r="U93" s="163">
        <f>+ROUND(T93*H93,2)</f>
        <v>0</v>
      </c>
      <c r="V93" s="173">
        <f t="shared" ref="V93:V114" si="93">U93</f>
        <v>0</v>
      </c>
      <c r="W93" s="164"/>
      <c r="X93" s="128" t="s">
        <v>1004</v>
      </c>
      <c r="Y93" s="37">
        <f>+ROUND((O93)*(1+SUMIF($Y$2:$Y$4,X93,$Z$2:$Z$4)),0)</f>
        <v>0</v>
      </c>
      <c r="Z93" s="37">
        <f t="shared" si="86"/>
        <v>0</v>
      </c>
      <c r="AA93" s="166"/>
      <c r="AB93" s="38"/>
      <c r="AC93" s="38"/>
    </row>
    <row r="94" spans="1:29" ht="24" hidden="1" outlineLevel="2" x14ac:dyDescent="0.25">
      <c r="A94" s="158" t="s">
        <v>1161</v>
      </c>
      <c r="B94" s="159" t="str">
        <f>+B92</f>
        <v>3.2/5</v>
      </c>
      <c r="C94" s="168" t="s">
        <v>1483</v>
      </c>
      <c r="D94" s="183" t="s">
        <v>1484</v>
      </c>
      <c r="E94" s="170"/>
      <c r="F94" s="171"/>
      <c r="G94" s="171"/>
      <c r="H94" s="33">
        <f t="shared" si="83"/>
        <v>0</v>
      </c>
      <c r="I94" s="505"/>
      <c r="J94" s="505">
        <f t="shared" si="87"/>
        <v>0</v>
      </c>
      <c r="K94" s="499"/>
      <c r="L94" s="499">
        <f t="shared" si="88"/>
        <v>0</v>
      </c>
      <c r="M94" s="39">
        <f t="shared" si="89"/>
        <v>0</v>
      </c>
      <c r="N94" s="163">
        <f t="shared" si="84"/>
        <v>0</v>
      </c>
      <c r="O94" s="172">
        <f t="shared" si="90"/>
        <v>0</v>
      </c>
      <c r="P94" s="521"/>
      <c r="Q94" s="521">
        <f t="shared" si="91"/>
        <v>0</v>
      </c>
      <c r="R94" s="526"/>
      <c r="S94" s="526">
        <f t="shared" si="92"/>
        <v>0</v>
      </c>
      <c r="T94" s="39">
        <f t="shared" si="85"/>
        <v>0</v>
      </c>
      <c r="U94" s="163">
        <f>+ROUND(T94*H94,2)</f>
        <v>0</v>
      </c>
      <c r="V94" s="173">
        <f t="shared" si="93"/>
        <v>0</v>
      </c>
      <c r="W94" s="164"/>
      <c r="X94" s="128" t="s">
        <v>1004</v>
      </c>
      <c r="Y94" s="37">
        <f>+ROUND((O94)*(1+SUMIF($Y$2:$Y$4,X94,$Z$2:$Z$4)),0)</f>
        <v>0</v>
      </c>
      <c r="Z94" s="37">
        <f t="shared" si="86"/>
        <v>0</v>
      </c>
      <c r="AA94" s="166"/>
      <c r="AB94" s="38"/>
      <c r="AC94" s="38"/>
    </row>
    <row r="95" spans="1:29" s="546" customFormat="1" hidden="1" outlineLevel="3" x14ac:dyDescent="0.25">
      <c r="A95" s="158" t="s">
        <v>1161</v>
      </c>
      <c r="B95" s="548" t="str">
        <f t="shared" ref="B95:B103" si="94">+B94</f>
        <v>3.2/5</v>
      </c>
      <c r="C95" s="529"/>
      <c r="D95" s="528" t="s">
        <v>2075</v>
      </c>
      <c r="E95" s="530" t="s">
        <v>1612</v>
      </c>
      <c r="F95" s="531"/>
      <c r="G95" s="531"/>
      <c r="H95" s="532">
        <f t="shared" si="83"/>
        <v>0</v>
      </c>
      <c r="I95" s="533"/>
      <c r="J95" s="533">
        <f t="shared" si="87"/>
        <v>0</v>
      </c>
      <c r="K95" s="534"/>
      <c r="L95" s="534">
        <f t="shared" si="88"/>
        <v>0</v>
      </c>
      <c r="M95" s="535">
        <f t="shared" si="89"/>
        <v>0</v>
      </c>
      <c r="N95" s="536">
        <f t="shared" si="84"/>
        <v>0</v>
      </c>
      <c r="O95" s="537">
        <f t="shared" si="90"/>
        <v>0</v>
      </c>
      <c r="P95" s="538"/>
      <c r="Q95" s="538">
        <f t="shared" si="91"/>
        <v>0</v>
      </c>
      <c r="R95" s="539"/>
      <c r="S95" s="539">
        <f t="shared" si="92"/>
        <v>0</v>
      </c>
      <c r="T95" s="535">
        <f t="shared" si="85"/>
        <v>0</v>
      </c>
      <c r="U95" s="536">
        <f t="shared" ref="U95:U97" si="95">+ROUND(T95*H95,2)</f>
        <v>0</v>
      </c>
      <c r="V95" s="540">
        <f t="shared" si="93"/>
        <v>0</v>
      </c>
      <c r="W95" s="541"/>
      <c r="X95" s="542" t="s">
        <v>1004</v>
      </c>
      <c r="Y95" s="543">
        <f t="shared" ref="Y95:Y97" si="96">+ROUND((O95)*(1+SUMIF($Y$2:$Y$4,X95,$Z$2:$Z$4)),0)</f>
        <v>0</v>
      </c>
      <c r="Z95" s="543">
        <f t="shared" si="86"/>
        <v>0</v>
      </c>
      <c r="AA95" s="544"/>
      <c r="AB95" s="545"/>
      <c r="AC95" s="545"/>
    </row>
    <row r="96" spans="1:29" s="546" customFormat="1" hidden="1" outlineLevel="3" x14ac:dyDescent="0.25">
      <c r="A96" s="158" t="s">
        <v>1161</v>
      </c>
      <c r="B96" s="548" t="str">
        <f t="shared" si="94"/>
        <v>3.2/5</v>
      </c>
      <c r="C96" s="529"/>
      <c r="D96" s="528" t="s">
        <v>2076</v>
      </c>
      <c r="E96" s="530" t="s">
        <v>1612</v>
      </c>
      <c r="F96" s="531"/>
      <c r="G96" s="531"/>
      <c r="H96" s="532">
        <f t="shared" si="83"/>
        <v>0</v>
      </c>
      <c r="I96" s="533"/>
      <c r="J96" s="533">
        <f t="shared" si="87"/>
        <v>0</v>
      </c>
      <c r="K96" s="534"/>
      <c r="L96" s="534">
        <f t="shared" si="88"/>
        <v>0</v>
      </c>
      <c r="M96" s="535">
        <f t="shared" si="89"/>
        <v>0</v>
      </c>
      <c r="N96" s="536">
        <f t="shared" si="84"/>
        <v>0</v>
      </c>
      <c r="O96" s="537">
        <f t="shared" si="90"/>
        <v>0</v>
      </c>
      <c r="P96" s="538"/>
      <c r="Q96" s="538">
        <f t="shared" si="91"/>
        <v>0</v>
      </c>
      <c r="R96" s="539"/>
      <c r="S96" s="539">
        <f t="shared" si="92"/>
        <v>0</v>
      </c>
      <c r="T96" s="535">
        <f t="shared" si="85"/>
        <v>0</v>
      </c>
      <c r="U96" s="536">
        <f t="shared" si="95"/>
        <v>0</v>
      </c>
      <c r="V96" s="540">
        <f t="shared" si="93"/>
        <v>0</v>
      </c>
      <c r="W96" s="541"/>
      <c r="X96" s="542" t="s">
        <v>1004</v>
      </c>
      <c r="Y96" s="543">
        <f t="shared" si="96"/>
        <v>0</v>
      </c>
      <c r="Z96" s="543">
        <f t="shared" si="86"/>
        <v>0</v>
      </c>
      <c r="AA96" s="544"/>
      <c r="AB96" s="545"/>
      <c r="AC96" s="545"/>
    </row>
    <row r="97" spans="1:29" s="546" customFormat="1" hidden="1" outlineLevel="3" x14ac:dyDescent="0.25">
      <c r="A97" s="158" t="s">
        <v>1161</v>
      </c>
      <c r="B97" s="548" t="str">
        <f t="shared" si="94"/>
        <v>3.2/5</v>
      </c>
      <c r="C97" s="529"/>
      <c r="D97" s="528" t="s">
        <v>2077</v>
      </c>
      <c r="E97" s="530" t="s">
        <v>66</v>
      </c>
      <c r="F97" s="531"/>
      <c r="G97" s="531"/>
      <c r="H97" s="532">
        <f t="shared" si="83"/>
        <v>0</v>
      </c>
      <c r="I97" s="533"/>
      <c r="J97" s="533">
        <f t="shared" si="87"/>
        <v>0</v>
      </c>
      <c r="K97" s="534"/>
      <c r="L97" s="534">
        <f t="shared" si="88"/>
        <v>0</v>
      </c>
      <c r="M97" s="535">
        <f t="shared" si="89"/>
        <v>0</v>
      </c>
      <c r="N97" s="536">
        <f t="shared" si="84"/>
        <v>0</v>
      </c>
      <c r="O97" s="537">
        <f t="shared" si="90"/>
        <v>0</v>
      </c>
      <c r="P97" s="538"/>
      <c r="Q97" s="538">
        <f t="shared" si="91"/>
        <v>0</v>
      </c>
      <c r="R97" s="539"/>
      <c r="S97" s="539">
        <f t="shared" si="92"/>
        <v>0</v>
      </c>
      <c r="T97" s="535">
        <f t="shared" si="85"/>
        <v>0</v>
      </c>
      <c r="U97" s="536">
        <f t="shared" si="95"/>
        <v>0</v>
      </c>
      <c r="V97" s="540">
        <f t="shared" si="93"/>
        <v>0</v>
      </c>
      <c r="W97" s="541"/>
      <c r="X97" s="542" t="s">
        <v>1004</v>
      </c>
      <c r="Y97" s="543">
        <f t="shared" si="96"/>
        <v>0</v>
      </c>
      <c r="Z97" s="543">
        <f t="shared" si="86"/>
        <v>0</v>
      </c>
      <c r="AA97" s="544"/>
      <c r="AB97" s="545"/>
      <c r="AC97" s="545"/>
    </row>
    <row r="98" spans="1:29" ht="24" hidden="1" outlineLevel="2" x14ac:dyDescent="0.25">
      <c r="A98" s="158" t="s">
        <v>2078</v>
      </c>
      <c r="B98" s="159" t="str">
        <f>+B94</f>
        <v>3.2/5</v>
      </c>
      <c r="C98" s="168" t="s">
        <v>1485</v>
      </c>
      <c r="D98" s="183" t="s">
        <v>1486</v>
      </c>
      <c r="E98" s="170"/>
      <c r="F98" s="171"/>
      <c r="G98" s="171"/>
      <c r="H98" s="33">
        <f t="shared" si="83"/>
        <v>0</v>
      </c>
      <c r="I98" s="505"/>
      <c r="J98" s="505">
        <f t="shared" si="87"/>
        <v>0</v>
      </c>
      <c r="K98" s="499"/>
      <c r="L98" s="499">
        <f t="shared" si="88"/>
        <v>0</v>
      </c>
      <c r="M98" s="39">
        <f t="shared" si="89"/>
        <v>0</v>
      </c>
      <c r="N98" s="163">
        <f t="shared" si="84"/>
        <v>0</v>
      </c>
      <c r="O98" s="172">
        <f t="shared" si="90"/>
        <v>0</v>
      </c>
      <c r="P98" s="521"/>
      <c r="Q98" s="521">
        <f t="shared" si="91"/>
        <v>0</v>
      </c>
      <c r="R98" s="526"/>
      <c r="S98" s="526">
        <f t="shared" si="92"/>
        <v>0</v>
      </c>
      <c r="T98" s="39">
        <f t="shared" si="85"/>
        <v>0</v>
      </c>
      <c r="U98" s="163">
        <f>+ROUND(T98*H98,2)</f>
        <v>0</v>
      </c>
      <c r="V98" s="173">
        <f t="shared" si="93"/>
        <v>0</v>
      </c>
      <c r="W98" s="164"/>
      <c r="X98" s="128" t="s">
        <v>1004</v>
      </c>
      <c r="Y98" s="37">
        <f>+ROUND((O98)*(1+SUMIF($Y$2:$Y$4,X98,$Z$2:$Z$4)),0)</f>
        <v>0</v>
      </c>
      <c r="Z98" s="37">
        <f t="shared" si="86"/>
        <v>0</v>
      </c>
      <c r="AA98" s="166"/>
      <c r="AB98" s="38"/>
      <c r="AC98" s="38"/>
    </row>
    <row r="99" spans="1:29" s="546" customFormat="1" hidden="1" outlineLevel="3" x14ac:dyDescent="0.25">
      <c r="A99" s="158" t="s">
        <v>2078</v>
      </c>
      <c r="B99" s="548" t="str">
        <f t="shared" si="94"/>
        <v>3.2/5</v>
      </c>
      <c r="C99" s="529"/>
      <c r="D99" s="528" t="s">
        <v>2080</v>
      </c>
      <c r="E99" s="530" t="s">
        <v>1612</v>
      </c>
      <c r="F99" s="531"/>
      <c r="G99" s="531"/>
      <c r="H99" s="532">
        <f t="shared" ref="H99:H100" si="97">+SUM(F99:G99)</f>
        <v>0</v>
      </c>
      <c r="I99" s="533"/>
      <c r="J99" s="533">
        <f t="shared" si="87"/>
        <v>0</v>
      </c>
      <c r="K99" s="534"/>
      <c r="L99" s="534">
        <f t="shared" si="88"/>
        <v>0</v>
      </c>
      <c r="M99" s="535">
        <f t="shared" ref="M99:M100" si="98">+J99+L99</f>
        <v>0</v>
      </c>
      <c r="N99" s="536">
        <f t="shared" ref="N99:N100" si="99">+ROUND(M99*H99,2)</f>
        <v>0</v>
      </c>
      <c r="O99" s="537">
        <f t="shared" ref="O99:O100" si="100">N99</f>
        <v>0</v>
      </c>
      <c r="P99" s="538"/>
      <c r="Q99" s="538">
        <f t="shared" si="91"/>
        <v>0</v>
      </c>
      <c r="R99" s="539"/>
      <c r="S99" s="539">
        <f t="shared" si="92"/>
        <v>0</v>
      </c>
      <c r="T99" s="535">
        <f t="shared" ref="T99:T100" si="101">+Q99+S99</f>
        <v>0</v>
      </c>
      <c r="U99" s="536">
        <f t="shared" ref="U99:U100" si="102">+ROUND(T99*H99,2)</f>
        <v>0</v>
      </c>
      <c r="V99" s="540">
        <f t="shared" ref="V99:V100" si="103">U99</f>
        <v>0</v>
      </c>
      <c r="W99" s="541"/>
      <c r="X99" s="542" t="s">
        <v>1004</v>
      </c>
      <c r="Y99" s="543">
        <f t="shared" ref="Y99:Y100" si="104">+ROUND((O99)*(1+SUMIF($Y$2:$Y$4,X99,$Z$2:$Z$4)),0)</f>
        <v>0</v>
      </c>
      <c r="Z99" s="543">
        <f t="shared" ref="Z99:Z100" si="105">+ROUND((V99)*(1+SUMIF($Y$2:$Y$4,X99,$Z$2:$Z$4)),0)</f>
        <v>0</v>
      </c>
      <c r="AA99" s="544"/>
      <c r="AB99" s="545"/>
      <c r="AC99" s="545"/>
    </row>
    <row r="100" spans="1:29" s="546" customFormat="1" hidden="1" outlineLevel="3" x14ac:dyDescent="0.25">
      <c r="A100" s="158" t="s">
        <v>1163</v>
      </c>
      <c r="B100" s="548" t="str">
        <f t="shared" si="94"/>
        <v>3.2/5</v>
      </c>
      <c r="C100" s="529"/>
      <c r="D100" s="528" t="s">
        <v>2079</v>
      </c>
      <c r="E100" s="530" t="s">
        <v>1612</v>
      </c>
      <c r="F100" s="531"/>
      <c r="G100" s="531"/>
      <c r="H100" s="532">
        <f t="shared" si="97"/>
        <v>0</v>
      </c>
      <c r="I100" s="533"/>
      <c r="J100" s="533">
        <f t="shared" si="87"/>
        <v>0</v>
      </c>
      <c r="K100" s="534"/>
      <c r="L100" s="534">
        <f t="shared" si="88"/>
        <v>0</v>
      </c>
      <c r="M100" s="535">
        <f t="shared" si="98"/>
        <v>0</v>
      </c>
      <c r="N100" s="536">
        <f t="shared" si="99"/>
        <v>0</v>
      </c>
      <c r="O100" s="537">
        <f t="shared" si="100"/>
        <v>0</v>
      </c>
      <c r="P100" s="538"/>
      <c r="Q100" s="538">
        <f t="shared" si="91"/>
        <v>0</v>
      </c>
      <c r="R100" s="539"/>
      <c r="S100" s="539">
        <f t="shared" si="92"/>
        <v>0</v>
      </c>
      <c r="T100" s="535">
        <f t="shared" si="101"/>
        <v>0</v>
      </c>
      <c r="U100" s="536">
        <f t="shared" si="102"/>
        <v>0</v>
      </c>
      <c r="V100" s="540">
        <f t="shared" si="103"/>
        <v>0</v>
      </c>
      <c r="W100" s="541"/>
      <c r="X100" s="542" t="s">
        <v>1004</v>
      </c>
      <c r="Y100" s="543">
        <f t="shared" si="104"/>
        <v>0</v>
      </c>
      <c r="Z100" s="543">
        <f t="shared" si="105"/>
        <v>0</v>
      </c>
      <c r="AA100" s="544"/>
      <c r="AB100" s="545"/>
      <c r="AC100" s="545"/>
    </row>
    <row r="101" spans="1:29" hidden="1" outlineLevel="2" x14ac:dyDescent="0.25">
      <c r="A101" s="158" t="s">
        <v>2078</v>
      </c>
      <c r="B101" s="159" t="str">
        <f>+B98</f>
        <v>3.2/5</v>
      </c>
      <c r="C101" s="168" t="s">
        <v>1487</v>
      </c>
      <c r="D101" s="183" t="s">
        <v>1488</v>
      </c>
      <c r="E101" s="170"/>
      <c r="F101" s="171"/>
      <c r="G101" s="171"/>
      <c r="H101" s="33">
        <f t="shared" si="83"/>
        <v>0</v>
      </c>
      <c r="I101" s="505"/>
      <c r="J101" s="505">
        <f t="shared" si="87"/>
        <v>0</v>
      </c>
      <c r="K101" s="499"/>
      <c r="L101" s="499">
        <f t="shared" si="88"/>
        <v>0</v>
      </c>
      <c r="M101" s="39">
        <f t="shared" si="89"/>
        <v>0</v>
      </c>
      <c r="N101" s="163">
        <f t="shared" si="84"/>
        <v>0</v>
      </c>
      <c r="O101" s="172">
        <f t="shared" si="90"/>
        <v>0</v>
      </c>
      <c r="P101" s="521"/>
      <c r="Q101" s="521">
        <f t="shared" si="91"/>
        <v>0</v>
      </c>
      <c r="R101" s="526"/>
      <c r="S101" s="526">
        <f t="shared" si="92"/>
        <v>0</v>
      </c>
      <c r="T101" s="39">
        <f t="shared" si="85"/>
        <v>0</v>
      </c>
      <c r="U101" s="163">
        <f>+ROUND(T101*H101,2)</f>
        <v>0</v>
      </c>
      <c r="V101" s="173">
        <f t="shared" si="93"/>
        <v>0</v>
      </c>
      <c r="W101" s="164"/>
      <c r="X101" s="128" t="s">
        <v>1004</v>
      </c>
      <c r="Y101" s="37">
        <f>+ROUND((O101)*(1+SUMIF($Y$2:$Y$4,X101,$Z$2:$Z$4)),0)</f>
        <v>0</v>
      </c>
      <c r="Z101" s="37">
        <f t="shared" si="86"/>
        <v>0</v>
      </c>
      <c r="AA101" s="166"/>
      <c r="AB101" s="38"/>
      <c r="AC101" s="38"/>
    </row>
    <row r="102" spans="1:29" s="546" customFormat="1" hidden="1" outlineLevel="3" x14ac:dyDescent="0.25">
      <c r="A102" s="158" t="s">
        <v>2078</v>
      </c>
      <c r="B102" s="548" t="str">
        <f t="shared" si="94"/>
        <v>3.2/5</v>
      </c>
      <c r="C102" s="529"/>
      <c r="D102" s="528" t="s">
        <v>2081</v>
      </c>
      <c r="E102" s="530" t="s">
        <v>1612</v>
      </c>
      <c r="F102" s="531"/>
      <c r="G102" s="531"/>
      <c r="H102" s="532">
        <f t="shared" si="83"/>
        <v>0</v>
      </c>
      <c r="I102" s="533"/>
      <c r="J102" s="533">
        <f t="shared" si="87"/>
        <v>0</v>
      </c>
      <c r="K102" s="534"/>
      <c r="L102" s="534">
        <f t="shared" si="88"/>
        <v>0</v>
      </c>
      <c r="M102" s="535">
        <f t="shared" si="89"/>
        <v>0</v>
      </c>
      <c r="N102" s="536">
        <f t="shared" si="84"/>
        <v>0</v>
      </c>
      <c r="O102" s="537">
        <f t="shared" si="90"/>
        <v>0</v>
      </c>
      <c r="P102" s="538"/>
      <c r="Q102" s="538">
        <f t="shared" si="91"/>
        <v>0</v>
      </c>
      <c r="R102" s="539"/>
      <c r="S102" s="539">
        <f t="shared" si="92"/>
        <v>0</v>
      </c>
      <c r="T102" s="535">
        <f t="shared" si="85"/>
        <v>0</v>
      </c>
      <c r="U102" s="536">
        <f t="shared" ref="U102:U103" si="106">+ROUND(T102*H102,2)</f>
        <v>0</v>
      </c>
      <c r="V102" s="540">
        <f t="shared" si="93"/>
        <v>0</v>
      </c>
      <c r="W102" s="541"/>
      <c r="X102" s="542" t="s">
        <v>1004</v>
      </c>
      <c r="Y102" s="543">
        <f t="shared" ref="Y102:Y103" si="107">+ROUND((O102)*(1+SUMIF($Y$2:$Y$4,X102,$Z$2:$Z$4)),0)</f>
        <v>0</v>
      </c>
      <c r="Z102" s="543">
        <f t="shared" si="86"/>
        <v>0</v>
      </c>
      <c r="AA102" s="544"/>
      <c r="AB102" s="545"/>
      <c r="AC102" s="545"/>
    </row>
    <row r="103" spans="1:29" s="546" customFormat="1" hidden="1" outlineLevel="3" x14ac:dyDescent="0.25">
      <c r="A103" s="158" t="s">
        <v>1163</v>
      </c>
      <c r="B103" s="548" t="str">
        <f t="shared" si="94"/>
        <v>3.2/5</v>
      </c>
      <c r="C103" s="529"/>
      <c r="D103" s="528" t="s">
        <v>2082</v>
      </c>
      <c r="E103" s="530" t="s">
        <v>1612</v>
      </c>
      <c r="F103" s="531"/>
      <c r="G103" s="531"/>
      <c r="H103" s="532">
        <f t="shared" si="83"/>
        <v>0</v>
      </c>
      <c r="I103" s="533"/>
      <c r="J103" s="533">
        <f t="shared" si="87"/>
        <v>0</v>
      </c>
      <c r="K103" s="534"/>
      <c r="L103" s="534">
        <f t="shared" si="88"/>
        <v>0</v>
      </c>
      <c r="M103" s="535">
        <f t="shared" si="89"/>
        <v>0</v>
      </c>
      <c r="N103" s="536">
        <f t="shared" si="84"/>
        <v>0</v>
      </c>
      <c r="O103" s="537">
        <f t="shared" si="90"/>
        <v>0</v>
      </c>
      <c r="P103" s="538"/>
      <c r="Q103" s="538">
        <f t="shared" si="91"/>
        <v>0</v>
      </c>
      <c r="R103" s="539"/>
      <c r="S103" s="539">
        <f t="shared" si="92"/>
        <v>0</v>
      </c>
      <c r="T103" s="535">
        <f t="shared" si="85"/>
        <v>0</v>
      </c>
      <c r="U103" s="536">
        <f t="shared" si="106"/>
        <v>0</v>
      </c>
      <c r="V103" s="540">
        <f t="shared" si="93"/>
        <v>0</v>
      </c>
      <c r="W103" s="541"/>
      <c r="X103" s="542" t="s">
        <v>1004</v>
      </c>
      <c r="Y103" s="543">
        <f t="shared" si="107"/>
        <v>0</v>
      </c>
      <c r="Z103" s="543">
        <f t="shared" si="86"/>
        <v>0</v>
      </c>
      <c r="AA103" s="544"/>
      <c r="AB103" s="545"/>
      <c r="AC103" s="545"/>
    </row>
    <row r="104" spans="1:29" hidden="1" outlineLevel="2" x14ac:dyDescent="0.25">
      <c r="A104" s="158" t="s">
        <v>1165</v>
      </c>
      <c r="B104" s="159" t="str">
        <f>+B101</f>
        <v>3.2/5</v>
      </c>
      <c r="C104" s="168" t="s">
        <v>1489</v>
      </c>
      <c r="D104" s="183" t="s">
        <v>1490</v>
      </c>
      <c r="E104" s="170" t="s">
        <v>66</v>
      </c>
      <c r="F104" s="171"/>
      <c r="G104" s="171"/>
      <c r="H104" s="33">
        <f t="shared" si="83"/>
        <v>0</v>
      </c>
      <c r="I104" s="505"/>
      <c r="J104" s="505">
        <f t="shared" si="87"/>
        <v>0</v>
      </c>
      <c r="K104" s="499"/>
      <c r="L104" s="499">
        <f t="shared" si="88"/>
        <v>0</v>
      </c>
      <c r="M104" s="39">
        <f t="shared" si="89"/>
        <v>0</v>
      </c>
      <c r="N104" s="163">
        <f t="shared" si="84"/>
        <v>0</v>
      </c>
      <c r="O104" s="172">
        <f t="shared" si="90"/>
        <v>0</v>
      </c>
      <c r="P104" s="521"/>
      <c r="Q104" s="521">
        <f t="shared" si="91"/>
        <v>0</v>
      </c>
      <c r="R104" s="526"/>
      <c r="S104" s="526">
        <f t="shared" si="92"/>
        <v>0</v>
      </c>
      <c r="T104" s="39">
        <f t="shared" si="85"/>
        <v>0</v>
      </c>
      <c r="U104" s="163">
        <f>+ROUND(T104*H104,2)</f>
        <v>0</v>
      </c>
      <c r="V104" s="173">
        <f t="shared" si="93"/>
        <v>0</v>
      </c>
      <c r="W104" s="164"/>
      <c r="X104" s="128" t="s">
        <v>1004</v>
      </c>
      <c r="Y104" s="37">
        <f>+ROUND((O104)*(1+SUMIF($Y$2:$Y$4,X104,$Z$2:$Z$4)),0)</f>
        <v>0</v>
      </c>
      <c r="Z104" s="37">
        <f t="shared" si="86"/>
        <v>0</v>
      </c>
      <c r="AA104" s="166"/>
      <c r="AB104" s="38"/>
      <c r="AC104" s="38"/>
    </row>
    <row r="105" spans="1:29" hidden="1" outlineLevel="2" x14ac:dyDescent="0.25">
      <c r="A105" s="158" t="s">
        <v>1184</v>
      </c>
      <c r="B105" s="159" t="str">
        <f>+B104</f>
        <v>3.2/5</v>
      </c>
      <c r="C105" s="244">
        <v>3.2</v>
      </c>
      <c r="D105" s="182" t="s">
        <v>157</v>
      </c>
      <c r="E105" s="170"/>
      <c r="F105" s="40"/>
      <c r="G105" s="40"/>
      <c r="H105" s="33">
        <f t="shared" si="83"/>
        <v>0</v>
      </c>
      <c r="I105" s="504"/>
      <c r="J105" s="504">
        <f t="shared" si="87"/>
        <v>0</v>
      </c>
      <c r="K105" s="498"/>
      <c r="L105" s="498">
        <f t="shared" si="88"/>
        <v>0</v>
      </c>
      <c r="M105" s="34">
        <f t="shared" si="89"/>
        <v>0</v>
      </c>
      <c r="N105" s="163">
        <f t="shared" si="84"/>
        <v>0</v>
      </c>
      <c r="O105" s="172">
        <f t="shared" si="90"/>
        <v>0</v>
      </c>
      <c r="P105" s="520"/>
      <c r="Q105" s="520">
        <f t="shared" si="91"/>
        <v>0</v>
      </c>
      <c r="R105" s="525"/>
      <c r="S105" s="525">
        <f t="shared" si="92"/>
        <v>0</v>
      </c>
      <c r="T105" s="34">
        <f t="shared" si="85"/>
        <v>0</v>
      </c>
      <c r="U105" s="163">
        <f>+ROUND(T105*H105,2)</f>
        <v>0</v>
      </c>
      <c r="V105" s="173">
        <f t="shared" si="93"/>
        <v>0</v>
      </c>
      <c r="W105" s="164"/>
      <c r="X105" s="128" t="s">
        <v>1004</v>
      </c>
      <c r="Y105" s="37">
        <f>+ROUND((O105)*(1+SUMIF($Y$2:$Y$4,X105,$Z$2:$Z$4)),0)</f>
        <v>0</v>
      </c>
      <c r="Z105" s="37">
        <f t="shared" si="86"/>
        <v>0</v>
      </c>
      <c r="AA105" s="166"/>
      <c r="AB105" s="38"/>
      <c r="AC105" s="38"/>
    </row>
    <row r="106" spans="1:29" ht="24" hidden="1" outlineLevel="2" x14ac:dyDescent="0.25">
      <c r="A106" s="158" t="s">
        <v>1184</v>
      </c>
      <c r="B106" s="159" t="str">
        <f>+B110</f>
        <v>3.2/5</v>
      </c>
      <c r="C106" s="168" t="s">
        <v>1491</v>
      </c>
      <c r="D106" s="183" t="s">
        <v>1492</v>
      </c>
      <c r="E106" s="170" t="s">
        <v>1612</v>
      </c>
      <c r="F106" s="171"/>
      <c r="G106" s="171"/>
      <c r="H106" s="33">
        <f t="shared" si="83"/>
        <v>0</v>
      </c>
      <c r="I106" s="505"/>
      <c r="J106" s="505">
        <f t="shared" si="87"/>
        <v>0</v>
      </c>
      <c r="K106" s="499"/>
      <c r="L106" s="499">
        <f t="shared" si="88"/>
        <v>0</v>
      </c>
      <c r="M106" s="39">
        <f t="shared" si="89"/>
        <v>0</v>
      </c>
      <c r="N106" s="163">
        <f t="shared" si="84"/>
        <v>0</v>
      </c>
      <c r="O106" s="172">
        <f t="shared" si="90"/>
        <v>0</v>
      </c>
      <c r="P106" s="521"/>
      <c r="Q106" s="521">
        <f t="shared" si="91"/>
        <v>0</v>
      </c>
      <c r="R106" s="526"/>
      <c r="S106" s="526">
        <f t="shared" si="92"/>
        <v>0</v>
      </c>
      <c r="T106" s="39">
        <f t="shared" si="85"/>
        <v>0</v>
      </c>
      <c r="U106" s="163">
        <f>+ROUND(T106*H106,2)</f>
        <v>0</v>
      </c>
      <c r="V106" s="173">
        <f t="shared" si="93"/>
        <v>0</v>
      </c>
      <c r="W106" s="164"/>
      <c r="X106" s="128" t="s">
        <v>1004</v>
      </c>
      <c r="Y106" s="37">
        <f>+ROUND((O106)*(1+SUMIF($Y$2:$Y$4,X106,$Z$2:$Z$4)),0)</f>
        <v>0</v>
      </c>
      <c r="Z106" s="37">
        <f t="shared" si="86"/>
        <v>0</v>
      </c>
      <c r="AA106" s="166"/>
      <c r="AB106" s="38"/>
      <c r="AC106" s="38"/>
    </row>
    <row r="107" spans="1:29" hidden="1" outlineLevel="2" x14ac:dyDescent="0.25">
      <c r="A107" s="158" t="s">
        <v>1180</v>
      </c>
      <c r="B107" s="159" t="str">
        <f>+B106</f>
        <v>3.2/5</v>
      </c>
      <c r="C107" s="168" t="s">
        <v>1493</v>
      </c>
      <c r="D107" s="183" t="s">
        <v>1494</v>
      </c>
      <c r="E107" s="170"/>
      <c r="F107" s="171"/>
      <c r="G107" s="171"/>
      <c r="H107" s="33">
        <f t="shared" si="83"/>
        <v>0</v>
      </c>
      <c r="I107" s="505"/>
      <c r="J107" s="505">
        <f t="shared" si="87"/>
        <v>0</v>
      </c>
      <c r="K107" s="499"/>
      <c r="L107" s="499">
        <f t="shared" si="88"/>
        <v>0</v>
      </c>
      <c r="M107" s="39">
        <f t="shared" si="89"/>
        <v>0</v>
      </c>
      <c r="N107" s="163">
        <f t="shared" si="84"/>
        <v>0</v>
      </c>
      <c r="O107" s="172">
        <f t="shared" si="90"/>
        <v>0</v>
      </c>
      <c r="P107" s="521"/>
      <c r="Q107" s="521">
        <f t="shared" si="91"/>
        <v>0</v>
      </c>
      <c r="R107" s="526"/>
      <c r="S107" s="526">
        <f t="shared" si="92"/>
        <v>0</v>
      </c>
      <c r="T107" s="39">
        <f t="shared" si="85"/>
        <v>0</v>
      </c>
      <c r="U107" s="163">
        <f>+ROUND(T107*H107,2)</f>
        <v>0</v>
      </c>
      <c r="V107" s="173">
        <f t="shared" si="93"/>
        <v>0</v>
      </c>
      <c r="W107" s="164"/>
      <c r="X107" s="128" t="s">
        <v>1004</v>
      </c>
      <c r="Y107" s="37">
        <f>+ROUND((O107)*(1+SUMIF($Y$2:$Y$4,X107,$Z$2:$Z$4)),0)</f>
        <v>0</v>
      </c>
      <c r="Z107" s="37">
        <f t="shared" si="86"/>
        <v>0</v>
      </c>
      <c r="AA107" s="166"/>
      <c r="AB107" s="38"/>
      <c r="AC107" s="38"/>
    </row>
    <row r="108" spans="1:29" s="546" customFormat="1" hidden="1" outlineLevel="3" x14ac:dyDescent="0.25">
      <c r="A108" s="158" t="s">
        <v>2078</v>
      </c>
      <c r="B108" s="548" t="str">
        <f t="shared" ref="B108:B109" si="108">+B107</f>
        <v>3.2/5</v>
      </c>
      <c r="C108" s="529"/>
      <c r="D108" s="528" t="s">
        <v>2083</v>
      </c>
      <c r="E108" s="530" t="s">
        <v>1612</v>
      </c>
      <c r="F108" s="531"/>
      <c r="G108" s="531"/>
      <c r="H108" s="532">
        <f t="shared" si="83"/>
        <v>0</v>
      </c>
      <c r="I108" s="533"/>
      <c r="J108" s="533">
        <f t="shared" si="87"/>
        <v>0</v>
      </c>
      <c r="K108" s="534"/>
      <c r="L108" s="534">
        <f t="shared" si="88"/>
        <v>0</v>
      </c>
      <c r="M108" s="535">
        <f t="shared" si="89"/>
        <v>0</v>
      </c>
      <c r="N108" s="536">
        <f t="shared" si="84"/>
        <v>0</v>
      </c>
      <c r="O108" s="537">
        <f t="shared" si="90"/>
        <v>0</v>
      </c>
      <c r="P108" s="538"/>
      <c r="Q108" s="538">
        <f t="shared" si="91"/>
        <v>0</v>
      </c>
      <c r="R108" s="539"/>
      <c r="S108" s="539">
        <f t="shared" si="92"/>
        <v>0</v>
      </c>
      <c r="T108" s="535">
        <f t="shared" si="85"/>
        <v>0</v>
      </c>
      <c r="U108" s="536">
        <f t="shared" ref="U108:U109" si="109">+ROUND(T108*H108,2)</f>
        <v>0</v>
      </c>
      <c r="V108" s="540">
        <f t="shared" si="93"/>
        <v>0</v>
      </c>
      <c r="W108" s="541"/>
      <c r="X108" s="542" t="s">
        <v>1004</v>
      </c>
      <c r="Y108" s="543">
        <f t="shared" ref="Y108:Y109" si="110">+ROUND((O108)*(1+SUMIF($Y$2:$Y$4,X108,$Z$2:$Z$4)),0)</f>
        <v>0</v>
      </c>
      <c r="Z108" s="543">
        <f t="shared" si="86"/>
        <v>0</v>
      </c>
      <c r="AA108" s="544"/>
      <c r="AB108" s="545"/>
      <c r="AC108" s="545"/>
    </row>
    <row r="109" spans="1:29" s="546" customFormat="1" hidden="1" outlineLevel="3" x14ac:dyDescent="0.25">
      <c r="A109" s="158" t="s">
        <v>1163</v>
      </c>
      <c r="B109" s="548" t="str">
        <f t="shared" si="108"/>
        <v>3.2/5</v>
      </c>
      <c r="C109" s="529"/>
      <c r="D109" s="528" t="s">
        <v>2084</v>
      </c>
      <c r="E109" s="530" t="s">
        <v>1612</v>
      </c>
      <c r="F109" s="531"/>
      <c r="G109" s="531"/>
      <c r="H109" s="532">
        <f t="shared" si="83"/>
        <v>0</v>
      </c>
      <c r="I109" s="533"/>
      <c r="J109" s="533">
        <f t="shared" si="87"/>
        <v>0</v>
      </c>
      <c r="K109" s="534"/>
      <c r="L109" s="534">
        <f t="shared" si="88"/>
        <v>0</v>
      </c>
      <c r="M109" s="535">
        <f t="shared" si="89"/>
        <v>0</v>
      </c>
      <c r="N109" s="536">
        <f t="shared" si="84"/>
        <v>0</v>
      </c>
      <c r="O109" s="537">
        <f t="shared" si="90"/>
        <v>0</v>
      </c>
      <c r="P109" s="538"/>
      <c r="Q109" s="538">
        <f t="shared" si="91"/>
        <v>0</v>
      </c>
      <c r="R109" s="539"/>
      <c r="S109" s="539">
        <f t="shared" si="92"/>
        <v>0</v>
      </c>
      <c r="T109" s="535">
        <f t="shared" si="85"/>
        <v>0</v>
      </c>
      <c r="U109" s="536">
        <f t="shared" si="109"/>
        <v>0</v>
      </c>
      <c r="V109" s="540">
        <f t="shared" si="93"/>
        <v>0</v>
      </c>
      <c r="W109" s="541"/>
      <c r="X109" s="542" t="s">
        <v>1004</v>
      </c>
      <c r="Y109" s="543">
        <f t="shared" si="110"/>
        <v>0</v>
      </c>
      <c r="Z109" s="543">
        <f t="shared" si="86"/>
        <v>0</v>
      </c>
      <c r="AA109" s="544"/>
      <c r="AB109" s="545"/>
      <c r="AC109" s="545"/>
    </row>
    <row r="110" spans="1:29" ht="24" hidden="1" outlineLevel="2" x14ac:dyDescent="0.25">
      <c r="A110" s="158" t="s">
        <v>1184</v>
      </c>
      <c r="B110" s="159" t="str">
        <f>+B104</f>
        <v>3.2/5</v>
      </c>
      <c r="C110" s="168" t="s">
        <v>1495</v>
      </c>
      <c r="D110" s="183" t="s">
        <v>1496</v>
      </c>
      <c r="E110" s="170" t="s">
        <v>1612</v>
      </c>
      <c r="F110" s="171"/>
      <c r="G110" s="171"/>
      <c r="H110" s="33">
        <f t="shared" si="83"/>
        <v>0</v>
      </c>
      <c r="I110" s="505"/>
      <c r="J110" s="505">
        <f t="shared" si="87"/>
        <v>0</v>
      </c>
      <c r="K110" s="499"/>
      <c r="L110" s="499">
        <f t="shared" si="88"/>
        <v>0</v>
      </c>
      <c r="M110" s="39">
        <f t="shared" si="89"/>
        <v>0</v>
      </c>
      <c r="N110" s="163">
        <f t="shared" si="84"/>
        <v>0</v>
      </c>
      <c r="O110" s="172">
        <f t="shared" si="90"/>
        <v>0</v>
      </c>
      <c r="P110" s="521"/>
      <c r="Q110" s="521">
        <f t="shared" si="91"/>
        <v>0</v>
      </c>
      <c r="R110" s="526"/>
      <c r="S110" s="526">
        <f t="shared" si="92"/>
        <v>0</v>
      </c>
      <c r="T110" s="39">
        <f t="shared" si="85"/>
        <v>0</v>
      </c>
      <c r="U110" s="163">
        <f>+ROUND(T110*H110,2)</f>
        <v>0</v>
      </c>
      <c r="V110" s="173">
        <f t="shared" si="93"/>
        <v>0</v>
      </c>
      <c r="W110" s="164"/>
      <c r="X110" s="128" t="s">
        <v>1004</v>
      </c>
      <c r="Y110" s="37">
        <f>+ROUND((O110)*(1+SUMIF($Y$2:$Y$4,X110,$Z$2:$Z$4)),0)</f>
        <v>0</v>
      </c>
      <c r="Z110" s="37">
        <f t="shared" si="86"/>
        <v>0</v>
      </c>
      <c r="AA110" s="166"/>
      <c r="AB110" s="38"/>
      <c r="AC110" s="38"/>
    </row>
    <row r="111" spans="1:29" hidden="1" outlineLevel="2" x14ac:dyDescent="0.25">
      <c r="A111" s="158" t="s">
        <v>1189</v>
      </c>
      <c r="B111" s="159" t="str">
        <f>+B110</f>
        <v>3.2/5</v>
      </c>
      <c r="C111" s="244">
        <v>3.3</v>
      </c>
      <c r="D111" s="182" t="s">
        <v>166</v>
      </c>
      <c r="E111" s="170"/>
      <c r="F111" s="40"/>
      <c r="G111" s="40"/>
      <c r="H111" s="33">
        <f t="shared" si="83"/>
        <v>0</v>
      </c>
      <c r="I111" s="504"/>
      <c r="J111" s="504">
        <f t="shared" si="87"/>
        <v>0</v>
      </c>
      <c r="K111" s="498"/>
      <c r="L111" s="498">
        <f t="shared" si="88"/>
        <v>0</v>
      </c>
      <c r="M111" s="34">
        <f t="shared" si="89"/>
        <v>0</v>
      </c>
      <c r="N111" s="163">
        <f t="shared" si="84"/>
        <v>0</v>
      </c>
      <c r="O111" s="172">
        <f t="shared" si="90"/>
        <v>0</v>
      </c>
      <c r="P111" s="520"/>
      <c r="Q111" s="520">
        <f t="shared" si="91"/>
        <v>0</v>
      </c>
      <c r="R111" s="525"/>
      <c r="S111" s="525">
        <f t="shared" si="92"/>
        <v>0</v>
      </c>
      <c r="T111" s="34">
        <f t="shared" si="85"/>
        <v>0</v>
      </c>
      <c r="U111" s="163">
        <f>+ROUND(T111*H111,2)</f>
        <v>0</v>
      </c>
      <c r="V111" s="173">
        <f t="shared" si="93"/>
        <v>0</v>
      </c>
      <c r="W111" s="164"/>
      <c r="X111" s="128" t="s">
        <v>1004</v>
      </c>
      <c r="Y111" s="37">
        <f>+ROUND((O111)*(1+SUMIF($Y$2:$Y$4,X111,$Z$2:$Z$4)),0)</f>
        <v>0</v>
      </c>
      <c r="Z111" s="37">
        <f t="shared" si="86"/>
        <v>0</v>
      </c>
      <c r="AA111" s="166"/>
      <c r="AB111" s="38"/>
      <c r="AC111" s="38"/>
    </row>
    <row r="112" spans="1:29" hidden="1" outlineLevel="2" x14ac:dyDescent="0.25">
      <c r="A112" s="158" t="s">
        <v>1189</v>
      </c>
      <c r="B112" s="159" t="str">
        <f>+B107</f>
        <v>3.2/5</v>
      </c>
      <c r="C112" s="168" t="s">
        <v>1497</v>
      </c>
      <c r="D112" s="183" t="s">
        <v>1498</v>
      </c>
      <c r="E112" s="170" t="s">
        <v>1612</v>
      </c>
      <c r="F112" s="171"/>
      <c r="G112" s="171"/>
      <c r="H112" s="33">
        <f t="shared" si="83"/>
        <v>0</v>
      </c>
      <c r="I112" s="505"/>
      <c r="J112" s="505">
        <f t="shared" si="87"/>
        <v>0</v>
      </c>
      <c r="K112" s="499"/>
      <c r="L112" s="499">
        <f t="shared" si="88"/>
        <v>0</v>
      </c>
      <c r="M112" s="39">
        <f t="shared" si="89"/>
        <v>0</v>
      </c>
      <c r="N112" s="163">
        <f t="shared" si="84"/>
        <v>0</v>
      </c>
      <c r="O112" s="172">
        <f t="shared" si="90"/>
        <v>0</v>
      </c>
      <c r="P112" s="521"/>
      <c r="Q112" s="521">
        <f t="shared" si="91"/>
        <v>0</v>
      </c>
      <c r="R112" s="526"/>
      <c r="S112" s="526">
        <f t="shared" si="92"/>
        <v>0</v>
      </c>
      <c r="T112" s="39">
        <f t="shared" si="85"/>
        <v>0</v>
      </c>
      <c r="U112" s="163">
        <f>+ROUND(T112*H112,2)</f>
        <v>0</v>
      </c>
      <c r="V112" s="173">
        <f t="shared" si="93"/>
        <v>0</v>
      </c>
      <c r="W112" s="164"/>
      <c r="X112" s="128" t="s">
        <v>1004</v>
      </c>
      <c r="Y112" s="37">
        <f>+ROUND((O112)*(1+SUMIF($Y$2:$Y$4,X112,$Z$2:$Z$4)),0)</f>
        <v>0</v>
      </c>
      <c r="Z112" s="37">
        <f t="shared" si="86"/>
        <v>0</v>
      </c>
      <c r="AA112" s="166"/>
      <c r="AB112" s="38"/>
      <c r="AC112" s="38"/>
    </row>
    <row r="113" spans="1:29" hidden="1" outlineLevel="2" x14ac:dyDescent="0.25">
      <c r="A113" s="158" t="s">
        <v>1189</v>
      </c>
      <c r="B113" s="159" t="str">
        <f>+B112</f>
        <v>3.2/5</v>
      </c>
      <c r="C113" s="168" t="s">
        <v>1499</v>
      </c>
      <c r="D113" s="183" t="s">
        <v>1500</v>
      </c>
      <c r="E113" s="170" t="s">
        <v>1612</v>
      </c>
      <c r="F113" s="171"/>
      <c r="G113" s="171"/>
      <c r="H113" s="33">
        <f t="shared" si="83"/>
        <v>0</v>
      </c>
      <c r="I113" s="505"/>
      <c r="J113" s="505">
        <f t="shared" si="87"/>
        <v>0</v>
      </c>
      <c r="K113" s="499"/>
      <c r="L113" s="499">
        <f t="shared" si="88"/>
        <v>0</v>
      </c>
      <c r="M113" s="39">
        <f t="shared" si="89"/>
        <v>0</v>
      </c>
      <c r="N113" s="163">
        <f t="shared" si="84"/>
        <v>0</v>
      </c>
      <c r="O113" s="172">
        <f t="shared" si="90"/>
        <v>0</v>
      </c>
      <c r="P113" s="521"/>
      <c r="Q113" s="521">
        <f t="shared" si="91"/>
        <v>0</v>
      </c>
      <c r="R113" s="526"/>
      <c r="S113" s="526">
        <f t="shared" si="92"/>
        <v>0</v>
      </c>
      <c r="T113" s="39">
        <f t="shared" si="85"/>
        <v>0</v>
      </c>
      <c r="U113" s="163">
        <f>+ROUND(T113*H113,2)</f>
        <v>0</v>
      </c>
      <c r="V113" s="173">
        <f t="shared" si="93"/>
        <v>0</v>
      </c>
      <c r="W113" s="164"/>
      <c r="X113" s="128" t="s">
        <v>1004</v>
      </c>
      <c r="Y113" s="37">
        <f>+ROUND((O113)*(1+SUMIF($Y$2:$Y$4,X113,$Z$2:$Z$4)),0)</f>
        <v>0</v>
      </c>
      <c r="Z113" s="37">
        <f t="shared" si="86"/>
        <v>0</v>
      </c>
      <c r="AA113" s="166"/>
      <c r="AB113" s="38"/>
      <c r="AC113" s="38"/>
    </row>
    <row r="114" spans="1:29" hidden="1" outlineLevel="2" x14ac:dyDescent="0.25">
      <c r="A114" s="158" t="s">
        <v>1189</v>
      </c>
      <c r="B114" s="159" t="str">
        <f>+B113</f>
        <v>3.2/5</v>
      </c>
      <c r="C114" s="168" t="s">
        <v>1501</v>
      </c>
      <c r="D114" s="183" t="s">
        <v>1502</v>
      </c>
      <c r="E114" s="170" t="s">
        <v>39</v>
      </c>
      <c r="F114" s="171"/>
      <c r="G114" s="171"/>
      <c r="H114" s="33">
        <f t="shared" si="83"/>
        <v>0</v>
      </c>
      <c r="I114" s="505"/>
      <c r="J114" s="505">
        <f t="shared" si="87"/>
        <v>0</v>
      </c>
      <c r="K114" s="499"/>
      <c r="L114" s="499">
        <f t="shared" si="88"/>
        <v>0</v>
      </c>
      <c r="M114" s="39">
        <f t="shared" si="89"/>
        <v>0</v>
      </c>
      <c r="N114" s="163">
        <f t="shared" si="84"/>
        <v>0</v>
      </c>
      <c r="O114" s="172">
        <f t="shared" si="90"/>
        <v>0</v>
      </c>
      <c r="P114" s="521"/>
      <c r="Q114" s="521">
        <f t="shared" si="91"/>
        <v>0</v>
      </c>
      <c r="R114" s="526"/>
      <c r="S114" s="526">
        <f t="shared" si="92"/>
        <v>0</v>
      </c>
      <c r="T114" s="39">
        <f t="shared" si="85"/>
        <v>0</v>
      </c>
      <c r="U114" s="163">
        <f>+ROUND(T114*H114,2)</f>
        <v>0</v>
      </c>
      <c r="V114" s="173">
        <f t="shared" si="93"/>
        <v>0</v>
      </c>
      <c r="W114" s="164"/>
      <c r="X114" s="128" t="s">
        <v>1004</v>
      </c>
      <c r="Y114" s="37">
        <f>+ROUND((O114)*(1+SUMIF($Y$2:$Y$4,X114,$Z$2:$Z$4)),0)</f>
        <v>0</v>
      </c>
      <c r="Z114" s="37">
        <f t="shared" si="86"/>
        <v>0</v>
      </c>
      <c r="AA114" s="166"/>
      <c r="AB114" s="38"/>
      <c r="AC114" s="38"/>
    </row>
    <row r="115" spans="1:29" hidden="1" outlineLevel="1" x14ac:dyDescent="0.25">
      <c r="A115" s="506" t="s">
        <v>1022</v>
      </c>
      <c r="B115" s="507" t="str">
        <f>+B114</f>
        <v>3.2/5</v>
      </c>
      <c r="C115" s="508"/>
      <c r="D115" s="549" t="s">
        <v>1023</v>
      </c>
      <c r="E115" s="510"/>
      <c r="F115" s="511"/>
      <c r="G115" s="511"/>
      <c r="H115" s="512">
        <f t="shared" si="83"/>
        <v>0</v>
      </c>
      <c r="I115" s="512"/>
      <c r="J115" s="512">
        <f t="shared" si="87"/>
        <v>0</v>
      </c>
      <c r="K115" s="512"/>
      <c r="L115" s="512">
        <f t="shared" si="88"/>
        <v>0</v>
      </c>
      <c r="M115" s="512">
        <f t="shared" si="89"/>
        <v>0</v>
      </c>
      <c r="N115" s="512">
        <f>SUM(N92:N114)</f>
        <v>0</v>
      </c>
      <c r="O115" s="513">
        <f>SUM(O92:O114)</f>
        <v>0</v>
      </c>
      <c r="P115" s="512"/>
      <c r="Q115" s="512">
        <f t="shared" si="91"/>
        <v>0</v>
      </c>
      <c r="R115" s="512"/>
      <c r="S115" s="512">
        <f t="shared" si="92"/>
        <v>0</v>
      </c>
      <c r="T115" s="512">
        <f t="shared" si="85"/>
        <v>0</v>
      </c>
      <c r="U115" s="512">
        <f>SUM(U92:U114)</f>
        <v>0</v>
      </c>
      <c r="V115" s="513">
        <f>SUM(V92:V114)</f>
        <v>0</v>
      </c>
      <c r="W115" s="507"/>
      <c r="X115" s="514" t="s">
        <v>1004</v>
      </c>
      <c r="Y115" s="515">
        <f>+ROUND((O115)*(1+SUMIF($Y$2:$Y$4,X115,$Z$2:$Z$4)),0)</f>
        <v>0</v>
      </c>
      <c r="Z115" s="515">
        <f>+ROUND((V115)*(1+SUMIF($Y$2:$Y$4,X115,$Z$2:$Z$4)),0)</f>
        <v>0</v>
      </c>
      <c r="AA115" s="166"/>
      <c r="AB115" s="38"/>
      <c r="AC115" s="38"/>
    </row>
    <row r="116" spans="1:29" hidden="1" outlineLevel="1" x14ac:dyDescent="0.25">
      <c r="A116" s="158" t="s">
        <v>1238</v>
      </c>
      <c r="B116" s="159" t="s">
        <v>1503</v>
      </c>
      <c r="C116" s="243">
        <v>4</v>
      </c>
      <c r="D116" s="184" t="s">
        <v>1504</v>
      </c>
      <c r="E116" s="162"/>
      <c r="F116" s="40"/>
      <c r="G116" s="40"/>
      <c r="H116" s="33">
        <f t="shared" si="83"/>
        <v>0</v>
      </c>
      <c r="I116" s="504"/>
      <c r="J116" s="504">
        <f t="shared" si="87"/>
        <v>0</v>
      </c>
      <c r="K116" s="498"/>
      <c r="L116" s="498">
        <f t="shared" si="88"/>
        <v>0</v>
      </c>
      <c r="M116" s="34">
        <f t="shared" si="89"/>
        <v>0</v>
      </c>
      <c r="N116" s="163">
        <f t="shared" si="84"/>
        <v>0</v>
      </c>
      <c r="O116" s="35"/>
      <c r="P116" s="520"/>
      <c r="Q116" s="520">
        <f t="shared" si="91"/>
        <v>0</v>
      </c>
      <c r="R116" s="525"/>
      <c r="S116" s="525">
        <f t="shared" si="92"/>
        <v>0</v>
      </c>
      <c r="T116" s="34">
        <f t="shared" si="85"/>
        <v>0</v>
      </c>
      <c r="U116" s="163">
        <f>+ROUND(T116*H116,2)</f>
        <v>0</v>
      </c>
      <c r="V116" s="36"/>
      <c r="W116" s="164"/>
      <c r="X116" s="128" t="s">
        <v>1004</v>
      </c>
      <c r="Y116" s="37">
        <f>+ROUND((O116)*(1+SUMIF($Y$2:$Y$4,X116,$Z$2:$Z$4)),0)</f>
        <v>0</v>
      </c>
      <c r="Z116" s="37">
        <f t="shared" ref="Z116:Z141" si="111">+ROUND((V116)*(1+SUMIF($Y$2:$Y$4,X116,$Z$2:$Z$4)),0)</f>
        <v>0</v>
      </c>
      <c r="AA116" s="166"/>
      <c r="AB116" s="38"/>
      <c r="AC116" s="38"/>
    </row>
    <row r="117" spans="1:29" hidden="1" outlineLevel="2" x14ac:dyDescent="0.25">
      <c r="A117" s="158" t="s">
        <v>1238</v>
      </c>
      <c r="B117" s="159" t="str">
        <f>+B116</f>
        <v>3.2/6</v>
      </c>
      <c r="C117" s="244">
        <v>4.0999999999999996</v>
      </c>
      <c r="D117" s="182" t="s">
        <v>1505</v>
      </c>
      <c r="E117" s="170"/>
      <c r="F117" s="40"/>
      <c r="G117" s="40"/>
      <c r="H117" s="33">
        <f t="shared" si="83"/>
        <v>0</v>
      </c>
      <c r="I117" s="504"/>
      <c r="J117" s="504">
        <f t="shared" si="87"/>
        <v>0</v>
      </c>
      <c r="K117" s="498"/>
      <c r="L117" s="498">
        <f t="shared" si="88"/>
        <v>0</v>
      </c>
      <c r="M117" s="34">
        <f t="shared" si="89"/>
        <v>0</v>
      </c>
      <c r="N117" s="163">
        <f t="shared" si="84"/>
        <v>0</v>
      </c>
      <c r="O117" s="172">
        <f t="shared" ref="O117:O141" si="112">N117</f>
        <v>0</v>
      </c>
      <c r="P117" s="520"/>
      <c r="Q117" s="520">
        <f t="shared" si="91"/>
        <v>0</v>
      </c>
      <c r="R117" s="525"/>
      <c r="S117" s="525">
        <f t="shared" si="92"/>
        <v>0</v>
      </c>
      <c r="T117" s="34">
        <f t="shared" si="85"/>
        <v>0</v>
      </c>
      <c r="U117" s="163">
        <f>+ROUND(T117*H117,2)</f>
        <v>0</v>
      </c>
      <c r="V117" s="173">
        <f t="shared" ref="V117:V141" si="113">U117</f>
        <v>0</v>
      </c>
      <c r="W117" s="164"/>
      <c r="X117" s="128" t="s">
        <v>1004</v>
      </c>
      <c r="Y117" s="37">
        <f>+ROUND((O117)*(1+SUMIF($Y$2:$Y$4,X117,$Z$2:$Z$4)),0)</f>
        <v>0</v>
      </c>
      <c r="Z117" s="37">
        <f t="shared" si="111"/>
        <v>0</v>
      </c>
      <c r="AA117" s="166"/>
      <c r="AB117" s="38"/>
      <c r="AC117" s="38"/>
    </row>
    <row r="118" spans="1:29" hidden="1" outlineLevel="2" x14ac:dyDescent="0.25">
      <c r="A118" s="158" t="s">
        <v>1238</v>
      </c>
      <c r="B118" s="159" t="str">
        <f>+B116</f>
        <v>3.2/6</v>
      </c>
      <c r="C118" s="168" t="s">
        <v>1506</v>
      </c>
      <c r="D118" s="550" t="s">
        <v>1507</v>
      </c>
      <c r="E118" s="170" t="s">
        <v>39</v>
      </c>
      <c r="F118" s="171"/>
      <c r="G118" s="171"/>
      <c r="H118" s="33">
        <f t="shared" si="83"/>
        <v>0</v>
      </c>
      <c r="I118" s="505"/>
      <c r="J118" s="505">
        <f t="shared" si="87"/>
        <v>0</v>
      </c>
      <c r="K118" s="499"/>
      <c r="L118" s="499">
        <f t="shared" si="88"/>
        <v>0</v>
      </c>
      <c r="M118" s="39">
        <f t="shared" si="89"/>
        <v>0</v>
      </c>
      <c r="N118" s="163">
        <f t="shared" si="84"/>
        <v>0</v>
      </c>
      <c r="O118" s="172">
        <f t="shared" si="112"/>
        <v>0</v>
      </c>
      <c r="P118" s="521"/>
      <c r="Q118" s="521">
        <f t="shared" si="91"/>
        <v>0</v>
      </c>
      <c r="R118" s="526"/>
      <c r="S118" s="526">
        <f t="shared" si="92"/>
        <v>0</v>
      </c>
      <c r="T118" s="39">
        <f t="shared" si="85"/>
        <v>0</v>
      </c>
      <c r="U118" s="163">
        <f>+ROUND(T118*H118,2)</f>
        <v>0</v>
      </c>
      <c r="V118" s="173">
        <f t="shared" si="113"/>
        <v>0</v>
      </c>
      <c r="W118" s="164"/>
      <c r="X118" s="128" t="s">
        <v>1004</v>
      </c>
      <c r="Y118" s="37">
        <f>+ROUND((O118)*(1+SUMIF($Y$2:$Y$4,X118,$Z$2:$Z$4)),0)</f>
        <v>0</v>
      </c>
      <c r="Z118" s="37">
        <f t="shared" si="111"/>
        <v>0</v>
      </c>
      <c r="AA118" s="166"/>
      <c r="AB118" s="38"/>
      <c r="AC118" s="38"/>
    </row>
    <row r="119" spans="1:29" hidden="1" outlineLevel="2" x14ac:dyDescent="0.25">
      <c r="A119" s="158" t="s">
        <v>1240</v>
      </c>
      <c r="B119" s="159" t="str">
        <f>+B118</f>
        <v>3.2/6</v>
      </c>
      <c r="C119" s="168" t="s">
        <v>1508</v>
      </c>
      <c r="D119" s="550" t="s">
        <v>1509</v>
      </c>
      <c r="E119" s="170" t="s">
        <v>39</v>
      </c>
      <c r="F119" s="171"/>
      <c r="G119" s="171"/>
      <c r="H119" s="33">
        <f t="shared" si="83"/>
        <v>0</v>
      </c>
      <c r="I119" s="505"/>
      <c r="J119" s="505">
        <f t="shared" si="87"/>
        <v>0</v>
      </c>
      <c r="K119" s="499"/>
      <c r="L119" s="499">
        <f t="shared" si="88"/>
        <v>0</v>
      </c>
      <c r="M119" s="39">
        <f t="shared" si="89"/>
        <v>0</v>
      </c>
      <c r="N119" s="163">
        <f t="shared" si="84"/>
        <v>0</v>
      </c>
      <c r="O119" s="172">
        <f t="shared" si="112"/>
        <v>0</v>
      </c>
      <c r="P119" s="521"/>
      <c r="Q119" s="521">
        <f t="shared" si="91"/>
        <v>0</v>
      </c>
      <c r="R119" s="526"/>
      <c r="S119" s="526">
        <f t="shared" si="92"/>
        <v>0</v>
      </c>
      <c r="T119" s="39">
        <f t="shared" si="85"/>
        <v>0</v>
      </c>
      <c r="U119" s="163">
        <f>+ROUND(T119*H119,2)</f>
        <v>0</v>
      </c>
      <c r="V119" s="173">
        <f t="shared" si="113"/>
        <v>0</v>
      </c>
      <c r="W119" s="164"/>
      <c r="X119" s="128" t="s">
        <v>1004</v>
      </c>
      <c r="Y119" s="37">
        <f>+ROUND((O119)*(1+SUMIF($Y$2:$Y$4,X119,$Z$2:$Z$4)),0)</f>
        <v>0</v>
      </c>
      <c r="Z119" s="37">
        <f t="shared" si="111"/>
        <v>0</v>
      </c>
      <c r="AA119" s="166"/>
      <c r="AB119" s="38"/>
      <c r="AC119" s="38"/>
    </row>
    <row r="120" spans="1:29" hidden="1" outlineLevel="2" x14ac:dyDescent="0.25">
      <c r="A120" s="158" t="s">
        <v>1340</v>
      </c>
      <c r="B120" s="159" t="str">
        <f>+B119</f>
        <v>3.2/6</v>
      </c>
      <c r="C120" s="168" t="s">
        <v>1510</v>
      </c>
      <c r="D120" s="550" t="s">
        <v>1511</v>
      </c>
      <c r="E120" s="170" t="s">
        <v>39</v>
      </c>
      <c r="F120" s="171"/>
      <c r="G120" s="171"/>
      <c r="H120" s="33">
        <f t="shared" si="83"/>
        <v>0</v>
      </c>
      <c r="I120" s="505"/>
      <c r="J120" s="505">
        <f t="shared" si="87"/>
        <v>0</v>
      </c>
      <c r="K120" s="499"/>
      <c r="L120" s="499">
        <f t="shared" si="88"/>
        <v>0</v>
      </c>
      <c r="M120" s="39">
        <f t="shared" si="89"/>
        <v>0</v>
      </c>
      <c r="N120" s="163">
        <f t="shared" si="84"/>
        <v>0</v>
      </c>
      <c r="O120" s="172">
        <f t="shared" si="112"/>
        <v>0</v>
      </c>
      <c r="P120" s="521"/>
      <c r="Q120" s="521">
        <f t="shared" si="91"/>
        <v>0</v>
      </c>
      <c r="R120" s="526"/>
      <c r="S120" s="526">
        <f t="shared" si="92"/>
        <v>0</v>
      </c>
      <c r="T120" s="39">
        <f t="shared" si="85"/>
        <v>0</v>
      </c>
      <c r="U120" s="163">
        <f>+ROUND(T120*H120,2)</f>
        <v>0</v>
      </c>
      <c r="V120" s="173">
        <f t="shared" si="113"/>
        <v>0</v>
      </c>
      <c r="W120" s="164"/>
      <c r="X120" s="128" t="s">
        <v>1004</v>
      </c>
      <c r="Y120" s="37">
        <f>+ROUND((O120)*(1+SUMIF($Y$2:$Y$4,X120,$Z$2:$Z$4)),0)</f>
        <v>0</v>
      </c>
      <c r="Z120" s="37">
        <f t="shared" si="111"/>
        <v>0</v>
      </c>
      <c r="AA120" s="166"/>
      <c r="AB120" s="38"/>
      <c r="AC120" s="38"/>
    </row>
    <row r="121" spans="1:29" hidden="1" outlineLevel="2" x14ac:dyDescent="0.25">
      <c r="A121" s="158" t="s">
        <v>1247</v>
      </c>
      <c r="B121" s="159" t="str">
        <f>+B120</f>
        <v>3.2/6</v>
      </c>
      <c r="C121" s="244">
        <v>4.2</v>
      </c>
      <c r="D121" s="182" t="s">
        <v>1512</v>
      </c>
      <c r="E121" s="170"/>
      <c r="F121" s="40"/>
      <c r="G121" s="40"/>
      <c r="H121" s="33">
        <f t="shared" si="83"/>
        <v>0</v>
      </c>
      <c r="I121" s="504"/>
      <c r="J121" s="504">
        <f t="shared" si="87"/>
        <v>0</v>
      </c>
      <c r="K121" s="498"/>
      <c r="L121" s="498">
        <f t="shared" si="88"/>
        <v>0</v>
      </c>
      <c r="M121" s="34">
        <f t="shared" si="89"/>
        <v>0</v>
      </c>
      <c r="N121" s="163">
        <f t="shared" si="84"/>
        <v>0</v>
      </c>
      <c r="O121" s="172">
        <f t="shared" si="112"/>
        <v>0</v>
      </c>
      <c r="P121" s="520"/>
      <c r="Q121" s="520">
        <f t="shared" si="91"/>
        <v>0</v>
      </c>
      <c r="R121" s="525"/>
      <c r="S121" s="525">
        <f t="shared" si="92"/>
        <v>0</v>
      </c>
      <c r="T121" s="34">
        <f t="shared" si="85"/>
        <v>0</v>
      </c>
      <c r="U121" s="163">
        <f>+ROUND(T121*H121,2)</f>
        <v>0</v>
      </c>
      <c r="V121" s="173">
        <f t="shared" si="113"/>
        <v>0</v>
      </c>
      <c r="W121" s="164"/>
      <c r="X121" s="128" t="s">
        <v>1004</v>
      </c>
      <c r="Y121" s="37">
        <f>+ROUND((O121)*(1+SUMIF($Y$2:$Y$4,X121,$Z$2:$Z$4)),0)</f>
        <v>0</v>
      </c>
      <c r="Z121" s="37">
        <f t="shared" si="111"/>
        <v>0</v>
      </c>
      <c r="AA121" s="166"/>
      <c r="AB121" s="38"/>
      <c r="AC121" s="38"/>
    </row>
    <row r="122" spans="1:29" ht="36" hidden="1" outlineLevel="2" x14ac:dyDescent="0.25">
      <c r="A122" s="158" t="s">
        <v>1247</v>
      </c>
      <c r="B122" s="159" t="str">
        <f>+B120</f>
        <v>3.2/6</v>
      </c>
      <c r="C122" s="168" t="s">
        <v>1513</v>
      </c>
      <c r="D122" s="550" t="s">
        <v>1514</v>
      </c>
      <c r="E122" s="170" t="s">
        <v>39</v>
      </c>
      <c r="F122" s="171"/>
      <c r="G122" s="171"/>
      <c r="H122" s="33">
        <f t="shared" si="83"/>
        <v>0</v>
      </c>
      <c r="I122" s="505"/>
      <c r="J122" s="505">
        <f t="shared" si="87"/>
        <v>0</v>
      </c>
      <c r="K122" s="499"/>
      <c r="L122" s="499">
        <f t="shared" si="88"/>
        <v>0</v>
      </c>
      <c r="M122" s="39">
        <f t="shared" si="89"/>
        <v>0</v>
      </c>
      <c r="N122" s="163">
        <f t="shared" si="84"/>
        <v>0</v>
      </c>
      <c r="O122" s="172">
        <f t="shared" si="112"/>
        <v>0</v>
      </c>
      <c r="P122" s="521"/>
      <c r="Q122" s="521">
        <f t="shared" si="91"/>
        <v>0</v>
      </c>
      <c r="R122" s="526"/>
      <c r="S122" s="526">
        <f t="shared" si="92"/>
        <v>0</v>
      </c>
      <c r="T122" s="39">
        <f t="shared" si="85"/>
        <v>0</v>
      </c>
      <c r="U122" s="163">
        <f>+ROUND(T122*H122,2)</f>
        <v>0</v>
      </c>
      <c r="V122" s="173">
        <f t="shared" si="113"/>
        <v>0</v>
      </c>
      <c r="W122" s="164"/>
      <c r="X122" s="128" t="s">
        <v>1004</v>
      </c>
      <c r="Y122" s="37">
        <f>+ROUND((O122)*(1+SUMIF($Y$2:$Y$4,X122,$Z$2:$Z$4)),0)</f>
        <v>0</v>
      </c>
      <c r="Z122" s="37">
        <f t="shared" si="111"/>
        <v>0</v>
      </c>
      <c r="AA122" s="166"/>
      <c r="AB122" s="38"/>
      <c r="AC122" s="38"/>
    </row>
    <row r="123" spans="1:29" s="546" customFormat="1" hidden="1" outlineLevel="3" x14ac:dyDescent="0.25">
      <c r="A123" s="158" t="s">
        <v>1247</v>
      </c>
      <c r="B123" s="548" t="str">
        <f t="shared" ref="B123:B128" si="114">+B122</f>
        <v>3.2/6</v>
      </c>
      <c r="C123" s="529"/>
      <c r="D123" s="528" t="s">
        <v>2087</v>
      </c>
      <c r="E123" s="530" t="s">
        <v>39</v>
      </c>
      <c r="F123" s="531"/>
      <c r="G123" s="531"/>
      <c r="H123" s="532">
        <f t="shared" si="83"/>
        <v>0</v>
      </c>
      <c r="I123" s="533"/>
      <c r="J123" s="533">
        <f t="shared" si="87"/>
        <v>0</v>
      </c>
      <c r="K123" s="534"/>
      <c r="L123" s="534">
        <f t="shared" si="88"/>
        <v>0</v>
      </c>
      <c r="M123" s="535">
        <f t="shared" si="89"/>
        <v>0</v>
      </c>
      <c r="N123" s="536">
        <f t="shared" si="84"/>
        <v>0</v>
      </c>
      <c r="O123" s="537">
        <f t="shared" ref="O123:O125" si="115">N123</f>
        <v>0</v>
      </c>
      <c r="P123" s="538"/>
      <c r="Q123" s="538">
        <f t="shared" si="91"/>
        <v>0</v>
      </c>
      <c r="R123" s="539"/>
      <c r="S123" s="539">
        <f t="shared" si="92"/>
        <v>0</v>
      </c>
      <c r="T123" s="535">
        <f t="shared" si="85"/>
        <v>0</v>
      </c>
      <c r="U123" s="536">
        <f t="shared" ref="U123:U125" si="116">+ROUND(T123*H123,2)</f>
        <v>0</v>
      </c>
      <c r="V123" s="540">
        <f t="shared" ref="V123:V125" si="117">U123</f>
        <v>0</v>
      </c>
      <c r="W123" s="541"/>
      <c r="X123" s="542" t="s">
        <v>1004</v>
      </c>
      <c r="Y123" s="543">
        <f t="shared" ref="Y123:Y125" si="118">+ROUND((O123)*(1+SUMIF($Y$2:$Y$4,X123,$Z$2:$Z$4)),0)</f>
        <v>0</v>
      </c>
      <c r="Z123" s="543">
        <f t="shared" ref="Z123:Z125" si="119">+ROUND((V123)*(1+SUMIF($Y$2:$Y$4,X123,$Z$2:$Z$4)),0)</f>
        <v>0</v>
      </c>
      <c r="AA123" s="544"/>
      <c r="AB123" s="545"/>
      <c r="AC123" s="545"/>
    </row>
    <row r="124" spans="1:29" s="546" customFormat="1" hidden="1" outlineLevel="3" x14ac:dyDescent="0.25">
      <c r="A124" s="158" t="s">
        <v>1247</v>
      </c>
      <c r="B124" s="548" t="str">
        <f t="shared" si="114"/>
        <v>3.2/6</v>
      </c>
      <c r="C124" s="529"/>
      <c r="D124" s="528" t="s">
        <v>2088</v>
      </c>
      <c r="E124" s="530" t="s">
        <v>39</v>
      </c>
      <c r="F124" s="531"/>
      <c r="G124" s="531"/>
      <c r="H124" s="532">
        <f t="shared" si="83"/>
        <v>0</v>
      </c>
      <c r="I124" s="533"/>
      <c r="J124" s="533">
        <f t="shared" si="87"/>
        <v>0</v>
      </c>
      <c r="K124" s="534"/>
      <c r="L124" s="534">
        <f t="shared" si="88"/>
        <v>0</v>
      </c>
      <c r="M124" s="535">
        <f t="shared" si="89"/>
        <v>0</v>
      </c>
      <c r="N124" s="536">
        <f t="shared" si="84"/>
        <v>0</v>
      </c>
      <c r="O124" s="537">
        <f t="shared" si="115"/>
        <v>0</v>
      </c>
      <c r="P124" s="538"/>
      <c r="Q124" s="538">
        <f t="shared" si="91"/>
        <v>0</v>
      </c>
      <c r="R124" s="539"/>
      <c r="S124" s="539">
        <f t="shared" si="92"/>
        <v>0</v>
      </c>
      <c r="T124" s="535">
        <f t="shared" si="85"/>
        <v>0</v>
      </c>
      <c r="U124" s="536">
        <f t="shared" si="116"/>
        <v>0</v>
      </c>
      <c r="V124" s="540">
        <f t="shared" si="117"/>
        <v>0</v>
      </c>
      <c r="W124" s="541"/>
      <c r="X124" s="542" t="s">
        <v>1004</v>
      </c>
      <c r="Y124" s="543">
        <f t="shared" si="118"/>
        <v>0</v>
      </c>
      <c r="Z124" s="543">
        <f t="shared" si="119"/>
        <v>0</v>
      </c>
      <c r="AA124" s="544"/>
      <c r="AB124" s="545"/>
      <c r="AC124" s="545"/>
    </row>
    <row r="125" spans="1:29" s="546" customFormat="1" hidden="1" outlineLevel="3" x14ac:dyDescent="0.25">
      <c r="A125" s="158" t="s">
        <v>1247</v>
      </c>
      <c r="B125" s="548" t="str">
        <f t="shared" si="114"/>
        <v>3.2/6</v>
      </c>
      <c r="C125" s="529"/>
      <c r="D125" s="528" t="s">
        <v>2089</v>
      </c>
      <c r="E125" s="530" t="s">
        <v>39</v>
      </c>
      <c r="F125" s="531"/>
      <c r="G125" s="531"/>
      <c r="H125" s="532">
        <f t="shared" si="83"/>
        <v>0</v>
      </c>
      <c r="I125" s="533"/>
      <c r="J125" s="533">
        <f t="shared" si="87"/>
        <v>0</v>
      </c>
      <c r="K125" s="534"/>
      <c r="L125" s="534">
        <f t="shared" si="88"/>
        <v>0</v>
      </c>
      <c r="M125" s="535">
        <f t="shared" si="89"/>
        <v>0</v>
      </c>
      <c r="N125" s="536">
        <f t="shared" si="84"/>
        <v>0</v>
      </c>
      <c r="O125" s="537">
        <f t="shared" si="115"/>
        <v>0</v>
      </c>
      <c r="P125" s="538"/>
      <c r="Q125" s="538">
        <f t="shared" si="91"/>
        <v>0</v>
      </c>
      <c r="R125" s="539"/>
      <c r="S125" s="539">
        <f t="shared" si="92"/>
        <v>0</v>
      </c>
      <c r="T125" s="535">
        <f t="shared" si="85"/>
        <v>0</v>
      </c>
      <c r="U125" s="536">
        <f t="shared" si="116"/>
        <v>0</v>
      </c>
      <c r="V125" s="540">
        <f t="shared" si="117"/>
        <v>0</v>
      </c>
      <c r="W125" s="541"/>
      <c r="X125" s="542" t="s">
        <v>1004</v>
      </c>
      <c r="Y125" s="543">
        <f t="shared" si="118"/>
        <v>0</v>
      </c>
      <c r="Z125" s="543">
        <f t="shared" si="119"/>
        <v>0</v>
      </c>
      <c r="AA125" s="544"/>
      <c r="AB125" s="545"/>
      <c r="AC125" s="545"/>
    </row>
    <row r="126" spans="1:29" s="546" customFormat="1" hidden="1" outlineLevel="3" x14ac:dyDescent="0.25">
      <c r="A126" s="158" t="s">
        <v>1247</v>
      </c>
      <c r="B126" s="548" t="str">
        <f t="shared" si="114"/>
        <v>3.2/6</v>
      </c>
      <c r="C126" s="529"/>
      <c r="D126" s="528" t="s">
        <v>2090</v>
      </c>
      <c r="E126" s="530" t="s">
        <v>39</v>
      </c>
      <c r="F126" s="531"/>
      <c r="G126" s="531"/>
      <c r="H126" s="532">
        <f t="shared" ref="H126:H130" si="120">+SUM(F126:G126)</f>
        <v>0</v>
      </c>
      <c r="I126" s="533"/>
      <c r="J126" s="533">
        <f t="shared" si="87"/>
        <v>0</v>
      </c>
      <c r="K126" s="534"/>
      <c r="L126" s="534">
        <f t="shared" si="88"/>
        <v>0</v>
      </c>
      <c r="M126" s="535">
        <f t="shared" ref="M126:M130" si="121">+J126+L126</f>
        <v>0</v>
      </c>
      <c r="N126" s="536">
        <f t="shared" ref="N126:N130" si="122">+ROUND(M126*H126,2)</f>
        <v>0</v>
      </c>
      <c r="O126" s="537">
        <f t="shared" ref="O126:O130" si="123">N126</f>
        <v>0</v>
      </c>
      <c r="P126" s="538"/>
      <c r="Q126" s="538">
        <f t="shared" si="91"/>
        <v>0</v>
      </c>
      <c r="R126" s="539"/>
      <c r="S126" s="539">
        <f t="shared" si="92"/>
        <v>0</v>
      </c>
      <c r="T126" s="535">
        <f t="shared" ref="T126:T130" si="124">+Q126+S126</f>
        <v>0</v>
      </c>
      <c r="U126" s="536">
        <f t="shared" ref="U126:U130" si="125">+ROUND(T126*H126,2)</f>
        <v>0</v>
      </c>
      <c r="V126" s="540">
        <f t="shared" ref="V126:V130" si="126">U126</f>
        <v>0</v>
      </c>
      <c r="W126" s="541"/>
      <c r="X126" s="542" t="s">
        <v>1004</v>
      </c>
      <c r="Y126" s="543">
        <f t="shared" ref="Y126:Y130" si="127">+ROUND((O126)*(1+SUMIF($Y$2:$Y$4,X126,$Z$2:$Z$4)),0)</f>
        <v>0</v>
      </c>
      <c r="Z126" s="543">
        <f t="shared" ref="Z126:Z130" si="128">+ROUND((V126)*(1+SUMIF($Y$2:$Y$4,X126,$Z$2:$Z$4)),0)</f>
        <v>0</v>
      </c>
      <c r="AA126" s="544"/>
      <c r="AB126" s="545"/>
      <c r="AC126" s="545"/>
    </row>
    <row r="127" spans="1:29" s="546" customFormat="1" hidden="1" outlineLevel="3" x14ac:dyDescent="0.25">
      <c r="A127" s="158" t="s">
        <v>1247</v>
      </c>
      <c r="B127" s="548" t="str">
        <f t="shared" si="114"/>
        <v>3.2/6</v>
      </c>
      <c r="C127" s="529"/>
      <c r="D127" s="528" t="s">
        <v>2091</v>
      </c>
      <c r="E127" s="530" t="s">
        <v>39</v>
      </c>
      <c r="F127" s="531"/>
      <c r="G127" s="531"/>
      <c r="H127" s="532">
        <f t="shared" si="120"/>
        <v>0</v>
      </c>
      <c r="I127" s="533"/>
      <c r="J127" s="533">
        <f t="shared" si="87"/>
        <v>0</v>
      </c>
      <c r="K127" s="534"/>
      <c r="L127" s="534">
        <f t="shared" si="88"/>
        <v>0</v>
      </c>
      <c r="M127" s="535">
        <f t="shared" si="121"/>
        <v>0</v>
      </c>
      <c r="N127" s="536">
        <f t="shared" si="122"/>
        <v>0</v>
      </c>
      <c r="O127" s="537">
        <f t="shared" si="123"/>
        <v>0</v>
      </c>
      <c r="P127" s="538"/>
      <c r="Q127" s="538">
        <f t="shared" si="91"/>
        <v>0</v>
      </c>
      <c r="R127" s="539"/>
      <c r="S127" s="539">
        <f t="shared" si="92"/>
        <v>0</v>
      </c>
      <c r="T127" s="535">
        <f t="shared" si="124"/>
        <v>0</v>
      </c>
      <c r="U127" s="536">
        <f t="shared" si="125"/>
        <v>0</v>
      </c>
      <c r="V127" s="540">
        <f t="shared" si="126"/>
        <v>0</v>
      </c>
      <c r="W127" s="541"/>
      <c r="X127" s="542" t="s">
        <v>1004</v>
      </c>
      <c r="Y127" s="543">
        <f t="shared" si="127"/>
        <v>0</v>
      </c>
      <c r="Z127" s="543">
        <f t="shared" si="128"/>
        <v>0</v>
      </c>
      <c r="AA127" s="544"/>
      <c r="AB127" s="545"/>
      <c r="AC127" s="545"/>
    </row>
    <row r="128" spans="1:29" s="546" customFormat="1" hidden="1" outlineLevel="3" x14ac:dyDescent="0.25">
      <c r="A128" s="158" t="s">
        <v>1247</v>
      </c>
      <c r="B128" s="548" t="str">
        <f t="shared" si="114"/>
        <v>3.2/6</v>
      </c>
      <c r="C128" s="529"/>
      <c r="D128" s="528" t="s">
        <v>1242</v>
      </c>
      <c r="E128" s="530" t="s">
        <v>39</v>
      </c>
      <c r="F128" s="531"/>
      <c r="G128" s="531"/>
      <c r="H128" s="532">
        <f t="shared" si="120"/>
        <v>0</v>
      </c>
      <c r="I128" s="533"/>
      <c r="J128" s="533">
        <f t="shared" si="87"/>
        <v>0</v>
      </c>
      <c r="K128" s="534"/>
      <c r="L128" s="534">
        <f t="shared" si="88"/>
        <v>0</v>
      </c>
      <c r="M128" s="535">
        <f t="shared" si="121"/>
        <v>0</v>
      </c>
      <c r="N128" s="536">
        <f t="shared" si="122"/>
        <v>0</v>
      </c>
      <c r="O128" s="537">
        <f t="shared" si="123"/>
        <v>0</v>
      </c>
      <c r="P128" s="538"/>
      <c r="Q128" s="538">
        <f t="shared" si="91"/>
        <v>0</v>
      </c>
      <c r="R128" s="539"/>
      <c r="S128" s="539">
        <f t="shared" si="92"/>
        <v>0</v>
      </c>
      <c r="T128" s="535">
        <f t="shared" si="124"/>
        <v>0</v>
      </c>
      <c r="U128" s="536">
        <f t="shared" si="125"/>
        <v>0</v>
      </c>
      <c r="V128" s="540">
        <f t="shared" si="126"/>
        <v>0</v>
      </c>
      <c r="W128" s="541"/>
      <c r="X128" s="542" t="s">
        <v>1004</v>
      </c>
      <c r="Y128" s="543">
        <f t="shared" si="127"/>
        <v>0</v>
      </c>
      <c r="Z128" s="543">
        <f t="shared" si="128"/>
        <v>0</v>
      </c>
      <c r="AA128" s="544"/>
      <c r="AB128" s="545"/>
      <c r="AC128" s="545"/>
    </row>
    <row r="129" spans="1:29" s="546" customFormat="1" hidden="1" outlineLevel="3" x14ac:dyDescent="0.25">
      <c r="A129" s="158" t="s">
        <v>1247</v>
      </c>
      <c r="B129" s="548" t="str">
        <f>+B127</f>
        <v>3.2/6</v>
      </c>
      <c r="C129" s="529"/>
      <c r="D129" s="528" t="s">
        <v>2088</v>
      </c>
      <c r="E129" s="530" t="s">
        <v>39</v>
      </c>
      <c r="F129" s="531"/>
      <c r="G129" s="531"/>
      <c r="H129" s="532">
        <f t="shared" ref="H129" si="129">+SUM(F129:G129)</f>
        <v>0</v>
      </c>
      <c r="I129" s="533"/>
      <c r="J129" s="533">
        <f t="shared" si="87"/>
        <v>0</v>
      </c>
      <c r="K129" s="534"/>
      <c r="L129" s="534">
        <f t="shared" si="88"/>
        <v>0</v>
      </c>
      <c r="M129" s="535">
        <f t="shared" ref="M129" si="130">+J129+L129</f>
        <v>0</v>
      </c>
      <c r="N129" s="536">
        <f t="shared" ref="N129" si="131">+ROUND(M129*H129,2)</f>
        <v>0</v>
      </c>
      <c r="O129" s="537">
        <f t="shared" ref="O129" si="132">N129</f>
        <v>0</v>
      </c>
      <c r="P129" s="538"/>
      <c r="Q129" s="538">
        <f t="shared" si="91"/>
        <v>0</v>
      </c>
      <c r="R129" s="539"/>
      <c r="S129" s="539">
        <f t="shared" si="92"/>
        <v>0</v>
      </c>
      <c r="T129" s="535">
        <f t="shared" ref="T129" si="133">+Q129+S129</f>
        <v>0</v>
      </c>
      <c r="U129" s="536">
        <f t="shared" ref="U129" si="134">+ROUND(T129*H129,2)</f>
        <v>0</v>
      </c>
      <c r="V129" s="540">
        <f t="shared" ref="V129" si="135">U129</f>
        <v>0</v>
      </c>
      <c r="W129" s="541"/>
      <c r="X129" s="542" t="s">
        <v>1004</v>
      </c>
      <c r="Y129" s="543">
        <f t="shared" ref="Y129" si="136">+ROUND((O129)*(1+SUMIF($Y$2:$Y$4,X129,$Z$2:$Z$4)),0)</f>
        <v>0</v>
      </c>
      <c r="Z129" s="543">
        <f t="shared" ref="Z129" si="137">+ROUND((V129)*(1+SUMIF($Y$2:$Y$4,X129,$Z$2:$Z$4)),0)</f>
        <v>0</v>
      </c>
      <c r="AA129" s="544"/>
      <c r="AB129" s="545"/>
      <c r="AC129" s="545"/>
    </row>
    <row r="130" spans="1:29" s="546" customFormat="1" hidden="1" outlineLevel="3" x14ac:dyDescent="0.25">
      <c r="A130" s="158" t="s">
        <v>1247</v>
      </c>
      <c r="B130" s="548" t="str">
        <f>+B128</f>
        <v>3.2/6</v>
      </c>
      <c r="C130" s="529"/>
      <c r="D130" s="528" t="s">
        <v>2092</v>
      </c>
      <c r="E130" s="530" t="s">
        <v>39</v>
      </c>
      <c r="F130" s="531"/>
      <c r="G130" s="531"/>
      <c r="H130" s="532">
        <f t="shared" si="120"/>
        <v>0</v>
      </c>
      <c r="I130" s="533"/>
      <c r="J130" s="533">
        <f t="shared" si="87"/>
        <v>0</v>
      </c>
      <c r="K130" s="534"/>
      <c r="L130" s="534">
        <f t="shared" si="88"/>
        <v>0</v>
      </c>
      <c r="M130" s="535">
        <f t="shared" si="121"/>
        <v>0</v>
      </c>
      <c r="N130" s="536">
        <f t="shared" si="122"/>
        <v>0</v>
      </c>
      <c r="O130" s="537">
        <f t="shared" si="123"/>
        <v>0</v>
      </c>
      <c r="P130" s="538"/>
      <c r="Q130" s="538">
        <f t="shared" si="91"/>
        <v>0</v>
      </c>
      <c r="R130" s="539"/>
      <c r="S130" s="539">
        <f t="shared" si="92"/>
        <v>0</v>
      </c>
      <c r="T130" s="535">
        <f t="shared" si="124"/>
        <v>0</v>
      </c>
      <c r="U130" s="536">
        <f t="shared" si="125"/>
        <v>0</v>
      </c>
      <c r="V130" s="540">
        <f t="shared" si="126"/>
        <v>0</v>
      </c>
      <c r="W130" s="541"/>
      <c r="X130" s="542" t="s">
        <v>1004</v>
      </c>
      <c r="Y130" s="543">
        <f t="shared" si="127"/>
        <v>0</v>
      </c>
      <c r="Z130" s="543">
        <f t="shared" si="128"/>
        <v>0</v>
      </c>
      <c r="AA130" s="544"/>
      <c r="AB130" s="545"/>
      <c r="AC130" s="545"/>
    </row>
    <row r="131" spans="1:29" hidden="1" outlineLevel="2" x14ac:dyDescent="0.25">
      <c r="A131" s="158" t="s">
        <v>1238</v>
      </c>
      <c r="B131" s="159" t="str">
        <f>+B122</f>
        <v>3.2/6</v>
      </c>
      <c r="C131" s="244">
        <v>4.3</v>
      </c>
      <c r="D131" s="182" t="s">
        <v>1515</v>
      </c>
      <c r="E131" s="170"/>
      <c r="F131" s="40"/>
      <c r="G131" s="40"/>
      <c r="H131" s="33">
        <f t="shared" si="83"/>
        <v>0</v>
      </c>
      <c r="I131" s="504"/>
      <c r="J131" s="504">
        <f t="shared" si="87"/>
        <v>0</v>
      </c>
      <c r="K131" s="498"/>
      <c r="L131" s="498">
        <f t="shared" si="88"/>
        <v>0</v>
      </c>
      <c r="M131" s="34">
        <f t="shared" si="89"/>
        <v>0</v>
      </c>
      <c r="N131" s="163">
        <f t="shared" si="84"/>
        <v>0</v>
      </c>
      <c r="O131" s="172">
        <f t="shared" si="112"/>
        <v>0</v>
      </c>
      <c r="P131" s="520"/>
      <c r="Q131" s="520">
        <f t="shared" si="91"/>
        <v>0</v>
      </c>
      <c r="R131" s="525"/>
      <c r="S131" s="525">
        <f t="shared" si="92"/>
        <v>0</v>
      </c>
      <c r="T131" s="34">
        <f t="shared" si="85"/>
        <v>0</v>
      </c>
      <c r="U131" s="163">
        <f>+ROUND(T131*H131,2)</f>
        <v>0</v>
      </c>
      <c r="V131" s="173">
        <f t="shared" si="113"/>
        <v>0</v>
      </c>
      <c r="W131" s="164"/>
      <c r="X131" s="128" t="s">
        <v>1004</v>
      </c>
      <c r="Y131" s="37">
        <f>+ROUND((O131)*(1+SUMIF($Y$2:$Y$4,X131,$Z$2:$Z$4)),0)</f>
        <v>0</v>
      </c>
      <c r="Z131" s="37">
        <f t="shared" si="111"/>
        <v>0</v>
      </c>
      <c r="AA131" s="166"/>
      <c r="AB131" s="38"/>
      <c r="AC131" s="38"/>
    </row>
    <row r="132" spans="1:29" hidden="1" outlineLevel="2" x14ac:dyDescent="0.25">
      <c r="A132" s="158" t="s">
        <v>1238</v>
      </c>
      <c r="B132" s="159" t="str">
        <f>+B122</f>
        <v>3.2/6</v>
      </c>
      <c r="C132" s="168" t="s">
        <v>1516</v>
      </c>
      <c r="D132" s="550" t="s">
        <v>1517</v>
      </c>
      <c r="E132" s="170" t="s">
        <v>39</v>
      </c>
      <c r="F132" s="171"/>
      <c r="G132" s="171"/>
      <c r="H132" s="33">
        <f t="shared" si="83"/>
        <v>0</v>
      </c>
      <c r="I132" s="505"/>
      <c r="J132" s="505">
        <f t="shared" si="87"/>
        <v>0</v>
      </c>
      <c r="K132" s="499"/>
      <c r="L132" s="499">
        <f t="shared" si="88"/>
        <v>0</v>
      </c>
      <c r="M132" s="39">
        <f t="shared" si="89"/>
        <v>0</v>
      </c>
      <c r="N132" s="163">
        <f t="shared" si="84"/>
        <v>0</v>
      </c>
      <c r="O132" s="172">
        <f t="shared" si="112"/>
        <v>0</v>
      </c>
      <c r="P132" s="521"/>
      <c r="Q132" s="521">
        <f t="shared" si="91"/>
        <v>0</v>
      </c>
      <c r="R132" s="526"/>
      <c r="S132" s="526">
        <f t="shared" si="92"/>
        <v>0</v>
      </c>
      <c r="T132" s="39">
        <f t="shared" si="85"/>
        <v>0</v>
      </c>
      <c r="U132" s="163">
        <f>+ROUND(T132*H132,2)</f>
        <v>0</v>
      </c>
      <c r="V132" s="173">
        <f t="shared" si="113"/>
        <v>0</v>
      </c>
      <c r="W132" s="164"/>
      <c r="X132" s="128" t="s">
        <v>1004</v>
      </c>
      <c r="Y132" s="37">
        <f>+ROUND((O132)*(1+SUMIF($Y$2:$Y$4,X132,$Z$2:$Z$4)),0)</f>
        <v>0</v>
      </c>
      <c r="Z132" s="37">
        <f t="shared" si="111"/>
        <v>0</v>
      </c>
      <c r="AA132" s="166"/>
      <c r="AB132" s="38"/>
      <c r="AC132" s="38"/>
    </row>
    <row r="133" spans="1:29" ht="24" hidden="1" outlineLevel="2" x14ac:dyDescent="0.25">
      <c r="A133" s="158" t="s">
        <v>1247</v>
      </c>
      <c r="B133" s="159" t="str">
        <f>+B132</f>
        <v>3.2/6</v>
      </c>
      <c r="C133" s="168" t="s">
        <v>1518</v>
      </c>
      <c r="D133" s="550" t="s">
        <v>1519</v>
      </c>
      <c r="E133" s="170"/>
      <c r="F133" s="171"/>
      <c r="G133" s="171"/>
      <c r="H133" s="33">
        <f t="shared" si="83"/>
        <v>0</v>
      </c>
      <c r="I133" s="505"/>
      <c r="J133" s="505">
        <f t="shared" si="87"/>
        <v>0</v>
      </c>
      <c r="K133" s="499"/>
      <c r="L133" s="499">
        <f t="shared" si="88"/>
        <v>0</v>
      </c>
      <c r="M133" s="39">
        <f t="shared" si="89"/>
        <v>0</v>
      </c>
      <c r="N133" s="163">
        <f t="shared" si="84"/>
        <v>0</v>
      </c>
      <c r="O133" s="172">
        <f t="shared" si="112"/>
        <v>0</v>
      </c>
      <c r="P133" s="521"/>
      <c r="Q133" s="521">
        <f t="shared" si="91"/>
        <v>0</v>
      </c>
      <c r="R133" s="526"/>
      <c r="S133" s="526">
        <f t="shared" si="92"/>
        <v>0</v>
      </c>
      <c r="T133" s="39">
        <f t="shared" si="85"/>
        <v>0</v>
      </c>
      <c r="U133" s="163">
        <f>+ROUND(T133*H133,2)</f>
        <v>0</v>
      </c>
      <c r="V133" s="173">
        <f t="shared" si="113"/>
        <v>0</v>
      </c>
      <c r="W133" s="164"/>
      <c r="X133" s="128" t="s">
        <v>1004</v>
      </c>
      <c r="Y133" s="37">
        <f>+ROUND((O133)*(1+SUMIF($Y$2:$Y$4,X133,$Z$2:$Z$4)),0)</f>
        <v>0</v>
      </c>
      <c r="Z133" s="37">
        <f t="shared" si="111"/>
        <v>0</v>
      </c>
      <c r="AA133" s="166"/>
      <c r="AB133" s="38"/>
      <c r="AC133" s="38"/>
    </row>
    <row r="134" spans="1:29" s="546" customFormat="1" hidden="1" outlineLevel="3" x14ac:dyDescent="0.25">
      <c r="A134" s="158" t="s">
        <v>1247</v>
      </c>
      <c r="B134" s="548" t="str">
        <f t="shared" ref="B134:B136" si="138">+B133</f>
        <v>3.2/6</v>
      </c>
      <c r="C134" s="529"/>
      <c r="D134" s="528" t="s">
        <v>2085</v>
      </c>
      <c r="E134" s="530" t="s">
        <v>39</v>
      </c>
      <c r="F134" s="531"/>
      <c r="G134" s="531"/>
      <c r="H134" s="532">
        <f t="shared" ref="H134:H136" si="139">+SUM(F134:G134)</f>
        <v>0</v>
      </c>
      <c r="I134" s="533"/>
      <c r="J134" s="533">
        <f t="shared" si="87"/>
        <v>0</v>
      </c>
      <c r="K134" s="534"/>
      <c r="L134" s="534">
        <f t="shared" si="88"/>
        <v>0</v>
      </c>
      <c r="M134" s="535">
        <f t="shared" ref="M134:M136" si="140">+J134+L134</f>
        <v>0</v>
      </c>
      <c r="N134" s="536">
        <f t="shared" ref="N134:N136" si="141">+ROUND(M134*H134,2)</f>
        <v>0</v>
      </c>
      <c r="O134" s="537">
        <f t="shared" si="112"/>
        <v>0</v>
      </c>
      <c r="P134" s="538"/>
      <c r="Q134" s="538">
        <f t="shared" si="91"/>
        <v>0</v>
      </c>
      <c r="R134" s="539"/>
      <c r="S134" s="539">
        <f t="shared" si="92"/>
        <v>0</v>
      </c>
      <c r="T134" s="535">
        <f t="shared" ref="T134:T136" si="142">+Q134+S134</f>
        <v>0</v>
      </c>
      <c r="U134" s="536">
        <f t="shared" ref="U134:U136" si="143">+ROUND(T134*H134,2)</f>
        <v>0</v>
      </c>
      <c r="V134" s="540">
        <f t="shared" si="113"/>
        <v>0</v>
      </c>
      <c r="W134" s="541"/>
      <c r="X134" s="542" t="s">
        <v>1004</v>
      </c>
      <c r="Y134" s="543">
        <f t="shared" ref="Y134:Y136" si="144">+ROUND((O134)*(1+SUMIF($Y$2:$Y$4,X134,$Z$2:$Z$4)),0)</f>
        <v>0</v>
      </c>
      <c r="Z134" s="543">
        <f t="shared" si="111"/>
        <v>0</v>
      </c>
      <c r="AA134" s="544"/>
      <c r="AB134" s="545"/>
      <c r="AC134" s="545"/>
    </row>
    <row r="135" spans="1:29" s="546" customFormat="1" hidden="1" outlineLevel="3" x14ac:dyDescent="0.25">
      <c r="A135" s="158" t="s">
        <v>1247</v>
      </c>
      <c r="B135" s="548" t="str">
        <f t="shared" si="138"/>
        <v>3.2/6</v>
      </c>
      <c r="C135" s="529"/>
      <c r="D135" s="528" t="s">
        <v>2086</v>
      </c>
      <c r="E135" s="530" t="s">
        <v>39</v>
      </c>
      <c r="F135" s="531"/>
      <c r="G135" s="531"/>
      <c r="H135" s="532">
        <f t="shared" si="139"/>
        <v>0</v>
      </c>
      <c r="I135" s="533"/>
      <c r="J135" s="533">
        <f t="shared" si="87"/>
        <v>0</v>
      </c>
      <c r="K135" s="534"/>
      <c r="L135" s="534">
        <f t="shared" si="88"/>
        <v>0</v>
      </c>
      <c r="M135" s="535">
        <f t="shared" si="140"/>
        <v>0</v>
      </c>
      <c r="N135" s="536">
        <f t="shared" si="141"/>
        <v>0</v>
      </c>
      <c r="O135" s="537">
        <f t="shared" si="112"/>
        <v>0</v>
      </c>
      <c r="P135" s="538"/>
      <c r="Q135" s="538">
        <f t="shared" si="91"/>
        <v>0</v>
      </c>
      <c r="R135" s="539"/>
      <c r="S135" s="539">
        <f t="shared" si="92"/>
        <v>0</v>
      </c>
      <c r="T135" s="535">
        <f t="shared" si="142"/>
        <v>0</v>
      </c>
      <c r="U135" s="536">
        <f t="shared" si="143"/>
        <v>0</v>
      </c>
      <c r="V135" s="540">
        <f t="shared" si="113"/>
        <v>0</v>
      </c>
      <c r="W135" s="541"/>
      <c r="X135" s="542" t="s">
        <v>1004</v>
      </c>
      <c r="Y135" s="543">
        <f t="shared" si="144"/>
        <v>0</v>
      </c>
      <c r="Z135" s="543">
        <f t="shared" si="111"/>
        <v>0</v>
      </c>
      <c r="AA135" s="544"/>
      <c r="AB135" s="545"/>
      <c r="AC135" s="545"/>
    </row>
    <row r="136" spans="1:29" s="546" customFormat="1" hidden="1" outlineLevel="3" x14ac:dyDescent="0.25">
      <c r="A136" s="158" t="s">
        <v>1247</v>
      </c>
      <c r="B136" s="548" t="str">
        <f t="shared" si="138"/>
        <v>3.2/6</v>
      </c>
      <c r="C136" s="529"/>
      <c r="D136" s="528"/>
      <c r="E136" s="530"/>
      <c r="F136" s="531"/>
      <c r="G136" s="531"/>
      <c r="H136" s="532">
        <f t="shared" si="139"/>
        <v>0</v>
      </c>
      <c r="I136" s="533"/>
      <c r="J136" s="533">
        <f t="shared" si="87"/>
        <v>0</v>
      </c>
      <c r="K136" s="534"/>
      <c r="L136" s="534">
        <f t="shared" si="88"/>
        <v>0</v>
      </c>
      <c r="M136" s="535">
        <f t="shared" si="140"/>
        <v>0</v>
      </c>
      <c r="N136" s="536">
        <f t="shared" si="141"/>
        <v>0</v>
      </c>
      <c r="O136" s="537">
        <f t="shared" si="112"/>
        <v>0</v>
      </c>
      <c r="P136" s="538"/>
      <c r="Q136" s="538">
        <f t="shared" si="91"/>
        <v>0</v>
      </c>
      <c r="R136" s="539"/>
      <c r="S136" s="539">
        <f t="shared" si="92"/>
        <v>0</v>
      </c>
      <c r="T136" s="535">
        <f t="shared" si="142"/>
        <v>0</v>
      </c>
      <c r="U136" s="536">
        <f t="shared" si="143"/>
        <v>0</v>
      </c>
      <c r="V136" s="540">
        <f t="shared" si="113"/>
        <v>0</v>
      </c>
      <c r="W136" s="541"/>
      <c r="X136" s="542" t="s">
        <v>1004</v>
      </c>
      <c r="Y136" s="543">
        <f t="shared" si="144"/>
        <v>0</v>
      </c>
      <c r="Z136" s="543">
        <f t="shared" si="111"/>
        <v>0</v>
      </c>
      <c r="AA136" s="544"/>
      <c r="AB136" s="545"/>
      <c r="AC136" s="545"/>
    </row>
    <row r="137" spans="1:29" hidden="1" outlineLevel="2" x14ac:dyDescent="0.25">
      <c r="A137" s="158" t="s">
        <v>1249</v>
      </c>
      <c r="B137" s="159" t="str">
        <f>+B133</f>
        <v>3.2/6</v>
      </c>
      <c r="C137" s="168" t="s">
        <v>1520</v>
      </c>
      <c r="D137" s="550" t="s">
        <v>1521</v>
      </c>
      <c r="E137" s="170" t="s">
        <v>39</v>
      </c>
      <c r="F137" s="171"/>
      <c r="G137" s="171"/>
      <c r="H137" s="33">
        <f t="shared" si="83"/>
        <v>0</v>
      </c>
      <c r="I137" s="505"/>
      <c r="J137" s="505">
        <f t="shared" si="87"/>
        <v>0</v>
      </c>
      <c r="K137" s="499"/>
      <c r="L137" s="499">
        <f t="shared" si="88"/>
        <v>0</v>
      </c>
      <c r="M137" s="39">
        <f t="shared" si="89"/>
        <v>0</v>
      </c>
      <c r="N137" s="163">
        <f t="shared" si="84"/>
        <v>0</v>
      </c>
      <c r="O137" s="172">
        <f t="shared" si="112"/>
        <v>0</v>
      </c>
      <c r="P137" s="521"/>
      <c r="Q137" s="521">
        <f t="shared" si="91"/>
        <v>0</v>
      </c>
      <c r="R137" s="526"/>
      <c r="S137" s="526">
        <f t="shared" si="92"/>
        <v>0</v>
      </c>
      <c r="T137" s="39">
        <f t="shared" si="85"/>
        <v>0</v>
      </c>
      <c r="U137" s="163">
        <f>+ROUND(T137*H137,2)</f>
        <v>0</v>
      </c>
      <c r="V137" s="173">
        <f t="shared" si="113"/>
        <v>0</v>
      </c>
      <c r="W137" s="164"/>
      <c r="X137" s="128" t="s">
        <v>1004</v>
      </c>
      <c r="Y137" s="37">
        <f>+ROUND((O137)*(1+SUMIF($Y$2:$Y$4,X137,$Z$2:$Z$4)),0)</f>
        <v>0</v>
      </c>
      <c r="Z137" s="37">
        <f t="shared" si="111"/>
        <v>0</v>
      </c>
      <c r="AA137" s="166"/>
      <c r="AB137" s="38"/>
      <c r="AC137" s="38"/>
    </row>
    <row r="138" spans="1:29" hidden="1" outlineLevel="2" x14ac:dyDescent="0.25">
      <c r="A138" s="158" t="s">
        <v>1240</v>
      </c>
      <c r="B138" s="159" t="str">
        <f>+B137</f>
        <v>3.2/6</v>
      </c>
      <c r="C138" s="168" t="s">
        <v>1522</v>
      </c>
      <c r="D138" s="550" t="s">
        <v>1523</v>
      </c>
      <c r="E138" s="170" t="s">
        <v>39</v>
      </c>
      <c r="F138" s="171"/>
      <c r="G138" s="171"/>
      <c r="H138" s="33">
        <f t="shared" si="83"/>
        <v>0</v>
      </c>
      <c r="I138" s="505"/>
      <c r="J138" s="505">
        <f t="shared" si="87"/>
        <v>0</v>
      </c>
      <c r="K138" s="499"/>
      <c r="L138" s="499">
        <f t="shared" si="88"/>
        <v>0</v>
      </c>
      <c r="M138" s="39">
        <f t="shared" si="89"/>
        <v>0</v>
      </c>
      <c r="N138" s="163">
        <f t="shared" si="84"/>
        <v>0</v>
      </c>
      <c r="O138" s="172">
        <f t="shared" si="112"/>
        <v>0</v>
      </c>
      <c r="P138" s="521"/>
      <c r="Q138" s="521">
        <f t="shared" si="91"/>
        <v>0</v>
      </c>
      <c r="R138" s="526"/>
      <c r="S138" s="526">
        <f t="shared" si="92"/>
        <v>0</v>
      </c>
      <c r="T138" s="39">
        <f t="shared" si="85"/>
        <v>0</v>
      </c>
      <c r="U138" s="163">
        <f>+ROUND(T138*H138,2)</f>
        <v>0</v>
      </c>
      <c r="V138" s="173">
        <f t="shared" si="113"/>
        <v>0</v>
      </c>
      <c r="W138" s="164"/>
      <c r="X138" s="128" t="s">
        <v>1004</v>
      </c>
      <c r="Y138" s="37">
        <f>+ROUND((O138)*(1+SUMIF($Y$2:$Y$4,X138,$Z$2:$Z$4)),0)</f>
        <v>0</v>
      </c>
      <c r="Z138" s="37">
        <f t="shared" si="111"/>
        <v>0</v>
      </c>
      <c r="AA138" s="166"/>
      <c r="AB138" s="38"/>
      <c r="AC138" s="38"/>
    </row>
    <row r="139" spans="1:29" hidden="1" outlineLevel="2" x14ac:dyDescent="0.25">
      <c r="A139" s="158" t="s">
        <v>1253</v>
      </c>
      <c r="B139" s="159" t="str">
        <f>+B138</f>
        <v>3.2/6</v>
      </c>
      <c r="C139" s="168" t="s">
        <v>1524</v>
      </c>
      <c r="D139" s="550" t="s">
        <v>1525</v>
      </c>
      <c r="E139" s="170" t="s">
        <v>1612</v>
      </c>
      <c r="F139" s="171"/>
      <c r="G139" s="171"/>
      <c r="H139" s="33">
        <f t="shared" si="83"/>
        <v>0</v>
      </c>
      <c r="I139" s="505"/>
      <c r="J139" s="505">
        <f t="shared" si="87"/>
        <v>0</v>
      </c>
      <c r="K139" s="499"/>
      <c r="L139" s="499">
        <f t="shared" si="88"/>
        <v>0</v>
      </c>
      <c r="M139" s="39">
        <f t="shared" si="89"/>
        <v>0</v>
      </c>
      <c r="N139" s="163">
        <f t="shared" si="84"/>
        <v>0</v>
      </c>
      <c r="O139" s="172">
        <f t="shared" si="112"/>
        <v>0</v>
      </c>
      <c r="P139" s="521"/>
      <c r="Q139" s="521">
        <f t="shared" si="91"/>
        <v>0</v>
      </c>
      <c r="R139" s="526"/>
      <c r="S139" s="526">
        <f t="shared" si="92"/>
        <v>0</v>
      </c>
      <c r="T139" s="39">
        <f t="shared" si="85"/>
        <v>0</v>
      </c>
      <c r="U139" s="163">
        <f>+ROUND(T139*H139,2)</f>
        <v>0</v>
      </c>
      <c r="V139" s="173">
        <f t="shared" si="113"/>
        <v>0</v>
      </c>
      <c r="W139" s="164"/>
      <c r="X139" s="128" t="s">
        <v>1004</v>
      </c>
      <c r="Y139" s="37">
        <f>+ROUND((O139)*(1+SUMIF($Y$2:$Y$4,X139,$Z$2:$Z$4)),0)</f>
        <v>0</v>
      </c>
      <c r="Z139" s="37">
        <f t="shared" si="111"/>
        <v>0</v>
      </c>
      <c r="AA139" s="166"/>
      <c r="AB139" s="38"/>
      <c r="AC139" s="38"/>
    </row>
    <row r="140" spans="1:29" hidden="1" outlineLevel="2" x14ac:dyDescent="0.25">
      <c r="A140" s="158" t="s">
        <v>1253</v>
      </c>
      <c r="B140" s="159" t="str">
        <f>+B139</f>
        <v>3.2/6</v>
      </c>
      <c r="C140" s="244">
        <v>4.4000000000000004</v>
      </c>
      <c r="D140" s="182" t="s">
        <v>1526</v>
      </c>
      <c r="E140" s="170"/>
      <c r="F140" s="40"/>
      <c r="G140" s="40"/>
      <c r="H140" s="33">
        <f t="shared" si="83"/>
        <v>0</v>
      </c>
      <c r="I140" s="504"/>
      <c r="J140" s="504">
        <f t="shared" si="87"/>
        <v>0</v>
      </c>
      <c r="K140" s="498"/>
      <c r="L140" s="498">
        <f t="shared" si="88"/>
        <v>0</v>
      </c>
      <c r="M140" s="34">
        <f t="shared" si="89"/>
        <v>0</v>
      </c>
      <c r="N140" s="163">
        <f t="shared" si="84"/>
        <v>0</v>
      </c>
      <c r="O140" s="172">
        <f t="shared" si="112"/>
        <v>0</v>
      </c>
      <c r="P140" s="520"/>
      <c r="Q140" s="520">
        <f t="shared" si="91"/>
        <v>0</v>
      </c>
      <c r="R140" s="525"/>
      <c r="S140" s="525">
        <f t="shared" si="92"/>
        <v>0</v>
      </c>
      <c r="T140" s="34">
        <f t="shared" si="85"/>
        <v>0</v>
      </c>
      <c r="U140" s="163">
        <f>+ROUND(T140*H140,2)</f>
        <v>0</v>
      </c>
      <c r="V140" s="173">
        <f t="shared" si="113"/>
        <v>0</v>
      </c>
      <c r="W140" s="164"/>
      <c r="X140" s="128" t="s">
        <v>1004</v>
      </c>
      <c r="Y140" s="37">
        <f>+ROUND((O140)*(1+SUMIF($Y$2:$Y$4,X140,$Z$2:$Z$4)),0)</f>
        <v>0</v>
      </c>
      <c r="Z140" s="37">
        <f t="shared" si="111"/>
        <v>0</v>
      </c>
      <c r="AA140" s="166"/>
      <c r="AB140" s="38"/>
      <c r="AC140" s="38"/>
    </row>
    <row r="141" spans="1:29" hidden="1" outlineLevel="2" x14ac:dyDescent="0.25">
      <c r="A141" s="158" t="s">
        <v>1253</v>
      </c>
      <c r="B141" s="159" t="str">
        <f>+B139</f>
        <v>3.2/6</v>
      </c>
      <c r="C141" s="168" t="s">
        <v>1527</v>
      </c>
      <c r="D141" s="550" t="s">
        <v>1528</v>
      </c>
      <c r="E141" s="170" t="s">
        <v>39</v>
      </c>
      <c r="F141" s="171"/>
      <c r="G141" s="171"/>
      <c r="H141" s="33">
        <f t="shared" si="83"/>
        <v>0</v>
      </c>
      <c r="I141" s="505"/>
      <c r="J141" s="505">
        <f t="shared" si="87"/>
        <v>0</v>
      </c>
      <c r="K141" s="499"/>
      <c r="L141" s="499">
        <f t="shared" si="88"/>
        <v>0</v>
      </c>
      <c r="M141" s="39">
        <f t="shared" si="89"/>
        <v>0</v>
      </c>
      <c r="N141" s="163">
        <f t="shared" si="84"/>
        <v>0</v>
      </c>
      <c r="O141" s="172">
        <f t="shared" si="112"/>
        <v>0</v>
      </c>
      <c r="P141" s="521"/>
      <c r="Q141" s="521">
        <f t="shared" si="91"/>
        <v>0</v>
      </c>
      <c r="R141" s="526"/>
      <c r="S141" s="526">
        <f t="shared" si="92"/>
        <v>0</v>
      </c>
      <c r="T141" s="39">
        <f t="shared" si="85"/>
        <v>0</v>
      </c>
      <c r="U141" s="163">
        <f>+ROUND(T141*H141,2)</f>
        <v>0</v>
      </c>
      <c r="V141" s="173">
        <f t="shared" si="113"/>
        <v>0</v>
      </c>
      <c r="W141" s="164"/>
      <c r="X141" s="128" t="s">
        <v>1004</v>
      </c>
      <c r="Y141" s="37">
        <f>+ROUND((O141)*(1+SUMIF($Y$2:$Y$4,X141,$Z$2:$Z$4)),0)</f>
        <v>0</v>
      </c>
      <c r="Z141" s="37">
        <f t="shared" si="111"/>
        <v>0</v>
      </c>
      <c r="AA141" s="166"/>
      <c r="AB141" s="38"/>
      <c r="AC141" s="38"/>
    </row>
    <row r="142" spans="1:29" hidden="1" outlineLevel="1" x14ac:dyDescent="0.25">
      <c r="A142" s="506" t="s">
        <v>1022</v>
      </c>
      <c r="B142" s="507" t="str">
        <f>+B141</f>
        <v>3.2/6</v>
      </c>
      <c r="C142" s="508"/>
      <c r="D142" s="509" t="s">
        <v>1023</v>
      </c>
      <c r="E142" s="510"/>
      <c r="F142" s="511"/>
      <c r="G142" s="511"/>
      <c r="H142" s="512">
        <f t="shared" si="83"/>
        <v>0</v>
      </c>
      <c r="I142" s="512"/>
      <c r="J142" s="512">
        <f t="shared" si="87"/>
        <v>0</v>
      </c>
      <c r="K142" s="512"/>
      <c r="L142" s="512">
        <f t="shared" si="88"/>
        <v>0</v>
      </c>
      <c r="M142" s="512">
        <f t="shared" si="89"/>
        <v>0</v>
      </c>
      <c r="N142" s="512">
        <f>SUM(N116:N141)</f>
        <v>0</v>
      </c>
      <c r="O142" s="513">
        <f>SUM(O116:O141)</f>
        <v>0</v>
      </c>
      <c r="P142" s="512"/>
      <c r="Q142" s="512">
        <f t="shared" si="91"/>
        <v>0</v>
      </c>
      <c r="R142" s="512"/>
      <c r="S142" s="512">
        <f t="shared" si="92"/>
        <v>0</v>
      </c>
      <c r="T142" s="512">
        <f t="shared" si="85"/>
        <v>0</v>
      </c>
      <c r="U142" s="512">
        <f>SUM(U116:U141)</f>
        <v>0</v>
      </c>
      <c r="V142" s="513">
        <f>SUM(V116:V141)</f>
        <v>0</v>
      </c>
      <c r="W142" s="507"/>
      <c r="X142" s="514" t="s">
        <v>1004</v>
      </c>
      <c r="Y142" s="515">
        <f>+ROUND((O142)*(1+SUMIF($Y$2:$Y$4,X142,$Z$2:$Z$4)),0)</f>
        <v>0</v>
      </c>
      <c r="Z142" s="515">
        <f t="shared" ref="Z142:Z155" si="145">+ROUND((V142)*(1+SUMIF($Y$2:$Y$4,X142,$Z$2:$Z$4)),0)</f>
        <v>0</v>
      </c>
      <c r="AA142" s="166"/>
      <c r="AB142" s="38"/>
      <c r="AC142" s="38"/>
    </row>
    <row r="143" spans="1:29" hidden="1" outlineLevel="1" x14ac:dyDescent="0.25">
      <c r="A143" s="158" t="s">
        <v>1272</v>
      </c>
      <c r="B143" s="159" t="s">
        <v>1529</v>
      </c>
      <c r="C143" s="243">
        <v>5</v>
      </c>
      <c r="D143" s="161" t="s">
        <v>1530</v>
      </c>
      <c r="E143" s="162"/>
      <c r="F143" s="40"/>
      <c r="G143" s="40"/>
      <c r="H143" s="33">
        <f t="shared" si="83"/>
        <v>0</v>
      </c>
      <c r="I143" s="504"/>
      <c r="J143" s="504">
        <f t="shared" si="87"/>
        <v>0</v>
      </c>
      <c r="K143" s="498"/>
      <c r="L143" s="498">
        <f t="shared" si="88"/>
        <v>0</v>
      </c>
      <c r="M143" s="34">
        <f t="shared" si="89"/>
        <v>0</v>
      </c>
      <c r="N143" s="163">
        <f t="shared" si="84"/>
        <v>0</v>
      </c>
      <c r="O143" s="35"/>
      <c r="P143" s="520"/>
      <c r="Q143" s="520">
        <f t="shared" si="91"/>
        <v>0</v>
      </c>
      <c r="R143" s="525"/>
      <c r="S143" s="525">
        <f t="shared" si="92"/>
        <v>0</v>
      </c>
      <c r="T143" s="34">
        <f t="shared" si="85"/>
        <v>0</v>
      </c>
      <c r="U143" s="163">
        <f>+ROUND(T143*H143,2)</f>
        <v>0</v>
      </c>
      <c r="V143" s="36"/>
      <c r="W143" s="164"/>
      <c r="X143" s="128" t="s">
        <v>1004</v>
      </c>
      <c r="Y143" s="37">
        <f>+ROUND((O143)*(1+SUMIF($Y$2:$Y$4,X143,$Z$2:$Z$4)),0)</f>
        <v>0</v>
      </c>
      <c r="Z143" s="37">
        <f t="shared" si="145"/>
        <v>0</v>
      </c>
      <c r="AA143" s="166"/>
      <c r="AB143" s="38"/>
      <c r="AC143" s="38"/>
    </row>
    <row r="144" spans="1:29" hidden="1" outlineLevel="2" x14ac:dyDescent="0.25">
      <c r="A144" s="158" t="s">
        <v>1272</v>
      </c>
      <c r="B144" s="159" t="str">
        <f>+B143</f>
        <v>3.2/7</v>
      </c>
      <c r="C144" s="244">
        <v>5.0999999999999996</v>
      </c>
      <c r="D144" s="161" t="s">
        <v>1505</v>
      </c>
      <c r="E144" s="162"/>
      <c r="F144" s="40"/>
      <c r="G144" s="40"/>
      <c r="H144" s="33">
        <f t="shared" si="83"/>
        <v>0</v>
      </c>
      <c r="I144" s="504"/>
      <c r="J144" s="504">
        <f t="shared" si="87"/>
        <v>0</v>
      </c>
      <c r="K144" s="498"/>
      <c r="L144" s="498">
        <f t="shared" si="88"/>
        <v>0</v>
      </c>
      <c r="M144" s="34">
        <f t="shared" si="89"/>
        <v>0</v>
      </c>
      <c r="N144" s="163">
        <f t="shared" si="84"/>
        <v>0</v>
      </c>
      <c r="O144" s="35"/>
      <c r="P144" s="520"/>
      <c r="Q144" s="520">
        <f t="shared" si="91"/>
        <v>0</v>
      </c>
      <c r="R144" s="525"/>
      <c r="S144" s="525">
        <f t="shared" si="92"/>
        <v>0</v>
      </c>
      <c r="T144" s="34">
        <f t="shared" si="85"/>
        <v>0</v>
      </c>
      <c r="U144" s="163">
        <f>+ROUND(T144*H144,2)</f>
        <v>0</v>
      </c>
      <c r="V144" s="36"/>
      <c r="W144" s="164"/>
      <c r="X144" s="128" t="s">
        <v>1004</v>
      </c>
      <c r="Y144" s="37">
        <f>+ROUND((O144)*(1+SUMIF($Y$2:$Y$4,X144,$Z$2:$Z$4)),0)</f>
        <v>0</v>
      </c>
      <c r="Z144" s="37">
        <f t="shared" si="145"/>
        <v>0</v>
      </c>
      <c r="AA144" s="166"/>
      <c r="AB144" s="38"/>
      <c r="AC144" s="38"/>
    </row>
    <row r="145" spans="1:29" ht="24" hidden="1" outlineLevel="2" x14ac:dyDescent="0.25">
      <c r="A145" s="158" t="s">
        <v>1272</v>
      </c>
      <c r="B145" s="159" t="str">
        <f>+B143</f>
        <v>3.2/7</v>
      </c>
      <c r="C145" s="168" t="s">
        <v>1531</v>
      </c>
      <c r="D145" s="174" t="s">
        <v>1532</v>
      </c>
      <c r="E145" s="170"/>
      <c r="F145" s="171"/>
      <c r="G145" s="171"/>
      <c r="H145" s="33">
        <f t="shared" si="83"/>
        <v>0</v>
      </c>
      <c r="I145" s="505"/>
      <c r="J145" s="505">
        <f t="shared" si="87"/>
        <v>0</v>
      </c>
      <c r="K145" s="499"/>
      <c r="L145" s="499">
        <f t="shared" si="88"/>
        <v>0</v>
      </c>
      <c r="M145" s="39">
        <f t="shared" si="89"/>
        <v>0</v>
      </c>
      <c r="N145" s="163">
        <f t="shared" si="84"/>
        <v>0</v>
      </c>
      <c r="O145" s="172">
        <f>N145</f>
        <v>0</v>
      </c>
      <c r="P145" s="521"/>
      <c r="Q145" s="521">
        <f t="shared" si="91"/>
        <v>0</v>
      </c>
      <c r="R145" s="526"/>
      <c r="S145" s="526">
        <f t="shared" si="92"/>
        <v>0</v>
      </c>
      <c r="T145" s="39">
        <f t="shared" si="85"/>
        <v>0</v>
      </c>
      <c r="U145" s="163">
        <f>+ROUND(T145*H145,2)</f>
        <v>0</v>
      </c>
      <c r="V145" s="173">
        <f>U145</f>
        <v>0</v>
      </c>
      <c r="W145" s="164"/>
      <c r="X145" s="128" t="s">
        <v>1004</v>
      </c>
      <c r="Y145" s="37">
        <f>+ROUND((O145)*(1+SUMIF($Y$2:$Y$4,X145,$Z$2:$Z$4)),0)</f>
        <v>0</v>
      </c>
      <c r="Z145" s="37">
        <f t="shared" si="145"/>
        <v>0</v>
      </c>
      <c r="AA145" s="166"/>
      <c r="AB145" s="38"/>
      <c r="AC145" s="38"/>
    </row>
    <row r="146" spans="1:29" s="546" customFormat="1" hidden="1" outlineLevel="3" x14ac:dyDescent="0.25">
      <c r="A146" s="158" t="s">
        <v>1272</v>
      </c>
      <c r="B146" s="548" t="str">
        <f t="shared" ref="B146:B147" si="146">+B145</f>
        <v>3.2/7</v>
      </c>
      <c r="C146" s="529"/>
      <c r="D146" s="528" t="s">
        <v>2093</v>
      </c>
      <c r="E146" s="530" t="s">
        <v>39</v>
      </c>
      <c r="F146" s="531"/>
      <c r="G146" s="531"/>
      <c r="H146" s="532">
        <f t="shared" si="83"/>
        <v>0</v>
      </c>
      <c r="I146" s="533"/>
      <c r="J146" s="533">
        <f t="shared" si="87"/>
        <v>0</v>
      </c>
      <c r="K146" s="534"/>
      <c r="L146" s="534">
        <f t="shared" si="88"/>
        <v>0</v>
      </c>
      <c r="M146" s="535">
        <f t="shared" si="89"/>
        <v>0</v>
      </c>
      <c r="N146" s="536">
        <f t="shared" si="84"/>
        <v>0</v>
      </c>
      <c r="O146" s="537">
        <f t="shared" ref="O146:O147" si="147">N146</f>
        <v>0</v>
      </c>
      <c r="P146" s="538"/>
      <c r="Q146" s="538">
        <f t="shared" si="91"/>
        <v>0</v>
      </c>
      <c r="R146" s="539"/>
      <c r="S146" s="539">
        <f t="shared" si="92"/>
        <v>0</v>
      </c>
      <c r="T146" s="535">
        <f t="shared" si="85"/>
        <v>0</v>
      </c>
      <c r="U146" s="536">
        <f t="shared" ref="U146:U147" si="148">+ROUND(T146*H146,2)</f>
        <v>0</v>
      </c>
      <c r="V146" s="540">
        <f t="shared" ref="V146:V147" si="149">U146</f>
        <v>0</v>
      </c>
      <c r="W146" s="541"/>
      <c r="X146" s="542" t="s">
        <v>1004</v>
      </c>
      <c r="Y146" s="543">
        <f t="shared" ref="Y146:Y147" si="150">+ROUND((O146)*(1+SUMIF($Y$2:$Y$4,X146,$Z$2:$Z$4)),0)</f>
        <v>0</v>
      </c>
      <c r="Z146" s="543">
        <f t="shared" si="145"/>
        <v>0</v>
      </c>
      <c r="AA146" s="544"/>
      <c r="AB146" s="545"/>
      <c r="AC146" s="545"/>
    </row>
    <row r="147" spans="1:29" s="546" customFormat="1" hidden="1" outlineLevel="3" x14ac:dyDescent="0.25">
      <c r="A147" s="158" t="s">
        <v>1272</v>
      </c>
      <c r="B147" s="548" t="str">
        <f t="shared" si="146"/>
        <v>3.2/7</v>
      </c>
      <c r="C147" s="529"/>
      <c r="D147" s="528" t="s">
        <v>2094</v>
      </c>
      <c r="E147" s="530" t="s">
        <v>39</v>
      </c>
      <c r="F147" s="531"/>
      <c r="G147" s="531"/>
      <c r="H147" s="532">
        <f t="shared" si="83"/>
        <v>0</v>
      </c>
      <c r="I147" s="533"/>
      <c r="J147" s="533">
        <f t="shared" si="87"/>
        <v>0</v>
      </c>
      <c r="K147" s="534"/>
      <c r="L147" s="534">
        <f t="shared" si="88"/>
        <v>0</v>
      </c>
      <c r="M147" s="535">
        <f t="shared" si="89"/>
        <v>0</v>
      </c>
      <c r="N147" s="536">
        <f t="shared" si="84"/>
        <v>0</v>
      </c>
      <c r="O147" s="537">
        <f t="shared" si="147"/>
        <v>0</v>
      </c>
      <c r="P147" s="538"/>
      <c r="Q147" s="538">
        <f t="shared" si="91"/>
        <v>0</v>
      </c>
      <c r="R147" s="539"/>
      <c r="S147" s="539">
        <f t="shared" si="92"/>
        <v>0</v>
      </c>
      <c r="T147" s="535">
        <f t="shared" si="85"/>
        <v>0</v>
      </c>
      <c r="U147" s="536">
        <f t="shared" si="148"/>
        <v>0</v>
      </c>
      <c r="V147" s="540">
        <f t="shared" si="149"/>
        <v>0</v>
      </c>
      <c r="W147" s="541"/>
      <c r="X147" s="542" t="s">
        <v>1004</v>
      </c>
      <c r="Y147" s="543">
        <f t="shared" si="150"/>
        <v>0</v>
      </c>
      <c r="Z147" s="543">
        <f t="shared" si="145"/>
        <v>0</v>
      </c>
      <c r="AA147" s="544"/>
      <c r="AB147" s="545"/>
      <c r="AC147" s="545"/>
    </row>
    <row r="148" spans="1:29" hidden="1" outlineLevel="2" x14ac:dyDescent="0.25">
      <c r="A148" s="158" t="s">
        <v>1019</v>
      </c>
      <c r="B148" s="159" t="str">
        <f>+B145</f>
        <v>3.2/7</v>
      </c>
      <c r="C148" s="243">
        <v>6</v>
      </c>
      <c r="D148" s="161" t="s">
        <v>1533</v>
      </c>
      <c r="E148" s="162"/>
      <c r="F148" s="40"/>
      <c r="G148" s="40"/>
      <c r="H148" s="33">
        <f t="shared" si="83"/>
        <v>0</v>
      </c>
      <c r="I148" s="504"/>
      <c r="J148" s="504">
        <f t="shared" si="87"/>
        <v>0</v>
      </c>
      <c r="K148" s="498"/>
      <c r="L148" s="498">
        <f t="shared" si="88"/>
        <v>0</v>
      </c>
      <c r="M148" s="34">
        <f t="shared" si="89"/>
        <v>0</v>
      </c>
      <c r="N148" s="163">
        <f t="shared" si="84"/>
        <v>0</v>
      </c>
      <c r="O148" s="35"/>
      <c r="P148" s="520"/>
      <c r="Q148" s="520">
        <f t="shared" si="91"/>
        <v>0</v>
      </c>
      <c r="R148" s="525"/>
      <c r="S148" s="525">
        <f t="shared" si="92"/>
        <v>0</v>
      </c>
      <c r="T148" s="34">
        <f t="shared" si="85"/>
        <v>0</v>
      </c>
      <c r="U148" s="163">
        <f>+ROUND(T148*H148,2)</f>
        <v>0</v>
      </c>
      <c r="V148" s="36"/>
      <c r="W148" s="164"/>
      <c r="X148" s="128" t="s">
        <v>1004</v>
      </c>
      <c r="Y148" s="37">
        <f>+ROUND((O148)*(1+SUMIF($Y$2:$Y$4,X148,$Z$2:$Z$4)),0)</f>
        <v>0</v>
      </c>
      <c r="Z148" s="37">
        <f t="shared" si="145"/>
        <v>0</v>
      </c>
      <c r="AA148" s="166"/>
      <c r="AB148" s="38"/>
      <c r="AC148" s="38"/>
    </row>
    <row r="149" spans="1:29" ht="72" hidden="1" outlineLevel="2" x14ac:dyDescent="0.25">
      <c r="A149" s="158" t="s">
        <v>1019</v>
      </c>
      <c r="B149" s="159" t="str">
        <f>+B148</f>
        <v>3.2/7</v>
      </c>
      <c r="C149" s="244">
        <v>6.1</v>
      </c>
      <c r="D149" s="174" t="s">
        <v>1534</v>
      </c>
      <c r="E149" s="170"/>
      <c r="F149" s="171"/>
      <c r="G149" s="171"/>
      <c r="H149" s="33">
        <f t="shared" si="83"/>
        <v>0</v>
      </c>
      <c r="I149" s="505"/>
      <c r="J149" s="505">
        <f t="shared" si="87"/>
        <v>0</v>
      </c>
      <c r="K149" s="499"/>
      <c r="L149" s="499">
        <f t="shared" si="88"/>
        <v>0</v>
      </c>
      <c r="M149" s="39">
        <f t="shared" si="89"/>
        <v>0</v>
      </c>
      <c r="N149" s="163">
        <f t="shared" si="84"/>
        <v>0</v>
      </c>
      <c r="O149" s="172">
        <f>N149</f>
        <v>0</v>
      </c>
      <c r="P149" s="521"/>
      <c r="Q149" s="521">
        <f t="shared" si="91"/>
        <v>0</v>
      </c>
      <c r="R149" s="526"/>
      <c r="S149" s="526">
        <f t="shared" si="92"/>
        <v>0</v>
      </c>
      <c r="T149" s="39">
        <f t="shared" si="85"/>
        <v>0</v>
      </c>
      <c r="U149" s="163">
        <f>+ROUND(T149*H149,2)</f>
        <v>0</v>
      </c>
      <c r="V149" s="173">
        <f>U149</f>
        <v>0</v>
      </c>
      <c r="W149" s="164"/>
      <c r="X149" s="128" t="s">
        <v>1004</v>
      </c>
      <c r="Y149" s="37">
        <f>+ROUND((O149)*(1+SUMIF($Y$2:$Y$4,X149,$Z$2:$Z$4)),0)</f>
        <v>0</v>
      </c>
      <c r="Z149" s="37">
        <f t="shared" si="145"/>
        <v>0</v>
      </c>
      <c r="AA149" s="166"/>
      <c r="AB149" s="38"/>
      <c r="AC149" s="38"/>
    </row>
    <row r="150" spans="1:29" hidden="1" outlineLevel="2" x14ac:dyDescent="0.25">
      <c r="A150" s="158" t="s">
        <v>1019</v>
      </c>
      <c r="B150" s="159" t="str">
        <f>+B149</f>
        <v>3.2/7</v>
      </c>
      <c r="C150" s="168" t="s">
        <v>1535</v>
      </c>
      <c r="D150" s="174"/>
      <c r="E150" s="170"/>
      <c r="F150" s="40"/>
      <c r="G150" s="40"/>
      <c r="H150" s="33">
        <f t="shared" si="83"/>
        <v>0</v>
      </c>
      <c r="I150" s="504"/>
      <c r="J150" s="504">
        <f t="shared" si="87"/>
        <v>0</v>
      </c>
      <c r="K150" s="498"/>
      <c r="L150" s="498">
        <f t="shared" si="88"/>
        <v>0</v>
      </c>
      <c r="M150" s="34">
        <f t="shared" si="89"/>
        <v>0</v>
      </c>
      <c r="N150" s="163">
        <f t="shared" si="84"/>
        <v>0</v>
      </c>
      <c r="O150" s="172">
        <f>N150</f>
        <v>0</v>
      </c>
      <c r="P150" s="520"/>
      <c r="Q150" s="520">
        <f t="shared" si="91"/>
        <v>0</v>
      </c>
      <c r="R150" s="525"/>
      <c r="S150" s="525">
        <f t="shared" si="92"/>
        <v>0</v>
      </c>
      <c r="T150" s="34">
        <f t="shared" si="85"/>
        <v>0</v>
      </c>
      <c r="U150" s="163">
        <f>+ROUND(T150*H150,2)</f>
        <v>0</v>
      </c>
      <c r="V150" s="173">
        <f>U150</f>
        <v>0</v>
      </c>
      <c r="W150" s="164"/>
      <c r="X150" s="128" t="s">
        <v>1004</v>
      </c>
      <c r="Y150" s="37">
        <f>+ROUND((O150)*(1+SUMIF($Y$2:$Y$4,X150,$Z$2:$Z$4)),0)</f>
        <v>0</v>
      </c>
      <c r="Z150" s="37">
        <f t="shared" si="145"/>
        <v>0</v>
      </c>
      <c r="AA150" s="166"/>
      <c r="AB150" s="38"/>
      <c r="AC150" s="38"/>
    </row>
    <row r="151" spans="1:29" hidden="1" outlineLevel="2" x14ac:dyDescent="0.25">
      <c r="A151" s="158" t="s">
        <v>1019</v>
      </c>
      <c r="B151" s="159" t="str">
        <f>+B150</f>
        <v>3.2/7</v>
      </c>
      <c r="C151" s="168" t="s">
        <v>1536</v>
      </c>
      <c r="D151" s="174"/>
      <c r="E151" s="170"/>
      <c r="F151" s="40"/>
      <c r="G151" s="40"/>
      <c r="H151" s="33">
        <f t="shared" si="83"/>
        <v>0</v>
      </c>
      <c r="I151" s="504"/>
      <c r="J151" s="504">
        <f t="shared" si="87"/>
        <v>0</v>
      </c>
      <c r="K151" s="498"/>
      <c r="L151" s="498">
        <f t="shared" si="88"/>
        <v>0</v>
      </c>
      <c r="M151" s="34">
        <f t="shared" si="89"/>
        <v>0</v>
      </c>
      <c r="N151" s="163">
        <f t="shared" si="84"/>
        <v>0</v>
      </c>
      <c r="O151" s="172">
        <f>N151</f>
        <v>0</v>
      </c>
      <c r="P151" s="520"/>
      <c r="Q151" s="520">
        <f t="shared" si="91"/>
        <v>0</v>
      </c>
      <c r="R151" s="525"/>
      <c r="S151" s="525">
        <f t="shared" si="92"/>
        <v>0</v>
      </c>
      <c r="T151" s="34">
        <f t="shared" si="85"/>
        <v>0</v>
      </c>
      <c r="U151" s="163">
        <f>+ROUND(T151*H151,2)</f>
        <v>0</v>
      </c>
      <c r="V151" s="173">
        <f>U151</f>
        <v>0</v>
      </c>
      <c r="W151" s="164"/>
      <c r="X151" s="128" t="s">
        <v>1004</v>
      </c>
      <c r="Y151" s="37">
        <f>+ROUND((O151)*(1+SUMIF($Y$2:$Y$4,X151,$Z$2:$Z$4)),0)</f>
        <v>0</v>
      </c>
      <c r="Z151" s="37">
        <f t="shared" si="145"/>
        <v>0</v>
      </c>
      <c r="AA151" s="166"/>
      <c r="AB151" s="38"/>
      <c r="AC151" s="38"/>
    </row>
    <row r="152" spans="1:29" hidden="1" outlineLevel="2" x14ac:dyDescent="0.25">
      <c r="A152" s="158" t="s">
        <v>1019</v>
      </c>
      <c r="B152" s="159" t="str">
        <f>+B151</f>
        <v>3.2/7</v>
      </c>
      <c r="C152" s="168" t="s">
        <v>1537</v>
      </c>
      <c r="D152" s="174"/>
      <c r="E152" s="170"/>
      <c r="F152" s="40"/>
      <c r="G152" s="40"/>
      <c r="H152" s="33">
        <f t="shared" si="83"/>
        <v>0</v>
      </c>
      <c r="I152" s="504"/>
      <c r="J152" s="504">
        <f t="shared" si="87"/>
        <v>0</v>
      </c>
      <c r="K152" s="498"/>
      <c r="L152" s="498">
        <f t="shared" si="88"/>
        <v>0</v>
      </c>
      <c r="M152" s="34">
        <f t="shared" si="89"/>
        <v>0</v>
      </c>
      <c r="N152" s="163">
        <f t="shared" si="84"/>
        <v>0</v>
      </c>
      <c r="O152" s="172">
        <f>N152</f>
        <v>0</v>
      </c>
      <c r="P152" s="520"/>
      <c r="Q152" s="520">
        <f t="shared" si="91"/>
        <v>0</v>
      </c>
      <c r="R152" s="525"/>
      <c r="S152" s="525">
        <f t="shared" si="92"/>
        <v>0</v>
      </c>
      <c r="T152" s="34">
        <f t="shared" si="85"/>
        <v>0</v>
      </c>
      <c r="U152" s="163">
        <f>+ROUND(T152*H152,2)</f>
        <v>0</v>
      </c>
      <c r="V152" s="173">
        <f>U152</f>
        <v>0</v>
      </c>
      <c r="W152" s="164"/>
      <c r="X152" s="128" t="s">
        <v>1004</v>
      </c>
      <c r="Y152" s="37">
        <f>+ROUND((O152)*(1+SUMIF($Y$2:$Y$4,X152,$Z$2:$Z$4)),0)</f>
        <v>0</v>
      </c>
      <c r="Z152" s="37">
        <f t="shared" si="145"/>
        <v>0</v>
      </c>
      <c r="AA152" s="166"/>
      <c r="AB152" s="38"/>
      <c r="AC152" s="38"/>
    </row>
    <row r="153" spans="1:29" hidden="1" outlineLevel="1" x14ac:dyDescent="0.25">
      <c r="A153" s="506" t="s">
        <v>1022</v>
      </c>
      <c r="B153" s="507" t="str">
        <f>+B151</f>
        <v>3.2/7</v>
      </c>
      <c r="C153" s="508"/>
      <c r="D153" s="509" t="s">
        <v>1023</v>
      </c>
      <c r="E153" s="510"/>
      <c r="F153" s="511"/>
      <c r="G153" s="511"/>
      <c r="H153" s="512">
        <f t="shared" si="83"/>
        <v>0</v>
      </c>
      <c r="I153" s="512"/>
      <c r="J153" s="512">
        <f t="shared" si="87"/>
        <v>0</v>
      </c>
      <c r="K153" s="512"/>
      <c r="L153" s="512">
        <f t="shared" si="88"/>
        <v>0</v>
      </c>
      <c r="M153" s="512">
        <f t="shared" si="89"/>
        <v>0</v>
      </c>
      <c r="N153" s="512">
        <f>SUM(N143:N152)</f>
        <v>0</v>
      </c>
      <c r="O153" s="513">
        <f>SUM(O143:O152)</f>
        <v>0</v>
      </c>
      <c r="P153" s="512"/>
      <c r="Q153" s="512">
        <f t="shared" si="91"/>
        <v>0</v>
      </c>
      <c r="R153" s="512"/>
      <c r="S153" s="512">
        <f t="shared" si="92"/>
        <v>0</v>
      </c>
      <c r="T153" s="512">
        <f t="shared" si="85"/>
        <v>0</v>
      </c>
      <c r="U153" s="512">
        <f>SUM(U143:U152)</f>
        <v>0</v>
      </c>
      <c r="V153" s="513">
        <f>SUM(V143:V152)</f>
        <v>0</v>
      </c>
      <c r="W153" s="507"/>
      <c r="X153" s="514" t="s">
        <v>1004</v>
      </c>
      <c r="Y153" s="515">
        <f>+ROUND((O153)*(1+SUMIF($Y$2:$Y$4,X153,$Z$2:$Z$4)),0)</f>
        <v>0</v>
      </c>
      <c r="Z153" s="515">
        <f t="shared" si="145"/>
        <v>0</v>
      </c>
      <c r="AA153" s="166"/>
      <c r="AB153" s="38"/>
      <c r="AC153" s="38"/>
    </row>
    <row r="154" spans="1:29" hidden="1" outlineLevel="1" x14ac:dyDescent="0.25">
      <c r="A154" s="551" t="s">
        <v>1022</v>
      </c>
      <c r="B154" s="552" t="s">
        <v>1538</v>
      </c>
      <c r="C154" s="553"/>
      <c r="D154" s="554" t="s">
        <v>1024</v>
      </c>
      <c r="E154" s="555"/>
      <c r="F154" s="556"/>
      <c r="G154" s="556"/>
      <c r="H154" s="557">
        <f t="shared" si="83"/>
        <v>0</v>
      </c>
      <c r="I154" s="558"/>
      <c r="J154" s="558">
        <f t="shared" si="87"/>
        <v>0</v>
      </c>
      <c r="K154" s="558"/>
      <c r="L154" s="558">
        <f t="shared" si="88"/>
        <v>0</v>
      </c>
      <c r="M154" s="558">
        <f t="shared" si="89"/>
        <v>0</v>
      </c>
      <c r="N154" s="558">
        <f t="shared" si="84"/>
        <v>0</v>
      </c>
      <c r="O154" s="559"/>
      <c r="P154" s="558"/>
      <c r="Q154" s="558">
        <f t="shared" si="91"/>
        <v>0</v>
      </c>
      <c r="R154" s="558"/>
      <c r="S154" s="558">
        <f t="shared" si="92"/>
        <v>0</v>
      </c>
      <c r="T154" s="558">
        <f t="shared" si="85"/>
        <v>0</v>
      </c>
      <c r="U154" s="558">
        <f>+ROUND(T154*H154,2)</f>
        <v>0</v>
      </c>
      <c r="V154" s="559"/>
      <c r="W154" s="560"/>
      <c r="X154" s="458" t="s">
        <v>1004</v>
      </c>
      <c r="Y154" s="561">
        <f>+ROUND((O154)*(1+SUMIF($Y$2:$Y$4,X154,$Z$2:$Z$4)),0)</f>
        <v>0</v>
      </c>
      <c r="Z154" s="561">
        <f t="shared" si="145"/>
        <v>0</v>
      </c>
      <c r="AA154" s="166"/>
      <c r="AB154" s="38"/>
      <c r="AC154" s="38"/>
    </row>
    <row r="155" spans="1:29" hidden="1" outlineLevel="1" x14ac:dyDescent="0.25">
      <c r="A155" s="562" t="s">
        <v>1022</v>
      </c>
      <c r="B155" s="552" t="str">
        <f t="shared" ref="B155:B163" si="151">+B154</f>
        <v>3.2/8</v>
      </c>
      <c r="C155" s="553"/>
      <c r="D155" s="555"/>
      <c r="E155" s="555"/>
      <c r="F155" s="556"/>
      <c r="G155" s="556"/>
      <c r="H155" s="557">
        <f t="shared" si="83"/>
        <v>0</v>
      </c>
      <c r="I155" s="558"/>
      <c r="J155" s="558">
        <f t="shared" si="87"/>
        <v>0</v>
      </c>
      <c r="K155" s="558"/>
      <c r="L155" s="558">
        <f t="shared" si="88"/>
        <v>0</v>
      </c>
      <c r="M155" s="558">
        <f t="shared" si="89"/>
        <v>0</v>
      </c>
      <c r="N155" s="558">
        <f t="shared" si="84"/>
        <v>0</v>
      </c>
      <c r="O155" s="559"/>
      <c r="P155" s="558"/>
      <c r="Q155" s="558">
        <f t="shared" si="91"/>
        <v>0</v>
      </c>
      <c r="R155" s="558"/>
      <c r="S155" s="558">
        <f t="shared" si="92"/>
        <v>0</v>
      </c>
      <c r="T155" s="558">
        <f t="shared" si="85"/>
        <v>0</v>
      </c>
      <c r="U155" s="558">
        <f>+ROUND(T155*H155,2)</f>
        <v>0</v>
      </c>
      <c r="V155" s="559"/>
      <c r="W155" s="560"/>
      <c r="X155" s="458" t="s">
        <v>1004</v>
      </c>
      <c r="Y155" s="561">
        <f>+ROUND((O155)*(1+SUMIF($Y$2:$Y$4,X155,$Z$2:$Z$4)),0)</f>
        <v>0</v>
      </c>
      <c r="Z155" s="561">
        <f t="shared" si="145"/>
        <v>0</v>
      </c>
      <c r="AA155" s="166"/>
      <c r="AB155" s="38"/>
      <c r="AC155" s="38"/>
    </row>
    <row r="156" spans="1:29" hidden="1" outlineLevel="1" x14ac:dyDescent="0.25">
      <c r="A156" s="551" t="s">
        <v>1022</v>
      </c>
      <c r="B156" s="552" t="str">
        <f t="shared" si="151"/>
        <v>3.2/8</v>
      </c>
      <c r="C156" s="553"/>
      <c r="D156" s="555" t="s">
        <v>1539</v>
      </c>
      <c r="E156" s="555"/>
      <c r="F156" s="556"/>
      <c r="G156" s="556"/>
      <c r="H156" s="557">
        <f t="shared" si="83"/>
        <v>0</v>
      </c>
      <c r="I156" s="558"/>
      <c r="J156" s="558">
        <f t="shared" si="87"/>
        <v>0</v>
      </c>
      <c r="K156" s="558"/>
      <c r="L156" s="558">
        <f t="shared" si="88"/>
        <v>0</v>
      </c>
      <c r="M156" s="558">
        <f t="shared" si="89"/>
        <v>0</v>
      </c>
      <c r="N156" s="563">
        <f>+N24</f>
        <v>0</v>
      </c>
      <c r="O156" s="563">
        <f>+O24</f>
        <v>0</v>
      </c>
      <c r="P156" s="558"/>
      <c r="Q156" s="558">
        <f t="shared" si="91"/>
        <v>0</v>
      </c>
      <c r="R156" s="558"/>
      <c r="S156" s="558">
        <f t="shared" si="92"/>
        <v>0</v>
      </c>
      <c r="T156" s="558">
        <f t="shared" si="85"/>
        <v>0</v>
      </c>
      <c r="U156" s="563">
        <f>+U24</f>
        <v>0</v>
      </c>
      <c r="V156" s="563">
        <f>+V24</f>
        <v>0</v>
      </c>
      <c r="W156" s="560"/>
      <c r="X156" s="458" t="s">
        <v>1004</v>
      </c>
      <c r="Y156" s="563">
        <f>+Y24</f>
        <v>0</v>
      </c>
      <c r="Z156" s="563">
        <f>+Z24</f>
        <v>0</v>
      </c>
      <c r="AA156" s="166"/>
      <c r="AB156" s="38"/>
      <c r="AC156" s="38"/>
    </row>
    <row r="157" spans="1:29" hidden="1" outlineLevel="1" x14ac:dyDescent="0.25">
      <c r="A157" s="551" t="s">
        <v>1022</v>
      </c>
      <c r="B157" s="552" t="str">
        <f t="shared" si="151"/>
        <v>3.2/8</v>
      </c>
      <c r="C157" s="553"/>
      <c r="D157" s="555" t="s">
        <v>1540</v>
      </c>
      <c r="E157" s="555"/>
      <c r="F157" s="556"/>
      <c r="G157" s="556"/>
      <c r="H157" s="557">
        <f t="shared" si="83"/>
        <v>0</v>
      </c>
      <c r="I157" s="558"/>
      <c r="J157" s="558">
        <f t="shared" si="87"/>
        <v>0</v>
      </c>
      <c r="K157" s="558"/>
      <c r="L157" s="558">
        <f t="shared" si="88"/>
        <v>0</v>
      </c>
      <c r="M157" s="558">
        <f t="shared" si="89"/>
        <v>0</v>
      </c>
      <c r="N157" s="563">
        <f>+N46</f>
        <v>0</v>
      </c>
      <c r="O157" s="563">
        <f>+O46</f>
        <v>0</v>
      </c>
      <c r="P157" s="558"/>
      <c r="Q157" s="558">
        <f t="shared" si="91"/>
        <v>0</v>
      </c>
      <c r="R157" s="558"/>
      <c r="S157" s="558">
        <f t="shared" si="92"/>
        <v>0</v>
      </c>
      <c r="T157" s="558">
        <f t="shared" si="85"/>
        <v>0</v>
      </c>
      <c r="U157" s="563">
        <f>+U46</f>
        <v>0</v>
      </c>
      <c r="V157" s="563">
        <f>+V46</f>
        <v>0</v>
      </c>
      <c r="W157" s="560"/>
      <c r="X157" s="458" t="s">
        <v>1004</v>
      </c>
      <c r="Y157" s="563">
        <f>+Y46</f>
        <v>0</v>
      </c>
      <c r="Z157" s="563">
        <f>+Z46</f>
        <v>0</v>
      </c>
      <c r="AA157" s="166"/>
      <c r="AB157" s="38"/>
      <c r="AC157" s="38"/>
    </row>
    <row r="158" spans="1:29" hidden="1" outlineLevel="1" x14ac:dyDescent="0.25">
      <c r="A158" s="551" t="s">
        <v>1022</v>
      </c>
      <c r="B158" s="552" t="str">
        <f t="shared" si="151"/>
        <v>3.2/8</v>
      </c>
      <c r="C158" s="553"/>
      <c r="D158" s="555" t="s">
        <v>1541</v>
      </c>
      <c r="E158" s="555"/>
      <c r="F158" s="556"/>
      <c r="G158" s="556"/>
      <c r="H158" s="557">
        <f t="shared" si="83"/>
        <v>0</v>
      </c>
      <c r="I158" s="558"/>
      <c r="J158" s="558">
        <f t="shared" si="87"/>
        <v>0</v>
      </c>
      <c r="K158" s="558"/>
      <c r="L158" s="558">
        <f t="shared" si="88"/>
        <v>0</v>
      </c>
      <c r="M158" s="558">
        <f t="shared" si="89"/>
        <v>0</v>
      </c>
      <c r="N158" s="563">
        <f>+N72</f>
        <v>0</v>
      </c>
      <c r="O158" s="563">
        <f>+O72</f>
        <v>0</v>
      </c>
      <c r="P158" s="558"/>
      <c r="Q158" s="558">
        <f t="shared" si="91"/>
        <v>0</v>
      </c>
      <c r="R158" s="558"/>
      <c r="S158" s="558">
        <f t="shared" si="92"/>
        <v>0</v>
      </c>
      <c r="T158" s="558">
        <f t="shared" si="85"/>
        <v>0</v>
      </c>
      <c r="U158" s="563">
        <f>+U72</f>
        <v>0</v>
      </c>
      <c r="V158" s="563">
        <f>+V72</f>
        <v>0</v>
      </c>
      <c r="W158" s="560"/>
      <c r="X158" s="458" t="s">
        <v>1004</v>
      </c>
      <c r="Y158" s="563">
        <f>+Y72</f>
        <v>0</v>
      </c>
      <c r="Z158" s="563">
        <f>+Z72</f>
        <v>0</v>
      </c>
      <c r="AA158" s="166"/>
      <c r="AB158" s="38"/>
      <c r="AC158" s="38"/>
    </row>
    <row r="159" spans="1:29" hidden="1" outlineLevel="1" x14ac:dyDescent="0.25">
      <c r="A159" s="551" t="s">
        <v>1022</v>
      </c>
      <c r="B159" s="552" t="str">
        <f t="shared" si="151"/>
        <v>3.2/8</v>
      </c>
      <c r="C159" s="553"/>
      <c r="D159" s="555" t="s">
        <v>1542</v>
      </c>
      <c r="E159" s="555"/>
      <c r="F159" s="556"/>
      <c r="G159" s="556"/>
      <c r="H159" s="557">
        <f t="shared" si="83"/>
        <v>0</v>
      </c>
      <c r="I159" s="558"/>
      <c r="J159" s="558">
        <f t="shared" si="87"/>
        <v>0</v>
      </c>
      <c r="K159" s="558"/>
      <c r="L159" s="558">
        <f t="shared" si="88"/>
        <v>0</v>
      </c>
      <c r="M159" s="558">
        <f t="shared" si="89"/>
        <v>0</v>
      </c>
      <c r="N159" s="563">
        <f>+N91</f>
        <v>0</v>
      </c>
      <c r="O159" s="563">
        <f>+O91</f>
        <v>0</v>
      </c>
      <c r="P159" s="558"/>
      <c r="Q159" s="558">
        <f t="shared" si="91"/>
        <v>0</v>
      </c>
      <c r="R159" s="558"/>
      <c r="S159" s="558">
        <f t="shared" si="92"/>
        <v>0</v>
      </c>
      <c r="T159" s="558">
        <f t="shared" si="85"/>
        <v>0</v>
      </c>
      <c r="U159" s="563">
        <f>+U91</f>
        <v>0</v>
      </c>
      <c r="V159" s="563">
        <f>+V91</f>
        <v>0</v>
      </c>
      <c r="W159" s="560"/>
      <c r="X159" s="458" t="s">
        <v>1004</v>
      </c>
      <c r="Y159" s="563">
        <f>+Y91</f>
        <v>0</v>
      </c>
      <c r="Z159" s="563">
        <f>+Z91</f>
        <v>0</v>
      </c>
      <c r="AA159" s="166"/>
      <c r="AB159" s="38"/>
      <c r="AC159" s="38"/>
    </row>
    <row r="160" spans="1:29" hidden="1" outlineLevel="1" x14ac:dyDescent="0.25">
      <c r="A160" s="551" t="s">
        <v>1022</v>
      </c>
      <c r="B160" s="552" t="str">
        <f t="shared" si="151"/>
        <v>3.2/8</v>
      </c>
      <c r="C160" s="553"/>
      <c r="D160" s="555" t="s">
        <v>1543</v>
      </c>
      <c r="E160" s="555"/>
      <c r="F160" s="556"/>
      <c r="G160" s="556"/>
      <c r="H160" s="557">
        <f t="shared" si="83"/>
        <v>0</v>
      </c>
      <c r="I160" s="558"/>
      <c r="J160" s="558">
        <f t="shared" si="87"/>
        <v>0</v>
      </c>
      <c r="K160" s="558"/>
      <c r="L160" s="558">
        <f t="shared" si="88"/>
        <v>0</v>
      </c>
      <c r="M160" s="558">
        <f t="shared" si="89"/>
        <v>0</v>
      </c>
      <c r="N160" s="563">
        <f>+N115</f>
        <v>0</v>
      </c>
      <c r="O160" s="563">
        <f>+O115</f>
        <v>0</v>
      </c>
      <c r="P160" s="558"/>
      <c r="Q160" s="558">
        <f t="shared" si="91"/>
        <v>0</v>
      </c>
      <c r="R160" s="558"/>
      <c r="S160" s="558">
        <f t="shared" si="92"/>
        <v>0</v>
      </c>
      <c r="T160" s="558">
        <f t="shared" si="85"/>
        <v>0</v>
      </c>
      <c r="U160" s="563">
        <f>+U115</f>
        <v>0</v>
      </c>
      <c r="V160" s="563">
        <f>+V115</f>
        <v>0</v>
      </c>
      <c r="W160" s="560"/>
      <c r="X160" s="458" t="s">
        <v>1004</v>
      </c>
      <c r="Y160" s="563">
        <f t="shared" ref="Y160:Z160" si="152">+Y115</f>
        <v>0</v>
      </c>
      <c r="Z160" s="563">
        <f t="shared" si="152"/>
        <v>0</v>
      </c>
      <c r="AA160" s="166"/>
      <c r="AB160" s="38"/>
      <c r="AC160" s="38"/>
    </row>
    <row r="161" spans="1:29" hidden="1" outlineLevel="1" x14ac:dyDescent="0.25">
      <c r="A161" s="551" t="s">
        <v>1022</v>
      </c>
      <c r="B161" s="552" t="str">
        <f t="shared" si="151"/>
        <v>3.2/8</v>
      </c>
      <c r="C161" s="553"/>
      <c r="D161" s="555" t="s">
        <v>1544</v>
      </c>
      <c r="E161" s="555"/>
      <c r="F161" s="556"/>
      <c r="G161" s="556"/>
      <c r="H161" s="557">
        <f t="shared" si="83"/>
        <v>0</v>
      </c>
      <c r="I161" s="558"/>
      <c r="J161" s="558">
        <f t="shared" si="87"/>
        <v>0</v>
      </c>
      <c r="K161" s="558"/>
      <c r="L161" s="558">
        <f t="shared" si="88"/>
        <v>0</v>
      </c>
      <c r="M161" s="558">
        <f t="shared" si="89"/>
        <v>0</v>
      </c>
      <c r="N161" s="563">
        <f>+N142</f>
        <v>0</v>
      </c>
      <c r="O161" s="563">
        <f>+O142</f>
        <v>0</v>
      </c>
      <c r="P161" s="558"/>
      <c r="Q161" s="558">
        <f t="shared" si="91"/>
        <v>0</v>
      </c>
      <c r="R161" s="558"/>
      <c r="S161" s="558">
        <f t="shared" si="92"/>
        <v>0</v>
      </c>
      <c r="T161" s="558">
        <f t="shared" si="85"/>
        <v>0</v>
      </c>
      <c r="U161" s="563">
        <f>+U142</f>
        <v>0</v>
      </c>
      <c r="V161" s="563">
        <f>+V142</f>
        <v>0</v>
      </c>
      <c r="W161" s="560"/>
      <c r="X161" s="458" t="s">
        <v>1004</v>
      </c>
      <c r="Y161" s="563">
        <f t="shared" ref="Y161:Z161" si="153">+Y142</f>
        <v>0</v>
      </c>
      <c r="Z161" s="563">
        <f t="shared" si="153"/>
        <v>0</v>
      </c>
      <c r="AA161" s="166"/>
      <c r="AB161" s="38"/>
      <c r="AC161" s="38"/>
    </row>
    <row r="162" spans="1:29" hidden="1" outlineLevel="1" x14ac:dyDescent="0.25">
      <c r="A162" s="551" t="s">
        <v>1022</v>
      </c>
      <c r="B162" s="552" t="str">
        <f t="shared" si="151"/>
        <v>3.2/8</v>
      </c>
      <c r="C162" s="553"/>
      <c r="D162" s="555" t="s">
        <v>1545</v>
      </c>
      <c r="E162" s="555"/>
      <c r="F162" s="556"/>
      <c r="G162" s="556"/>
      <c r="H162" s="557">
        <f t="shared" si="83"/>
        <v>0</v>
      </c>
      <c r="I162" s="558"/>
      <c r="J162" s="558">
        <f t="shared" si="87"/>
        <v>0</v>
      </c>
      <c r="K162" s="558"/>
      <c r="L162" s="558">
        <f t="shared" si="88"/>
        <v>0</v>
      </c>
      <c r="M162" s="558">
        <f t="shared" si="89"/>
        <v>0</v>
      </c>
      <c r="N162" s="563">
        <f>+N153</f>
        <v>0</v>
      </c>
      <c r="O162" s="563">
        <f>+O153</f>
        <v>0</v>
      </c>
      <c r="P162" s="558"/>
      <c r="Q162" s="558">
        <f t="shared" si="91"/>
        <v>0</v>
      </c>
      <c r="R162" s="558"/>
      <c r="S162" s="558">
        <f t="shared" si="92"/>
        <v>0</v>
      </c>
      <c r="T162" s="558">
        <f t="shared" si="85"/>
        <v>0</v>
      </c>
      <c r="U162" s="563">
        <f>+U153</f>
        <v>0</v>
      </c>
      <c r="V162" s="563">
        <f>+V153</f>
        <v>0</v>
      </c>
      <c r="W162" s="560"/>
      <c r="X162" s="458" t="s">
        <v>1004</v>
      </c>
      <c r="Y162" s="563">
        <f t="shared" ref="Y162:Z162" si="154">+Y153</f>
        <v>0</v>
      </c>
      <c r="Z162" s="563">
        <f t="shared" si="154"/>
        <v>0</v>
      </c>
      <c r="AA162" s="166"/>
      <c r="AB162" s="38"/>
      <c r="AC162" s="38"/>
    </row>
    <row r="163" spans="1:29" hidden="1" outlineLevel="1" x14ac:dyDescent="0.25">
      <c r="A163" s="551" t="s">
        <v>1022</v>
      </c>
      <c r="B163" s="552" t="str">
        <f t="shared" si="151"/>
        <v>3.2/8</v>
      </c>
      <c r="C163" s="553"/>
      <c r="D163" s="555"/>
      <c r="E163" s="555"/>
      <c r="F163" s="556"/>
      <c r="G163" s="556"/>
      <c r="H163" s="557">
        <f t="shared" si="83"/>
        <v>0</v>
      </c>
      <c r="I163" s="558"/>
      <c r="J163" s="558">
        <f t="shared" si="87"/>
        <v>0</v>
      </c>
      <c r="K163" s="558"/>
      <c r="L163" s="558">
        <f t="shared" si="88"/>
        <v>0</v>
      </c>
      <c r="M163" s="558">
        <f t="shared" si="89"/>
        <v>0</v>
      </c>
      <c r="N163" s="563">
        <f>SUM(N156:N162)</f>
        <v>0</v>
      </c>
      <c r="O163" s="563"/>
      <c r="P163" s="558"/>
      <c r="Q163" s="558">
        <f t="shared" si="91"/>
        <v>0</v>
      </c>
      <c r="R163" s="558"/>
      <c r="S163" s="558">
        <f t="shared" si="92"/>
        <v>0</v>
      </c>
      <c r="T163" s="558">
        <f t="shared" si="85"/>
        <v>0</v>
      </c>
      <c r="U163" s="558">
        <f>+ROUND(T163*H163,2)</f>
        <v>0</v>
      </c>
      <c r="V163" s="563">
        <f>SUM(V156:V162)</f>
        <v>0</v>
      </c>
      <c r="W163" s="560"/>
      <c r="X163" s="458" t="s">
        <v>1004</v>
      </c>
      <c r="Y163" s="561">
        <f>SUM(Y156:Y162)</f>
        <v>0</v>
      </c>
      <c r="Z163" s="561">
        <f>SUM(Z156:Z162)</f>
        <v>0</v>
      </c>
      <c r="AA163" s="166"/>
      <c r="AB163" s="38"/>
      <c r="AC163" s="38"/>
    </row>
    <row r="164" spans="1:29" collapsed="1" x14ac:dyDescent="0.25">
      <c r="A164" s="506" t="s">
        <v>1022</v>
      </c>
      <c r="B164" s="507" t="str">
        <f>+B162</f>
        <v>3.2/8</v>
      </c>
      <c r="C164" s="508"/>
      <c r="D164" s="509" t="s">
        <v>1023</v>
      </c>
      <c r="E164" s="510"/>
      <c r="F164" s="511"/>
      <c r="G164" s="511"/>
      <c r="H164" s="512">
        <f t="shared" ref="H164" si="155">+SUM(F164:G164)</f>
        <v>0</v>
      </c>
      <c r="I164" s="512"/>
      <c r="J164" s="512">
        <f t="shared" si="87"/>
        <v>0</v>
      </c>
      <c r="K164" s="512"/>
      <c r="L164" s="512">
        <f t="shared" si="88"/>
        <v>0</v>
      </c>
      <c r="M164" s="512">
        <f t="shared" si="89"/>
        <v>0</v>
      </c>
      <c r="N164" s="512">
        <f>SUM(N156:N163)</f>
        <v>0</v>
      </c>
      <c r="O164" s="513">
        <f>SUM(O156:O163)</f>
        <v>0</v>
      </c>
      <c r="P164" s="512"/>
      <c r="Q164" s="512">
        <f t="shared" si="91"/>
        <v>0</v>
      </c>
      <c r="R164" s="512"/>
      <c r="S164" s="512">
        <f t="shared" si="92"/>
        <v>0</v>
      </c>
      <c r="T164" s="512">
        <f t="shared" si="85"/>
        <v>0</v>
      </c>
      <c r="U164" s="512">
        <f>SUM(U156:U163)</f>
        <v>0</v>
      </c>
      <c r="V164" s="513">
        <f>SUM(V156:V163)</f>
        <v>0</v>
      </c>
      <c r="W164" s="507"/>
      <c r="X164" s="514" t="s">
        <v>1004</v>
      </c>
      <c r="Y164" s="513">
        <f>SUM(Y156:Y163)</f>
        <v>0</v>
      </c>
      <c r="Z164" s="515">
        <f t="shared" ref="Z164:Z179" si="156">+ROUND((V164)*(1+SUMIF($Y$2:$Y$4,X164,$Z$2:$Z$4)),0)</f>
        <v>0</v>
      </c>
      <c r="AA164" s="166"/>
      <c r="AB164" s="38"/>
      <c r="AC164" s="38"/>
    </row>
    <row r="165" spans="1:29" x14ac:dyDescent="0.25">
      <c r="A165" s="158" t="s">
        <v>1264</v>
      </c>
      <c r="B165" s="159" t="s">
        <v>223</v>
      </c>
      <c r="C165" s="160"/>
      <c r="D165" s="162"/>
      <c r="E165" s="162"/>
      <c r="F165" s="40"/>
      <c r="G165" s="40"/>
      <c r="H165" s="33">
        <f t="shared" si="83"/>
        <v>0</v>
      </c>
      <c r="I165" s="504"/>
      <c r="J165" s="504">
        <f t="shared" si="87"/>
        <v>0</v>
      </c>
      <c r="K165" s="498"/>
      <c r="L165" s="498">
        <f t="shared" si="88"/>
        <v>0</v>
      </c>
      <c r="M165" s="34">
        <f t="shared" si="89"/>
        <v>0</v>
      </c>
      <c r="N165" s="34">
        <f t="shared" si="84"/>
        <v>0</v>
      </c>
      <c r="O165" s="35"/>
      <c r="P165" s="520"/>
      <c r="Q165" s="520">
        <f t="shared" si="91"/>
        <v>0</v>
      </c>
      <c r="R165" s="525"/>
      <c r="S165" s="525">
        <f t="shared" si="92"/>
        <v>0</v>
      </c>
      <c r="T165" s="34">
        <f t="shared" si="85"/>
        <v>0</v>
      </c>
      <c r="U165" s="163">
        <f>+ROUND(T165*H165,2)</f>
        <v>0</v>
      </c>
      <c r="V165" s="36"/>
      <c r="W165" s="164"/>
      <c r="X165" s="128" t="s">
        <v>1004</v>
      </c>
      <c r="Y165" s="37">
        <f>+ROUND((O165)*(1+SUMIF($Y$2:$Y$4,X165,$Z$2:$Z$4)),0)</f>
        <v>0</v>
      </c>
      <c r="Z165" s="37">
        <f t="shared" si="156"/>
        <v>0</v>
      </c>
      <c r="AA165" s="166"/>
      <c r="AB165" s="38"/>
      <c r="AC165" s="38"/>
    </row>
    <row r="166" spans="1:29" x14ac:dyDescent="0.25">
      <c r="A166" s="158" t="s">
        <v>1264</v>
      </c>
      <c r="B166" s="159" t="str">
        <f t="shared" ref="B166:B180" si="157">+B165</f>
        <v>3.3/1</v>
      </c>
      <c r="C166" s="160"/>
      <c r="D166" s="167" t="s">
        <v>1546</v>
      </c>
      <c r="E166" s="162"/>
      <c r="F166" s="40"/>
      <c r="G166" s="40"/>
      <c r="H166" s="33">
        <f t="shared" si="83"/>
        <v>0</v>
      </c>
      <c r="I166" s="504"/>
      <c r="J166" s="504">
        <f t="shared" si="87"/>
        <v>0</v>
      </c>
      <c r="K166" s="498"/>
      <c r="L166" s="498">
        <f t="shared" si="88"/>
        <v>0</v>
      </c>
      <c r="M166" s="34">
        <f t="shared" si="89"/>
        <v>0</v>
      </c>
      <c r="N166" s="163">
        <f t="shared" si="84"/>
        <v>0</v>
      </c>
      <c r="O166" s="35"/>
      <c r="P166" s="520"/>
      <c r="Q166" s="520">
        <f t="shared" si="91"/>
        <v>0</v>
      </c>
      <c r="R166" s="525"/>
      <c r="S166" s="525">
        <f t="shared" si="92"/>
        <v>0</v>
      </c>
      <c r="T166" s="34">
        <f t="shared" si="85"/>
        <v>0</v>
      </c>
      <c r="U166" s="163">
        <f>+ROUND(T166*H166,2)</f>
        <v>0</v>
      </c>
      <c r="V166" s="36"/>
      <c r="W166" s="164"/>
      <c r="X166" s="128" t="s">
        <v>1004</v>
      </c>
      <c r="Y166" s="37">
        <f>+ROUND((O166)*(1+SUMIF($Y$2:$Y$4,X166,$Z$2:$Z$4)),0)</f>
        <v>0</v>
      </c>
      <c r="Z166" s="37">
        <f t="shared" si="156"/>
        <v>0</v>
      </c>
      <c r="AA166" s="166"/>
      <c r="AB166" s="38"/>
      <c r="AC166" s="38"/>
    </row>
    <row r="167" spans="1:29" ht="60" hidden="1" outlineLevel="1" x14ac:dyDescent="0.25">
      <c r="A167" s="158" t="s">
        <v>1264</v>
      </c>
      <c r="B167" s="159" t="str">
        <f t="shared" si="157"/>
        <v>3.3/1</v>
      </c>
      <c r="C167" s="160"/>
      <c r="D167" s="174" t="s">
        <v>1547</v>
      </c>
      <c r="E167" s="162"/>
      <c r="F167" s="40"/>
      <c r="G167" s="40"/>
      <c r="H167" s="33">
        <f t="shared" si="83"/>
        <v>0</v>
      </c>
      <c r="I167" s="504"/>
      <c r="J167" s="504">
        <f t="shared" si="87"/>
        <v>0</v>
      </c>
      <c r="K167" s="498"/>
      <c r="L167" s="498">
        <f t="shared" si="88"/>
        <v>0</v>
      </c>
      <c r="M167" s="34">
        <f t="shared" si="89"/>
        <v>0</v>
      </c>
      <c r="N167" s="163">
        <f t="shared" si="84"/>
        <v>0</v>
      </c>
      <c r="O167" s="35"/>
      <c r="P167" s="520"/>
      <c r="Q167" s="520">
        <f t="shared" si="91"/>
        <v>0</v>
      </c>
      <c r="R167" s="525"/>
      <c r="S167" s="525">
        <f t="shared" si="92"/>
        <v>0</v>
      </c>
      <c r="T167" s="34">
        <f t="shared" si="85"/>
        <v>0</v>
      </c>
      <c r="U167" s="163">
        <f>+ROUND(T167*H167,2)</f>
        <v>0</v>
      </c>
      <c r="V167" s="36"/>
      <c r="W167" s="164"/>
      <c r="X167" s="128" t="s">
        <v>1004</v>
      </c>
      <c r="Y167" s="37">
        <f>+ROUND((O167)*(1+SUMIF($Y$2:$Y$4,X167,$Z$2:$Z$4)),0)</f>
        <v>0</v>
      </c>
      <c r="Z167" s="37">
        <f t="shared" si="156"/>
        <v>0</v>
      </c>
      <c r="AA167" s="166"/>
      <c r="AB167" s="38"/>
      <c r="AC167" s="38"/>
    </row>
    <row r="168" spans="1:29" hidden="1" outlineLevel="1" x14ac:dyDescent="0.25">
      <c r="A168" s="158" t="s">
        <v>1264</v>
      </c>
      <c r="B168" s="159" t="str">
        <f t="shared" si="157"/>
        <v>3.3/1</v>
      </c>
      <c r="C168" s="243">
        <v>1</v>
      </c>
      <c r="D168" s="167" t="s">
        <v>1380</v>
      </c>
      <c r="E168" s="162"/>
      <c r="F168" s="40"/>
      <c r="G168" s="40"/>
      <c r="H168" s="33">
        <f t="shared" si="83"/>
        <v>0</v>
      </c>
      <c r="I168" s="504"/>
      <c r="J168" s="504">
        <f t="shared" si="87"/>
        <v>0</v>
      </c>
      <c r="K168" s="498"/>
      <c r="L168" s="498">
        <f t="shared" si="88"/>
        <v>0</v>
      </c>
      <c r="M168" s="34">
        <f t="shared" si="89"/>
        <v>0</v>
      </c>
      <c r="N168" s="163">
        <f t="shared" si="84"/>
        <v>0</v>
      </c>
      <c r="O168" s="35"/>
      <c r="P168" s="520"/>
      <c r="Q168" s="520">
        <f t="shared" si="91"/>
        <v>0</v>
      </c>
      <c r="R168" s="525"/>
      <c r="S168" s="525">
        <f t="shared" si="92"/>
        <v>0</v>
      </c>
      <c r="T168" s="34">
        <f t="shared" si="85"/>
        <v>0</v>
      </c>
      <c r="U168" s="163">
        <f>+ROUND(T168*H168,2)</f>
        <v>0</v>
      </c>
      <c r="V168" s="36"/>
      <c r="W168" s="164"/>
      <c r="X168" s="128" t="s">
        <v>1004</v>
      </c>
      <c r="Y168" s="37">
        <f>+ROUND((O168)*(1+SUMIF($Y$2:$Y$4,X168,$Z$2:$Z$4)),0)</f>
        <v>0</v>
      </c>
      <c r="Z168" s="37">
        <f t="shared" si="156"/>
        <v>0</v>
      </c>
      <c r="AA168" s="166"/>
      <c r="AB168" s="38"/>
      <c r="AC168" s="38"/>
    </row>
    <row r="169" spans="1:29" hidden="1" outlineLevel="2" x14ac:dyDescent="0.25">
      <c r="A169" s="158" t="s">
        <v>1264</v>
      </c>
      <c r="B169" s="159" t="str">
        <f t="shared" si="157"/>
        <v>3.3/1</v>
      </c>
      <c r="C169" s="242">
        <v>1.1000000000000001</v>
      </c>
      <c r="D169" s="161" t="s">
        <v>1381</v>
      </c>
      <c r="E169" s="162"/>
      <c r="F169" s="40"/>
      <c r="G169" s="40"/>
      <c r="H169" s="33">
        <f t="shared" si="83"/>
        <v>0</v>
      </c>
      <c r="I169" s="504"/>
      <c r="J169" s="504">
        <f t="shared" si="87"/>
        <v>0</v>
      </c>
      <c r="K169" s="498"/>
      <c r="L169" s="498">
        <f t="shared" si="88"/>
        <v>0</v>
      </c>
      <c r="M169" s="34">
        <f t="shared" si="89"/>
        <v>0</v>
      </c>
      <c r="N169" s="163">
        <f t="shared" si="84"/>
        <v>0</v>
      </c>
      <c r="O169" s="35"/>
      <c r="P169" s="520"/>
      <c r="Q169" s="520">
        <f t="shared" si="91"/>
        <v>0</v>
      </c>
      <c r="R169" s="525"/>
      <c r="S169" s="525">
        <f t="shared" si="92"/>
        <v>0</v>
      </c>
      <c r="T169" s="34">
        <f t="shared" si="85"/>
        <v>0</v>
      </c>
      <c r="U169" s="163">
        <f>+ROUND(T169*H169,2)</f>
        <v>0</v>
      </c>
      <c r="V169" s="36"/>
      <c r="W169" s="164"/>
      <c r="X169" s="128" t="s">
        <v>1004</v>
      </c>
      <c r="Y169" s="37">
        <f>+ROUND((O169)*(1+SUMIF($Y$2:$Y$4,X169,$Z$2:$Z$4)),0)</f>
        <v>0</v>
      </c>
      <c r="Z169" s="37">
        <f t="shared" si="156"/>
        <v>0</v>
      </c>
      <c r="AA169" s="166"/>
      <c r="AB169" s="38"/>
      <c r="AC169" s="38"/>
    </row>
    <row r="170" spans="1:29" hidden="1" outlineLevel="2" x14ac:dyDescent="0.25">
      <c r="A170" s="158" t="s">
        <v>1264</v>
      </c>
      <c r="B170" s="159" t="str">
        <f t="shared" si="157"/>
        <v>3.3/1</v>
      </c>
      <c r="C170" s="168" t="s">
        <v>1382</v>
      </c>
      <c r="D170" s="169" t="s">
        <v>1383</v>
      </c>
      <c r="E170" s="170" t="s">
        <v>1384</v>
      </c>
      <c r="F170" s="171"/>
      <c r="G170" s="171"/>
      <c r="H170" s="33">
        <f t="shared" si="83"/>
        <v>0</v>
      </c>
      <c r="I170" s="505"/>
      <c r="J170" s="505">
        <f t="shared" si="87"/>
        <v>0</v>
      </c>
      <c r="K170" s="499"/>
      <c r="L170" s="499">
        <f t="shared" si="88"/>
        <v>0</v>
      </c>
      <c r="M170" s="39">
        <f t="shared" si="89"/>
        <v>0</v>
      </c>
      <c r="N170" s="163">
        <f t="shared" si="84"/>
        <v>0</v>
      </c>
      <c r="O170" s="172">
        <f>N170</f>
        <v>0</v>
      </c>
      <c r="P170" s="521"/>
      <c r="Q170" s="521">
        <f t="shared" si="91"/>
        <v>0</v>
      </c>
      <c r="R170" s="526"/>
      <c r="S170" s="526">
        <f t="shared" si="92"/>
        <v>0</v>
      </c>
      <c r="T170" s="39">
        <f t="shared" si="85"/>
        <v>0</v>
      </c>
      <c r="U170" s="163">
        <f>+ROUND(T170*H170,2)</f>
        <v>0</v>
      </c>
      <c r="V170" s="173">
        <f>U170</f>
        <v>0</v>
      </c>
      <c r="W170" s="164"/>
      <c r="X170" s="128" t="s">
        <v>1004</v>
      </c>
      <c r="Y170" s="37">
        <f>+ROUND((O170)*(1+SUMIF($Y$2:$Y$4,X170,$Z$2:$Z$4)),0)</f>
        <v>0</v>
      </c>
      <c r="Z170" s="37">
        <f t="shared" si="156"/>
        <v>0</v>
      </c>
      <c r="AA170" s="166"/>
      <c r="AB170" s="38"/>
      <c r="AC170" s="38"/>
    </row>
    <row r="171" spans="1:29" hidden="1" outlineLevel="2" x14ac:dyDescent="0.25">
      <c r="A171" s="158" t="s">
        <v>1093</v>
      </c>
      <c r="B171" s="159" t="str">
        <f t="shared" si="157"/>
        <v>3.3/1</v>
      </c>
      <c r="C171" s="168" t="s">
        <v>1385</v>
      </c>
      <c r="D171" s="169" t="s">
        <v>1386</v>
      </c>
      <c r="E171" s="170" t="s">
        <v>1384</v>
      </c>
      <c r="F171" s="171"/>
      <c r="G171" s="171"/>
      <c r="H171" s="33">
        <f t="shared" si="83"/>
        <v>0</v>
      </c>
      <c r="I171" s="505"/>
      <c r="J171" s="505">
        <f t="shared" si="87"/>
        <v>0</v>
      </c>
      <c r="K171" s="499"/>
      <c r="L171" s="499">
        <f t="shared" si="88"/>
        <v>0</v>
      </c>
      <c r="M171" s="39">
        <f t="shared" si="89"/>
        <v>0</v>
      </c>
      <c r="N171" s="163">
        <f t="shared" si="84"/>
        <v>0</v>
      </c>
      <c r="O171" s="172">
        <f>N171</f>
        <v>0</v>
      </c>
      <c r="P171" s="521"/>
      <c r="Q171" s="521">
        <f t="shared" si="91"/>
        <v>0</v>
      </c>
      <c r="R171" s="526"/>
      <c r="S171" s="526">
        <f t="shared" si="92"/>
        <v>0</v>
      </c>
      <c r="T171" s="39">
        <f t="shared" si="85"/>
        <v>0</v>
      </c>
      <c r="U171" s="163">
        <f>+ROUND(T171*H171,2)</f>
        <v>0</v>
      </c>
      <c r="V171" s="173">
        <f>U171</f>
        <v>0</v>
      </c>
      <c r="W171" s="164"/>
      <c r="X171" s="128" t="s">
        <v>1004</v>
      </c>
      <c r="Y171" s="37">
        <f>+ROUND((O171)*(1+SUMIF($Y$2:$Y$4,X171,$Z$2:$Z$4)),0)</f>
        <v>0</v>
      </c>
      <c r="Z171" s="37">
        <f t="shared" si="156"/>
        <v>0</v>
      </c>
      <c r="AA171" s="166"/>
      <c r="AB171" s="38"/>
      <c r="AC171" s="38"/>
    </row>
    <row r="172" spans="1:29" hidden="1" outlineLevel="2" x14ac:dyDescent="0.25">
      <c r="A172" s="158" t="s">
        <v>1073</v>
      </c>
      <c r="B172" s="159" t="str">
        <f t="shared" si="157"/>
        <v>3.3/1</v>
      </c>
      <c r="C172" s="168" t="s">
        <v>1387</v>
      </c>
      <c r="D172" s="169" t="s">
        <v>1388</v>
      </c>
      <c r="E172" s="170" t="s">
        <v>1384</v>
      </c>
      <c r="F172" s="171"/>
      <c r="G172" s="171"/>
      <c r="H172" s="33">
        <f t="shared" si="83"/>
        <v>0</v>
      </c>
      <c r="I172" s="505"/>
      <c r="J172" s="505">
        <f t="shared" si="87"/>
        <v>0</v>
      </c>
      <c r="K172" s="499"/>
      <c r="L172" s="499">
        <f t="shared" si="88"/>
        <v>0</v>
      </c>
      <c r="M172" s="39">
        <f t="shared" si="89"/>
        <v>0</v>
      </c>
      <c r="N172" s="163">
        <f t="shared" si="84"/>
        <v>0</v>
      </c>
      <c r="O172" s="172">
        <f>N172</f>
        <v>0</v>
      </c>
      <c r="P172" s="521"/>
      <c r="Q172" s="521">
        <f t="shared" si="91"/>
        <v>0</v>
      </c>
      <c r="R172" s="526"/>
      <c r="S172" s="526">
        <f t="shared" si="92"/>
        <v>0</v>
      </c>
      <c r="T172" s="39">
        <f t="shared" si="85"/>
        <v>0</v>
      </c>
      <c r="U172" s="163">
        <f>+ROUND(T172*H172,2)</f>
        <v>0</v>
      </c>
      <c r="V172" s="173">
        <f>U172</f>
        <v>0</v>
      </c>
      <c r="W172" s="164"/>
      <c r="X172" s="128" t="s">
        <v>1004</v>
      </c>
      <c r="Y172" s="37">
        <f>+ROUND((O172)*(1+SUMIF($Y$2:$Y$4,X172,$Z$2:$Z$4)),0)</f>
        <v>0</v>
      </c>
      <c r="Z172" s="37">
        <f t="shared" si="156"/>
        <v>0</v>
      </c>
      <c r="AA172" s="166"/>
      <c r="AB172" s="38"/>
      <c r="AC172" s="38"/>
    </row>
    <row r="173" spans="1:29" hidden="1" outlineLevel="2" x14ac:dyDescent="0.25">
      <c r="A173" s="158" t="s">
        <v>1019</v>
      </c>
      <c r="B173" s="159" t="str">
        <f t="shared" si="157"/>
        <v>3.3/1</v>
      </c>
      <c r="C173" s="242">
        <v>1.2</v>
      </c>
      <c r="D173" s="161" t="s">
        <v>1389</v>
      </c>
      <c r="E173" s="162"/>
      <c r="F173" s="40"/>
      <c r="G173" s="40"/>
      <c r="H173" s="33">
        <f t="shared" si="83"/>
        <v>0</v>
      </c>
      <c r="I173" s="504"/>
      <c r="J173" s="504">
        <f t="shared" si="87"/>
        <v>0</v>
      </c>
      <c r="K173" s="498"/>
      <c r="L173" s="498">
        <f t="shared" si="88"/>
        <v>0</v>
      </c>
      <c r="M173" s="34">
        <f t="shared" si="89"/>
        <v>0</v>
      </c>
      <c r="N173" s="163">
        <f t="shared" si="84"/>
        <v>0</v>
      </c>
      <c r="O173" s="35"/>
      <c r="P173" s="520"/>
      <c r="Q173" s="520">
        <f t="shared" si="91"/>
        <v>0</v>
      </c>
      <c r="R173" s="525"/>
      <c r="S173" s="525">
        <f t="shared" si="92"/>
        <v>0</v>
      </c>
      <c r="T173" s="34">
        <f t="shared" si="85"/>
        <v>0</v>
      </c>
      <c r="U173" s="163">
        <f>+ROUND(T173*H173,2)</f>
        <v>0</v>
      </c>
      <c r="V173" s="36"/>
      <c r="W173" s="164"/>
      <c r="X173" s="128" t="s">
        <v>1004</v>
      </c>
      <c r="Y173" s="37">
        <f>+ROUND((O173)*(1+SUMIF($Y$2:$Y$4,X173,$Z$2:$Z$4)),0)</f>
        <v>0</v>
      </c>
      <c r="Z173" s="37">
        <f t="shared" si="156"/>
        <v>0</v>
      </c>
      <c r="AA173" s="166"/>
      <c r="AB173" s="38"/>
      <c r="AC173" s="38"/>
    </row>
    <row r="174" spans="1:29" hidden="1" outlineLevel="2" x14ac:dyDescent="0.25">
      <c r="A174" s="158" t="s">
        <v>1095</v>
      </c>
      <c r="B174" s="159" t="str">
        <f t="shared" si="157"/>
        <v>3.3/1</v>
      </c>
      <c r="C174" s="168" t="s">
        <v>1390</v>
      </c>
      <c r="D174" s="169" t="s">
        <v>1391</v>
      </c>
      <c r="E174" s="170" t="s">
        <v>1384</v>
      </c>
      <c r="F174" s="171"/>
      <c r="G174" s="171"/>
      <c r="H174" s="33">
        <f t="shared" si="83"/>
        <v>0</v>
      </c>
      <c r="I174" s="505"/>
      <c r="J174" s="505">
        <f t="shared" si="87"/>
        <v>0</v>
      </c>
      <c r="K174" s="499"/>
      <c r="L174" s="499">
        <f t="shared" si="88"/>
        <v>0</v>
      </c>
      <c r="M174" s="39">
        <f t="shared" si="89"/>
        <v>0</v>
      </c>
      <c r="N174" s="163">
        <f t="shared" si="84"/>
        <v>0</v>
      </c>
      <c r="O174" s="172">
        <f t="shared" ref="O174:O179" si="158">N174</f>
        <v>0</v>
      </c>
      <c r="P174" s="521"/>
      <c r="Q174" s="521">
        <f t="shared" si="91"/>
        <v>0</v>
      </c>
      <c r="R174" s="526"/>
      <c r="S174" s="526">
        <f t="shared" si="92"/>
        <v>0</v>
      </c>
      <c r="T174" s="39">
        <f t="shared" si="85"/>
        <v>0</v>
      </c>
      <c r="U174" s="163">
        <f>+ROUND(T174*H174,2)</f>
        <v>0</v>
      </c>
      <c r="V174" s="173">
        <f t="shared" ref="V174:V179" si="159">U174</f>
        <v>0</v>
      </c>
      <c r="W174" s="164"/>
      <c r="X174" s="128" t="s">
        <v>1004</v>
      </c>
      <c r="Y174" s="37">
        <f>+ROUND((O174)*(1+SUMIF($Y$2:$Y$4,X174,$Z$2:$Z$4)),0)</f>
        <v>0</v>
      </c>
      <c r="Z174" s="37">
        <f t="shared" si="156"/>
        <v>0</v>
      </c>
      <c r="AA174" s="166"/>
      <c r="AB174" s="38"/>
      <c r="AC174" s="38"/>
    </row>
    <row r="175" spans="1:29" hidden="1" outlineLevel="2" x14ac:dyDescent="0.25">
      <c r="A175" s="158" t="s">
        <v>1095</v>
      </c>
      <c r="B175" s="159" t="str">
        <f t="shared" si="157"/>
        <v>3.3/1</v>
      </c>
      <c r="C175" s="168" t="s">
        <v>1392</v>
      </c>
      <c r="D175" s="169" t="s">
        <v>1393</v>
      </c>
      <c r="E175" s="170" t="s">
        <v>1384</v>
      </c>
      <c r="F175" s="171"/>
      <c r="G175" s="171"/>
      <c r="H175" s="33">
        <f t="shared" si="83"/>
        <v>0</v>
      </c>
      <c r="I175" s="505"/>
      <c r="J175" s="505">
        <f t="shared" si="87"/>
        <v>0</v>
      </c>
      <c r="K175" s="499"/>
      <c r="L175" s="499">
        <f t="shared" si="88"/>
        <v>0</v>
      </c>
      <c r="M175" s="39">
        <f t="shared" si="89"/>
        <v>0</v>
      </c>
      <c r="N175" s="163">
        <f t="shared" si="84"/>
        <v>0</v>
      </c>
      <c r="O175" s="172">
        <f t="shared" si="158"/>
        <v>0</v>
      </c>
      <c r="P175" s="521"/>
      <c r="Q175" s="521">
        <f t="shared" si="91"/>
        <v>0</v>
      </c>
      <c r="R175" s="526"/>
      <c r="S175" s="526">
        <f t="shared" si="92"/>
        <v>0</v>
      </c>
      <c r="T175" s="39">
        <f t="shared" si="85"/>
        <v>0</v>
      </c>
      <c r="U175" s="163">
        <f>+ROUND(T175*H175,2)</f>
        <v>0</v>
      </c>
      <c r="V175" s="173">
        <f t="shared" si="159"/>
        <v>0</v>
      </c>
      <c r="W175" s="164"/>
      <c r="X175" s="128" t="s">
        <v>1004</v>
      </c>
      <c r="Y175" s="37">
        <f>+ROUND((O175)*(1+SUMIF($Y$2:$Y$4,X175,$Z$2:$Z$4)),0)</f>
        <v>0</v>
      </c>
      <c r="Z175" s="37">
        <f t="shared" si="156"/>
        <v>0</v>
      </c>
      <c r="AA175" s="166"/>
      <c r="AB175" s="38"/>
      <c r="AC175" s="38"/>
    </row>
    <row r="176" spans="1:29" hidden="1" outlineLevel="2" x14ac:dyDescent="0.25">
      <c r="A176" s="158" t="s">
        <v>1099</v>
      </c>
      <c r="B176" s="159" t="str">
        <f t="shared" si="157"/>
        <v>3.3/1</v>
      </c>
      <c r="C176" s="168" t="s">
        <v>1394</v>
      </c>
      <c r="D176" s="169" t="s">
        <v>1395</v>
      </c>
      <c r="E176" s="170" t="s">
        <v>1384</v>
      </c>
      <c r="F176" s="171"/>
      <c r="G176" s="171"/>
      <c r="H176" s="33">
        <f t="shared" si="83"/>
        <v>0</v>
      </c>
      <c r="I176" s="505"/>
      <c r="J176" s="505">
        <f t="shared" si="87"/>
        <v>0</v>
      </c>
      <c r="K176" s="499"/>
      <c r="L176" s="499">
        <f t="shared" si="88"/>
        <v>0</v>
      </c>
      <c r="M176" s="39">
        <f t="shared" si="89"/>
        <v>0</v>
      </c>
      <c r="N176" s="163">
        <f t="shared" si="84"/>
        <v>0</v>
      </c>
      <c r="O176" s="172">
        <f t="shared" si="158"/>
        <v>0</v>
      </c>
      <c r="P176" s="521"/>
      <c r="Q176" s="521">
        <f t="shared" si="91"/>
        <v>0</v>
      </c>
      <c r="R176" s="526"/>
      <c r="S176" s="526">
        <f t="shared" si="92"/>
        <v>0</v>
      </c>
      <c r="T176" s="39">
        <f t="shared" si="85"/>
        <v>0</v>
      </c>
      <c r="U176" s="163">
        <f>+ROUND(T176*H176,2)</f>
        <v>0</v>
      </c>
      <c r="V176" s="173">
        <f t="shared" si="159"/>
        <v>0</v>
      </c>
      <c r="W176" s="164"/>
      <c r="X176" s="128" t="s">
        <v>1004</v>
      </c>
      <c r="Y176" s="37">
        <f>+ROUND((O176)*(1+SUMIF($Y$2:$Y$4,X176,$Z$2:$Z$4)),0)</f>
        <v>0</v>
      </c>
      <c r="Z176" s="37">
        <f t="shared" si="156"/>
        <v>0</v>
      </c>
      <c r="AA176" s="166"/>
      <c r="AB176" s="38"/>
      <c r="AC176" s="38"/>
    </row>
    <row r="177" spans="1:29" hidden="1" outlineLevel="2" x14ac:dyDescent="0.25">
      <c r="A177" s="158" t="s">
        <v>1103</v>
      </c>
      <c r="B177" s="159" t="str">
        <f t="shared" si="157"/>
        <v>3.3/1</v>
      </c>
      <c r="C177" s="168" t="s">
        <v>1396</v>
      </c>
      <c r="D177" s="169" t="s">
        <v>1397</v>
      </c>
      <c r="E177" s="170" t="s">
        <v>1384</v>
      </c>
      <c r="F177" s="171"/>
      <c r="G177" s="171"/>
      <c r="H177" s="33">
        <f t="shared" si="83"/>
        <v>0</v>
      </c>
      <c r="I177" s="505"/>
      <c r="J177" s="505">
        <f t="shared" si="87"/>
        <v>0</v>
      </c>
      <c r="K177" s="499"/>
      <c r="L177" s="499">
        <f t="shared" si="88"/>
        <v>0</v>
      </c>
      <c r="M177" s="39">
        <f t="shared" si="89"/>
        <v>0</v>
      </c>
      <c r="N177" s="163">
        <f t="shared" si="84"/>
        <v>0</v>
      </c>
      <c r="O177" s="172">
        <f t="shared" si="158"/>
        <v>0</v>
      </c>
      <c r="P177" s="521"/>
      <c r="Q177" s="521">
        <f t="shared" si="91"/>
        <v>0</v>
      </c>
      <c r="R177" s="526"/>
      <c r="S177" s="526">
        <f t="shared" si="92"/>
        <v>0</v>
      </c>
      <c r="T177" s="39">
        <f t="shared" si="85"/>
        <v>0</v>
      </c>
      <c r="U177" s="163">
        <f>+ROUND(T177*H177,2)</f>
        <v>0</v>
      </c>
      <c r="V177" s="173">
        <f t="shared" si="159"/>
        <v>0</v>
      </c>
      <c r="W177" s="164"/>
      <c r="X177" s="128" t="s">
        <v>1004</v>
      </c>
      <c r="Y177" s="37">
        <f>+ROUND((O177)*(1+SUMIF($Y$2:$Y$4,X177,$Z$2:$Z$4)),0)</f>
        <v>0</v>
      </c>
      <c r="Z177" s="37">
        <f t="shared" si="156"/>
        <v>0</v>
      </c>
      <c r="AA177" s="166"/>
      <c r="AB177" s="38"/>
      <c r="AC177" s="38"/>
    </row>
    <row r="178" spans="1:29" hidden="1" outlineLevel="2" x14ac:dyDescent="0.25">
      <c r="A178" s="158" t="s">
        <v>1107</v>
      </c>
      <c r="B178" s="159" t="str">
        <f t="shared" si="157"/>
        <v>3.3/1</v>
      </c>
      <c r="C178" s="168" t="s">
        <v>1398</v>
      </c>
      <c r="D178" s="169" t="s">
        <v>1399</v>
      </c>
      <c r="E178" s="170" t="s">
        <v>1384</v>
      </c>
      <c r="F178" s="171"/>
      <c r="G178" s="171"/>
      <c r="H178" s="33">
        <f t="shared" ref="H178:H244" si="160">+SUM(F178:G178)</f>
        <v>0</v>
      </c>
      <c r="I178" s="505"/>
      <c r="J178" s="505">
        <f t="shared" si="87"/>
        <v>0</v>
      </c>
      <c r="K178" s="499"/>
      <c r="L178" s="499">
        <f t="shared" si="88"/>
        <v>0</v>
      </c>
      <c r="M178" s="39">
        <f t="shared" si="89"/>
        <v>0</v>
      </c>
      <c r="N178" s="163">
        <f t="shared" ref="N178:N244" si="161">+ROUND(M178*H178,2)</f>
        <v>0</v>
      </c>
      <c r="O178" s="172">
        <f t="shared" si="158"/>
        <v>0</v>
      </c>
      <c r="P178" s="521"/>
      <c r="Q178" s="521">
        <f t="shared" si="91"/>
        <v>0</v>
      </c>
      <c r="R178" s="526"/>
      <c r="S178" s="526">
        <f t="shared" si="92"/>
        <v>0</v>
      </c>
      <c r="T178" s="39">
        <f t="shared" ref="T178:T241" si="162">+Q178+S178</f>
        <v>0</v>
      </c>
      <c r="U178" s="163">
        <f>+ROUND(T178*H178,2)</f>
        <v>0</v>
      </c>
      <c r="V178" s="173">
        <f t="shared" si="159"/>
        <v>0</v>
      </c>
      <c r="W178" s="164"/>
      <c r="X178" s="128" t="s">
        <v>1004</v>
      </c>
      <c r="Y178" s="37">
        <f>+ROUND((O178)*(1+SUMIF($Y$2:$Y$4,X178,$Z$2:$Z$4)),0)</f>
        <v>0</v>
      </c>
      <c r="Z178" s="37">
        <f t="shared" si="156"/>
        <v>0</v>
      </c>
      <c r="AA178" s="166"/>
      <c r="AB178" s="38"/>
      <c r="AC178" s="38"/>
    </row>
    <row r="179" spans="1:29" hidden="1" outlineLevel="2" x14ac:dyDescent="0.25">
      <c r="A179" s="158" t="s">
        <v>1073</v>
      </c>
      <c r="B179" s="159" t="str">
        <f t="shared" si="157"/>
        <v>3.3/1</v>
      </c>
      <c r="C179" s="168" t="s">
        <v>1400</v>
      </c>
      <c r="D179" s="174" t="s">
        <v>1401</v>
      </c>
      <c r="E179" s="170" t="s">
        <v>1384</v>
      </c>
      <c r="F179" s="171"/>
      <c r="G179" s="171"/>
      <c r="H179" s="33">
        <f t="shared" si="160"/>
        <v>0</v>
      </c>
      <c r="I179" s="505"/>
      <c r="J179" s="505">
        <f t="shared" ref="J179:J242" si="163">+I179*$J$5</f>
        <v>0</v>
      </c>
      <c r="K179" s="499"/>
      <c r="L179" s="499">
        <f t="shared" ref="L179:L242" si="164">+K179*$L$5</f>
        <v>0</v>
      </c>
      <c r="M179" s="39">
        <f t="shared" ref="M179:M242" si="165">+J179+L179</f>
        <v>0</v>
      </c>
      <c r="N179" s="163">
        <f t="shared" si="161"/>
        <v>0</v>
      </c>
      <c r="O179" s="172">
        <f t="shared" si="158"/>
        <v>0</v>
      </c>
      <c r="P179" s="521"/>
      <c r="Q179" s="521">
        <f t="shared" ref="Q179:Q242" si="166">+P179*$Q$5</f>
        <v>0</v>
      </c>
      <c r="R179" s="526"/>
      <c r="S179" s="526">
        <f t="shared" ref="S179:S242" si="167">+R179*$S$5</f>
        <v>0</v>
      </c>
      <c r="T179" s="39">
        <f t="shared" si="162"/>
        <v>0</v>
      </c>
      <c r="U179" s="163">
        <f>+ROUND(T179*H179,2)</f>
        <v>0</v>
      </c>
      <c r="V179" s="173">
        <f t="shared" si="159"/>
        <v>0</v>
      </c>
      <c r="W179" s="164"/>
      <c r="X179" s="128" t="s">
        <v>1004</v>
      </c>
      <c r="Y179" s="37">
        <f>+ROUND((O179)*(1+SUMIF($Y$2:$Y$4,X179,$Z$2:$Z$4)),0)</f>
        <v>0</v>
      </c>
      <c r="Z179" s="37">
        <f t="shared" si="156"/>
        <v>0</v>
      </c>
      <c r="AA179" s="166"/>
      <c r="AB179" s="38"/>
      <c r="AC179" s="38"/>
    </row>
    <row r="180" spans="1:29" hidden="1" outlineLevel="1" x14ac:dyDescent="0.25">
      <c r="A180" s="506" t="s">
        <v>1022</v>
      </c>
      <c r="B180" s="507" t="str">
        <f t="shared" si="157"/>
        <v>3.3/1</v>
      </c>
      <c r="C180" s="508"/>
      <c r="D180" s="509" t="s">
        <v>1023</v>
      </c>
      <c r="E180" s="510"/>
      <c r="F180" s="511"/>
      <c r="G180" s="511"/>
      <c r="H180" s="512">
        <f t="shared" si="160"/>
        <v>0</v>
      </c>
      <c r="I180" s="512"/>
      <c r="J180" s="512">
        <f t="shared" si="163"/>
        <v>0</v>
      </c>
      <c r="K180" s="512"/>
      <c r="L180" s="512">
        <f t="shared" si="164"/>
        <v>0</v>
      </c>
      <c r="M180" s="512">
        <f t="shared" si="165"/>
        <v>0</v>
      </c>
      <c r="N180" s="512">
        <f>SUM(N154:N179)</f>
        <v>0</v>
      </c>
      <c r="O180" s="513">
        <f>SUM(O167:O179)</f>
        <v>0</v>
      </c>
      <c r="P180" s="512"/>
      <c r="Q180" s="512">
        <f t="shared" si="166"/>
        <v>0</v>
      </c>
      <c r="R180" s="512"/>
      <c r="S180" s="512">
        <f t="shared" si="167"/>
        <v>0</v>
      </c>
      <c r="T180" s="512">
        <f t="shared" si="162"/>
        <v>0</v>
      </c>
      <c r="U180" s="512">
        <f>SUM(U154:U179)</f>
        <v>0</v>
      </c>
      <c r="V180" s="513">
        <f>SUM(V167:V179)</f>
        <v>0</v>
      </c>
      <c r="W180" s="507"/>
      <c r="X180" s="514" t="s">
        <v>1004</v>
      </c>
      <c r="Y180" s="513">
        <f>SUM(Y167:Y179)</f>
        <v>0</v>
      </c>
      <c r="Z180" s="513">
        <f>SUM(Z167:Z179)</f>
        <v>0</v>
      </c>
      <c r="AA180" s="166"/>
      <c r="AB180" s="38"/>
      <c r="AC180" s="38"/>
    </row>
    <row r="181" spans="1:29" hidden="1" outlineLevel="1" x14ac:dyDescent="0.25">
      <c r="A181" s="158" t="s">
        <v>1139</v>
      </c>
      <c r="B181" s="159" t="s">
        <v>233</v>
      </c>
      <c r="C181" s="243">
        <v>2</v>
      </c>
      <c r="D181" s="167" t="s">
        <v>1403</v>
      </c>
      <c r="E181" s="162"/>
      <c r="F181" s="40"/>
      <c r="G181" s="40"/>
      <c r="H181" s="33">
        <f t="shared" si="160"/>
        <v>0</v>
      </c>
      <c r="I181" s="504"/>
      <c r="J181" s="504">
        <f t="shared" si="163"/>
        <v>0</v>
      </c>
      <c r="K181" s="498"/>
      <c r="L181" s="498">
        <f t="shared" si="164"/>
        <v>0</v>
      </c>
      <c r="M181" s="34">
        <f t="shared" si="165"/>
        <v>0</v>
      </c>
      <c r="N181" s="163">
        <f t="shared" si="161"/>
        <v>0</v>
      </c>
      <c r="O181" s="35"/>
      <c r="P181" s="520"/>
      <c r="Q181" s="520">
        <f t="shared" si="166"/>
        <v>0</v>
      </c>
      <c r="R181" s="525"/>
      <c r="S181" s="525">
        <f t="shared" si="167"/>
        <v>0</v>
      </c>
      <c r="T181" s="34">
        <f t="shared" si="162"/>
        <v>0</v>
      </c>
      <c r="U181" s="163">
        <f>+ROUND(T181*H181,2)</f>
        <v>0</v>
      </c>
      <c r="V181" s="36"/>
      <c r="W181" s="164"/>
      <c r="X181" s="128" t="s">
        <v>1004</v>
      </c>
      <c r="Y181" s="37">
        <f>+ROUND((O181)*(1+SUMIF($Y$2:$Y$4,X181,$Z$2:$Z$4)),0)</f>
        <v>0</v>
      </c>
      <c r="Z181" s="37">
        <f t="shared" ref="Z181:Z198" si="168">+ROUND((V181)*(1+SUMIF($Y$2:$Y$4,X181,$Z$2:$Z$4)),0)</f>
        <v>0</v>
      </c>
      <c r="AA181" s="166"/>
      <c r="AB181" s="38"/>
      <c r="AC181" s="38"/>
    </row>
    <row r="182" spans="1:29" hidden="1" outlineLevel="2" x14ac:dyDescent="0.25">
      <c r="A182" s="158" t="s">
        <v>1139</v>
      </c>
      <c r="B182" s="159" t="str">
        <f>+B181</f>
        <v>3.3/2</v>
      </c>
      <c r="C182" s="242">
        <v>2.1</v>
      </c>
      <c r="D182" s="161" t="s">
        <v>1404</v>
      </c>
      <c r="E182" s="162"/>
      <c r="F182" s="40"/>
      <c r="G182" s="40"/>
      <c r="H182" s="33">
        <f t="shared" si="160"/>
        <v>0</v>
      </c>
      <c r="I182" s="504"/>
      <c r="J182" s="504">
        <f t="shared" si="163"/>
        <v>0</v>
      </c>
      <c r="K182" s="498"/>
      <c r="L182" s="498">
        <f t="shared" si="164"/>
        <v>0</v>
      </c>
      <c r="M182" s="34">
        <f t="shared" si="165"/>
        <v>0</v>
      </c>
      <c r="N182" s="163">
        <f t="shared" si="161"/>
        <v>0</v>
      </c>
      <c r="O182" s="35"/>
      <c r="P182" s="520"/>
      <c r="Q182" s="520">
        <f t="shared" si="166"/>
        <v>0</v>
      </c>
      <c r="R182" s="525"/>
      <c r="S182" s="525">
        <f t="shared" si="167"/>
        <v>0</v>
      </c>
      <c r="T182" s="34">
        <f t="shared" si="162"/>
        <v>0</v>
      </c>
      <c r="U182" s="163">
        <f>+ROUND(T182*H182,2)</f>
        <v>0</v>
      </c>
      <c r="V182" s="36"/>
      <c r="W182" s="164"/>
      <c r="X182" s="128" t="s">
        <v>1004</v>
      </c>
      <c r="Y182" s="37">
        <f>+ROUND((O182)*(1+SUMIF($Y$2:$Y$4,X182,$Z$2:$Z$4)),0)</f>
        <v>0</v>
      </c>
      <c r="Z182" s="37">
        <f t="shared" si="168"/>
        <v>0</v>
      </c>
      <c r="AA182" s="166"/>
      <c r="AB182" s="38"/>
      <c r="AC182" s="38"/>
    </row>
    <row r="183" spans="1:29" ht="24" hidden="1" outlineLevel="2" x14ac:dyDescent="0.25">
      <c r="A183" s="158" t="s">
        <v>1139</v>
      </c>
      <c r="B183" s="159" t="str">
        <f>+B181</f>
        <v>3.3/2</v>
      </c>
      <c r="C183" s="168" t="s">
        <v>1405</v>
      </c>
      <c r="D183" s="169" t="s">
        <v>1548</v>
      </c>
      <c r="E183" s="170" t="s">
        <v>1384</v>
      </c>
      <c r="F183" s="171"/>
      <c r="G183" s="171"/>
      <c r="H183" s="33">
        <f t="shared" si="160"/>
        <v>0</v>
      </c>
      <c r="I183" s="505"/>
      <c r="J183" s="505">
        <f t="shared" si="163"/>
        <v>0</v>
      </c>
      <c r="K183" s="499"/>
      <c r="L183" s="499">
        <f t="shared" si="164"/>
        <v>0</v>
      </c>
      <c r="M183" s="39">
        <f t="shared" si="165"/>
        <v>0</v>
      </c>
      <c r="N183" s="163">
        <f t="shared" si="161"/>
        <v>0</v>
      </c>
      <c r="O183" s="172">
        <f>N183</f>
        <v>0</v>
      </c>
      <c r="P183" s="521"/>
      <c r="Q183" s="521">
        <f t="shared" si="166"/>
        <v>0</v>
      </c>
      <c r="R183" s="526"/>
      <c r="S183" s="526">
        <f t="shared" si="167"/>
        <v>0</v>
      </c>
      <c r="T183" s="39">
        <f t="shared" si="162"/>
        <v>0</v>
      </c>
      <c r="U183" s="163">
        <f>+ROUND(T183*H183,2)</f>
        <v>0</v>
      </c>
      <c r="V183" s="173">
        <f>U183</f>
        <v>0</v>
      </c>
      <c r="W183" s="164"/>
      <c r="X183" s="128" t="s">
        <v>1004</v>
      </c>
      <c r="Y183" s="37">
        <f>+ROUND((O183)*(1+SUMIF($Y$2:$Y$4,X183,$Z$2:$Z$4)),0)</f>
        <v>0</v>
      </c>
      <c r="Z183" s="37">
        <f t="shared" si="168"/>
        <v>0</v>
      </c>
      <c r="AA183" s="166"/>
      <c r="AB183" s="38"/>
      <c r="AC183" s="38"/>
    </row>
    <row r="184" spans="1:29" hidden="1" outlineLevel="2" x14ac:dyDescent="0.25">
      <c r="A184" s="158" t="s">
        <v>1117</v>
      </c>
      <c r="B184" s="159" t="str">
        <f>+B183</f>
        <v>3.3/2</v>
      </c>
      <c r="C184" s="242">
        <v>2.2000000000000002</v>
      </c>
      <c r="D184" s="161" t="s">
        <v>1407</v>
      </c>
      <c r="E184" s="162"/>
      <c r="F184" s="40"/>
      <c r="G184" s="40"/>
      <c r="H184" s="33">
        <f t="shared" si="160"/>
        <v>0</v>
      </c>
      <c r="I184" s="504"/>
      <c r="J184" s="504">
        <f t="shared" si="163"/>
        <v>0</v>
      </c>
      <c r="K184" s="498"/>
      <c r="L184" s="498">
        <f t="shared" si="164"/>
        <v>0</v>
      </c>
      <c r="M184" s="34">
        <f t="shared" si="165"/>
        <v>0</v>
      </c>
      <c r="N184" s="163">
        <f t="shared" si="161"/>
        <v>0</v>
      </c>
      <c r="O184" s="35"/>
      <c r="P184" s="520"/>
      <c r="Q184" s="520">
        <f t="shared" si="166"/>
        <v>0</v>
      </c>
      <c r="R184" s="525"/>
      <c r="S184" s="525">
        <f t="shared" si="167"/>
        <v>0</v>
      </c>
      <c r="T184" s="34">
        <f t="shared" si="162"/>
        <v>0</v>
      </c>
      <c r="U184" s="163">
        <f>+ROUND(T184*H184,2)</f>
        <v>0</v>
      </c>
      <c r="V184" s="36"/>
      <c r="W184" s="164"/>
      <c r="X184" s="128" t="s">
        <v>1004</v>
      </c>
      <c r="Y184" s="37">
        <f>+ROUND((O184)*(1+SUMIF($Y$2:$Y$4,X184,$Z$2:$Z$4)),0)</f>
        <v>0</v>
      </c>
      <c r="Z184" s="37">
        <f t="shared" si="168"/>
        <v>0</v>
      </c>
      <c r="AA184" s="166"/>
      <c r="AB184" s="38"/>
      <c r="AC184" s="38"/>
    </row>
    <row r="185" spans="1:29" hidden="1" outlineLevel="2" x14ac:dyDescent="0.25">
      <c r="A185" s="158" t="s">
        <v>1117</v>
      </c>
      <c r="B185" s="159" t="str">
        <f>+B183</f>
        <v>3.3/2</v>
      </c>
      <c r="C185" s="168" t="s">
        <v>1408</v>
      </c>
      <c r="D185" s="169" t="s">
        <v>1549</v>
      </c>
      <c r="E185" s="170" t="s">
        <v>1384</v>
      </c>
      <c r="F185" s="171"/>
      <c r="G185" s="171"/>
      <c r="H185" s="33">
        <f t="shared" si="160"/>
        <v>0</v>
      </c>
      <c r="I185" s="505"/>
      <c r="J185" s="505">
        <f t="shared" si="163"/>
        <v>0</v>
      </c>
      <c r="K185" s="499"/>
      <c r="L185" s="499">
        <f t="shared" si="164"/>
        <v>0</v>
      </c>
      <c r="M185" s="39">
        <f t="shared" si="165"/>
        <v>0</v>
      </c>
      <c r="N185" s="163">
        <f t="shared" si="161"/>
        <v>0</v>
      </c>
      <c r="O185" s="172">
        <f>N185</f>
        <v>0</v>
      </c>
      <c r="P185" s="521"/>
      <c r="Q185" s="521">
        <f t="shared" si="166"/>
        <v>0</v>
      </c>
      <c r="R185" s="526"/>
      <c r="S185" s="526">
        <f t="shared" si="167"/>
        <v>0</v>
      </c>
      <c r="T185" s="39">
        <f t="shared" si="162"/>
        <v>0</v>
      </c>
      <c r="U185" s="163">
        <f>+ROUND(T185*H185,2)</f>
        <v>0</v>
      </c>
      <c r="V185" s="173">
        <f>U185</f>
        <v>0</v>
      </c>
      <c r="W185" s="164"/>
      <c r="X185" s="128" t="s">
        <v>1004</v>
      </c>
      <c r="Y185" s="37">
        <f>+ROUND((O185)*(1+SUMIF($Y$2:$Y$4,X185,$Z$2:$Z$4)),0)</f>
        <v>0</v>
      </c>
      <c r="Z185" s="37">
        <f t="shared" si="168"/>
        <v>0</v>
      </c>
      <c r="AA185" s="166"/>
      <c r="AB185" s="38"/>
      <c r="AC185" s="38"/>
    </row>
    <row r="186" spans="1:29" hidden="1" outlineLevel="2" x14ac:dyDescent="0.25">
      <c r="A186" s="158" t="s">
        <v>1149</v>
      </c>
      <c r="B186" s="159" t="str">
        <f>+B184</f>
        <v>3.3/2</v>
      </c>
      <c r="C186" s="168" t="s">
        <v>1410</v>
      </c>
      <c r="D186" s="169" t="s">
        <v>1411</v>
      </c>
      <c r="E186" s="170" t="s">
        <v>1384</v>
      </c>
      <c r="F186" s="40"/>
      <c r="G186" s="40"/>
      <c r="H186" s="33">
        <f t="shared" si="160"/>
        <v>0</v>
      </c>
      <c r="I186" s="504"/>
      <c r="J186" s="504">
        <f t="shared" si="163"/>
        <v>0</v>
      </c>
      <c r="K186" s="498"/>
      <c r="L186" s="498">
        <f t="shared" si="164"/>
        <v>0</v>
      </c>
      <c r="M186" s="34">
        <f t="shared" si="165"/>
        <v>0</v>
      </c>
      <c r="N186" s="163">
        <f t="shared" si="161"/>
        <v>0</v>
      </c>
      <c r="O186" s="172">
        <f>N186</f>
        <v>0</v>
      </c>
      <c r="P186" s="520"/>
      <c r="Q186" s="520">
        <f t="shared" si="166"/>
        <v>0</v>
      </c>
      <c r="R186" s="525"/>
      <c r="S186" s="525">
        <f t="shared" si="167"/>
        <v>0</v>
      </c>
      <c r="T186" s="34">
        <f t="shared" si="162"/>
        <v>0</v>
      </c>
      <c r="U186" s="163">
        <f>+ROUND(T186*H186,2)</f>
        <v>0</v>
      </c>
      <c r="V186" s="173">
        <f>U186</f>
        <v>0</v>
      </c>
      <c r="W186" s="164"/>
      <c r="X186" s="128" t="s">
        <v>1004</v>
      </c>
      <c r="Y186" s="37">
        <f>+ROUND((O186)*(1+SUMIF($Y$2:$Y$4,X186,$Z$2:$Z$4)),0)</f>
        <v>0</v>
      </c>
      <c r="Z186" s="37">
        <f t="shared" si="168"/>
        <v>0</v>
      </c>
      <c r="AA186" s="166"/>
      <c r="AB186" s="38"/>
      <c r="AC186" s="38"/>
    </row>
    <row r="187" spans="1:29" hidden="1" outlineLevel="2" x14ac:dyDescent="0.25">
      <c r="A187" s="158" t="s">
        <v>1149</v>
      </c>
      <c r="B187" s="159" t="str">
        <f>+B185</f>
        <v>3.3/2</v>
      </c>
      <c r="C187" s="168" t="s">
        <v>1412</v>
      </c>
      <c r="D187" s="181" t="s">
        <v>1413</v>
      </c>
      <c r="E187" s="170" t="s">
        <v>1384</v>
      </c>
      <c r="F187" s="171"/>
      <c r="G187" s="171"/>
      <c r="H187" s="33">
        <f t="shared" si="160"/>
        <v>0</v>
      </c>
      <c r="I187" s="505"/>
      <c r="J187" s="505">
        <f t="shared" si="163"/>
        <v>0</v>
      </c>
      <c r="K187" s="499"/>
      <c r="L187" s="499">
        <f t="shared" si="164"/>
        <v>0</v>
      </c>
      <c r="M187" s="39">
        <f t="shared" si="165"/>
        <v>0</v>
      </c>
      <c r="N187" s="163">
        <f t="shared" si="161"/>
        <v>0</v>
      </c>
      <c r="O187" s="172">
        <f>N187</f>
        <v>0</v>
      </c>
      <c r="P187" s="521"/>
      <c r="Q187" s="521">
        <f t="shared" si="166"/>
        <v>0</v>
      </c>
      <c r="R187" s="526"/>
      <c r="S187" s="526">
        <f t="shared" si="167"/>
        <v>0</v>
      </c>
      <c r="T187" s="39">
        <f t="shared" si="162"/>
        <v>0</v>
      </c>
      <c r="U187" s="163">
        <f>+ROUND(T187*H187,2)</f>
        <v>0</v>
      </c>
      <c r="V187" s="173">
        <f>U187</f>
        <v>0</v>
      </c>
      <c r="W187" s="164"/>
      <c r="X187" s="128" t="s">
        <v>1004</v>
      </c>
      <c r="Y187" s="37">
        <f>+ROUND((O187)*(1+SUMIF($Y$2:$Y$4,X187,$Z$2:$Z$4)),0)</f>
        <v>0</v>
      </c>
      <c r="Z187" s="37">
        <f t="shared" si="168"/>
        <v>0</v>
      </c>
      <c r="AA187" s="166"/>
      <c r="AB187" s="38"/>
      <c r="AC187" s="38"/>
    </row>
    <row r="188" spans="1:29" hidden="1" outlineLevel="2" x14ac:dyDescent="0.25">
      <c r="A188" s="158" t="s">
        <v>1149</v>
      </c>
      <c r="B188" s="159" t="str">
        <f>+B187</f>
        <v>3.3/2</v>
      </c>
      <c r="C188" s="168" t="s">
        <v>1414</v>
      </c>
      <c r="D188" s="181" t="s">
        <v>1415</v>
      </c>
      <c r="E188" s="170" t="s">
        <v>1384</v>
      </c>
      <c r="F188" s="171"/>
      <c r="G188" s="171"/>
      <c r="H188" s="33">
        <f t="shared" si="160"/>
        <v>0</v>
      </c>
      <c r="I188" s="505"/>
      <c r="J188" s="505">
        <f t="shared" si="163"/>
        <v>0</v>
      </c>
      <c r="K188" s="499"/>
      <c r="L188" s="499">
        <f t="shared" si="164"/>
        <v>0</v>
      </c>
      <c r="M188" s="39">
        <f t="shared" si="165"/>
        <v>0</v>
      </c>
      <c r="N188" s="163">
        <f t="shared" si="161"/>
        <v>0</v>
      </c>
      <c r="O188" s="172">
        <f>N188</f>
        <v>0</v>
      </c>
      <c r="P188" s="521"/>
      <c r="Q188" s="521">
        <f t="shared" si="166"/>
        <v>0</v>
      </c>
      <c r="R188" s="526"/>
      <c r="S188" s="526">
        <f t="shared" si="167"/>
        <v>0</v>
      </c>
      <c r="T188" s="39">
        <f t="shared" si="162"/>
        <v>0</v>
      </c>
      <c r="U188" s="163">
        <f>+ROUND(T188*H188,2)</f>
        <v>0</v>
      </c>
      <c r="V188" s="173">
        <f>U188</f>
        <v>0</v>
      </c>
      <c r="W188" s="164"/>
      <c r="X188" s="128" t="s">
        <v>1004</v>
      </c>
      <c r="Y188" s="37">
        <f>+ROUND((O188)*(1+SUMIF($Y$2:$Y$4,X188,$Z$2:$Z$4)),0)</f>
        <v>0</v>
      </c>
      <c r="Z188" s="37">
        <f t="shared" si="168"/>
        <v>0</v>
      </c>
      <c r="AA188" s="166"/>
      <c r="AB188" s="38"/>
      <c r="AC188" s="38"/>
    </row>
    <row r="189" spans="1:29" hidden="1" outlineLevel="2" x14ac:dyDescent="0.25">
      <c r="A189" s="158" t="s">
        <v>1145</v>
      </c>
      <c r="B189" s="159" t="str">
        <f>+B188</f>
        <v>3.3/2</v>
      </c>
      <c r="C189" s="242">
        <v>2.2999999999999998</v>
      </c>
      <c r="D189" s="161" t="s">
        <v>1147</v>
      </c>
      <c r="E189" s="162"/>
      <c r="F189" s="40"/>
      <c r="G189" s="40"/>
      <c r="H189" s="33">
        <f t="shared" si="160"/>
        <v>0</v>
      </c>
      <c r="I189" s="504"/>
      <c r="J189" s="504">
        <f t="shared" si="163"/>
        <v>0</v>
      </c>
      <c r="K189" s="498"/>
      <c r="L189" s="498">
        <f t="shared" si="164"/>
        <v>0</v>
      </c>
      <c r="M189" s="34">
        <f t="shared" si="165"/>
        <v>0</v>
      </c>
      <c r="N189" s="163">
        <f t="shared" si="161"/>
        <v>0</v>
      </c>
      <c r="O189" s="35"/>
      <c r="P189" s="520"/>
      <c r="Q189" s="520">
        <f t="shared" si="166"/>
        <v>0</v>
      </c>
      <c r="R189" s="525"/>
      <c r="S189" s="525">
        <f t="shared" si="167"/>
        <v>0</v>
      </c>
      <c r="T189" s="34">
        <f t="shared" si="162"/>
        <v>0</v>
      </c>
      <c r="U189" s="163">
        <f>+ROUND(T189*H189,2)</f>
        <v>0</v>
      </c>
      <c r="V189" s="36"/>
      <c r="W189" s="164"/>
      <c r="X189" s="128" t="s">
        <v>1004</v>
      </c>
      <c r="Y189" s="37">
        <f>+ROUND((O189)*(1+SUMIF($Y$2:$Y$4,X189,$Z$2:$Z$4)),0)</f>
        <v>0</v>
      </c>
      <c r="Z189" s="37">
        <f t="shared" si="168"/>
        <v>0</v>
      </c>
      <c r="AA189" s="166"/>
      <c r="AB189" s="38"/>
      <c r="AC189" s="38"/>
    </row>
    <row r="190" spans="1:29" hidden="1" outlineLevel="2" x14ac:dyDescent="0.25">
      <c r="A190" s="158" t="s">
        <v>1145</v>
      </c>
      <c r="B190" s="159" t="str">
        <f>+B187</f>
        <v>3.3/2</v>
      </c>
      <c r="C190" s="168" t="s">
        <v>1416</v>
      </c>
      <c r="D190" s="169" t="s">
        <v>1417</v>
      </c>
      <c r="E190" s="170" t="s">
        <v>1384</v>
      </c>
      <c r="F190" s="40"/>
      <c r="G190" s="40"/>
      <c r="H190" s="33">
        <f t="shared" si="160"/>
        <v>0</v>
      </c>
      <c r="I190" s="504"/>
      <c r="J190" s="504">
        <f t="shared" si="163"/>
        <v>0</v>
      </c>
      <c r="K190" s="498"/>
      <c r="L190" s="498">
        <f t="shared" si="164"/>
        <v>0</v>
      </c>
      <c r="M190" s="34">
        <f t="shared" si="165"/>
        <v>0</v>
      </c>
      <c r="N190" s="163">
        <f t="shared" si="161"/>
        <v>0</v>
      </c>
      <c r="O190" s="172">
        <f t="shared" ref="O190:O198" si="169">N190</f>
        <v>0</v>
      </c>
      <c r="P190" s="520"/>
      <c r="Q190" s="520">
        <f t="shared" si="166"/>
        <v>0</v>
      </c>
      <c r="R190" s="525"/>
      <c r="S190" s="525">
        <f t="shared" si="167"/>
        <v>0</v>
      </c>
      <c r="T190" s="34">
        <f t="shared" si="162"/>
        <v>0</v>
      </c>
      <c r="U190" s="163">
        <f>+ROUND(T190*H190,2)</f>
        <v>0</v>
      </c>
      <c r="V190" s="173">
        <f t="shared" ref="V190:V198" si="170">U190</f>
        <v>0</v>
      </c>
      <c r="W190" s="164"/>
      <c r="X190" s="128" t="s">
        <v>1004</v>
      </c>
      <c r="Y190" s="37">
        <f>+ROUND((O190)*(1+SUMIF($Y$2:$Y$4,X190,$Z$2:$Z$4)),0)</f>
        <v>0</v>
      </c>
      <c r="Z190" s="37">
        <f t="shared" si="168"/>
        <v>0</v>
      </c>
      <c r="AA190" s="166"/>
      <c r="AB190" s="38"/>
      <c r="AC190" s="38"/>
    </row>
    <row r="191" spans="1:29" hidden="1" outlineLevel="2" x14ac:dyDescent="0.25">
      <c r="A191" s="158" t="s">
        <v>1145</v>
      </c>
      <c r="B191" s="159" t="str">
        <f>+B188</f>
        <v>3.3/2</v>
      </c>
      <c r="C191" s="168" t="s">
        <v>1418</v>
      </c>
      <c r="D191" s="181" t="s">
        <v>1419</v>
      </c>
      <c r="E191" s="170" t="s">
        <v>1384</v>
      </c>
      <c r="F191" s="171"/>
      <c r="G191" s="171"/>
      <c r="H191" s="33">
        <f t="shared" si="160"/>
        <v>0</v>
      </c>
      <c r="I191" s="505"/>
      <c r="J191" s="505">
        <f t="shared" si="163"/>
        <v>0</v>
      </c>
      <c r="K191" s="499"/>
      <c r="L191" s="499">
        <f t="shared" si="164"/>
        <v>0</v>
      </c>
      <c r="M191" s="39">
        <f t="shared" si="165"/>
        <v>0</v>
      </c>
      <c r="N191" s="163">
        <f t="shared" si="161"/>
        <v>0</v>
      </c>
      <c r="O191" s="172">
        <f t="shared" si="169"/>
        <v>0</v>
      </c>
      <c r="P191" s="521"/>
      <c r="Q191" s="521">
        <f t="shared" si="166"/>
        <v>0</v>
      </c>
      <c r="R191" s="526"/>
      <c r="S191" s="526">
        <f t="shared" si="167"/>
        <v>0</v>
      </c>
      <c r="T191" s="39">
        <f t="shared" si="162"/>
        <v>0</v>
      </c>
      <c r="U191" s="163">
        <f>+ROUND(T191*H191,2)</f>
        <v>0</v>
      </c>
      <c r="V191" s="173">
        <f t="shared" si="170"/>
        <v>0</v>
      </c>
      <c r="W191" s="164"/>
      <c r="X191" s="128" t="s">
        <v>1004</v>
      </c>
      <c r="Y191" s="37">
        <f>+ROUND((O191)*(1+SUMIF($Y$2:$Y$4,X191,$Z$2:$Z$4)),0)</f>
        <v>0</v>
      </c>
      <c r="Z191" s="37">
        <f t="shared" si="168"/>
        <v>0</v>
      </c>
      <c r="AA191" s="166"/>
      <c r="AB191" s="38"/>
      <c r="AC191" s="38"/>
    </row>
    <row r="192" spans="1:29" hidden="1" outlineLevel="2" x14ac:dyDescent="0.25">
      <c r="A192" s="158" t="s">
        <v>1145</v>
      </c>
      <c r="B192" s="159" t="str">
        <f>+B191</f>
        <v>3.3/2</v>
      </c>
      <c r="C192" s="168" t="s">
        <v>1420</v>
      </c>
      <c r="D192" s="181" t="s">
        <v>1421</v>
      </c>
      <c r="E192" s="170" t="s">
        <v>1384</v>
      </c>
      <c r="F192" s="171"/>
      <c r="G192" s="171"/>
      <c r="H192" s="33">
        <f t="shared" si="160"/>
        <v>0</v>
      </c>
      <c r="I192" s="505"/>
      <c r="J192" s="505">
        <f t="shared" si="163"/>
        <v>0</v>
      </c>
      <c r="K192" s="499"/>
      <c r="L192" s="499">
        <f t="shared" si="164"/>
        <v>0</v>
      </c>
      <c r="M192" s="39">
        <f t="shared" si="165"/>
        <v>0</v>
      </c>
      <c r="N192" s="163">
        <f t="shared" si="161"/>
        <v>0</v>
      </c>
      <c r="O192" s="172">
        <f t="shared" si="169"/>
        <v>0</v>
      </c>
      <c r="P192" s="521"/>
      <c r="Q192" s="521">
        <f t="shared" si="166"/>
        <v>0</v>
      </c>
      <c r="R192" s="526"/>
      <c r="S192" s="526">
        <f t="shared" si="167"/>
        <v>0</v>
      </c>
      <c r="T192" s="39">
        <f t="shared" si="162"/>
        <v>0</v>
      </c>
      <c r="U192" s="163">
        <f>+ROUND(T192*H192,2)</f>
        <v>0</v>
      </c>
      <c r="V192" s="173">
        <f t="shared" si="170"/>
        <v>0</v>
      </c>
      <c r="W192" s="164"/>
      <c r="X192" s="128" t="s">
        <v>1004</v>
      </c>
      <c r="Y192" s="37">
        <f>+ROUND((O192)*(1+SUMIF($Y$2:$Y$4,X192,$Z$2:$Z$4)),0)</f>
        <v>0</v>
      </c>
      <c r="Z192" s="37">
        <f t="shared" si="168"/>
        <v>0</v>
      </c>
      <c r="AA192" s="166"/>
      <c r="AB192" s="38"/>
      <c r="AC192" s="38"/>
    </row>
    <row r="193" spans="1:29" hidden="1" outlineLevel="2" x14ac:dyDescent="0.25">
      <c r="A193" s="158" t="s">
        <v>1147</v>
      </c>
      <c r="B193" s="159" t="str">
        <f>+B190</f>
        <v>3.3/2</v>
      </c>
      <c r="C193" s="168" t="s">
        <v>1416</v>
      </c>
      <c r="D193" s="169" t="s">
        <v>1550</v>
      </c>
      <c r="E193" s="170" t="s">
        <v>1384</v>
      </c>
      <c r="F193" s="40"/>
      <c r="G193" s="40"/>
      <c r="H193" s="33">
        <f t="shared" si="160"/>
        <v>0</v>
      </c>
      <c r="I193" s="504"/>
      <c r="J193" s="504">
        <f t="shared" si="163"/>
        <v>0</v>
      </c>
      <c r="K193" s="498"/>
      <c r="L193" s="498">
        <f t="shared" si="164"/>
        <v>0</v>
      </c>
      <c r="M193" s="34">
        <f t="shared" si="165"/>
        <v>0</v>
      </c>
      <c r="N193" s="163">
        <f t="shared" si="161"/>
        <v>0</v>
      </c>
      <c r="O193" s="172">
        <f t="shared" si="169"/>
        <v>0</v>
      </c>
      <c r="P193" s="520"/>
      <c r="Q193" s="520">
        <f t="shared" si="166"/>
        <v>0</v>
      </c>
      <c r="R193" s="525"/>
      <c r="S193" s="525">
        <f t="shared" si="167"/>
        <v>0</v>
      </c>
      <c r="T193" s="34">
        <f t="shared" si="162"/>
        <v>0</v>
      </c>
      <c r="U193" s="163">
        <f>+ROUND(T193*H193,2)</f>
        <v>0</v>
      </c>
      <c r="V193" s="173">
        <f t="shared" si="170"/>
        <v>0</v>
      </c>
      <c r="W193" s="164"/>
      <c r="X193" s="128" t="s">
        <v>1004</v>
      </c>
      <c r="Y193" s="37">
        <f>+ROUND((O193)*(1+SUMIF($Y$2:$Y$4,X193,$Z$2:$Z$4)),0)</f>
        <v>0</v>
      </c>
      <c r="Z193" s="37">
        <f t="shared" si="168"/>
        <v>0</v>
      </c>
      <c r="AA193" s="166"/>
      <c r="AB193" s="38"/>
      <c r="AC193" s="38"/>
    </row>
    <row r="194" spans="1:29" hidden="1" outlineLevel="2" x14ac:dyDescent="0.25">
      <c r="A194" s="158" t="s">
        <v>1147</v>
      </c>
      <c r="B194" s="159" t="str">
        <f>+B192</f>
        <v>3.3/2</v>
      </c>
      <c r="C194" s="168" t="s">
        <v>1424</v>
      </c>
      <c r="D194" s="181" t="s">
        <v>1425</v>
      </c>
      <c r="E194" s="170" t="s">
        <v>1384</v>
      </c>
      <c r="F194" s="171"/>
      <c r="G194" s="171"/>
      <c r="H194" s="33">
        <f t="shared" si="160"/>
        <v>0</v>
      </c>
      <c r="I194" s="505"/>
      <c r="J194" s="505">
        <f t="shared" si="163"/>
        <v>0</v>
      </c>
      <c r="K194" s="499"/>
      <c r="L194" s="499">
        <f t="shared" si="164"/>
        <v>0</v>
      </c>
      <c r="M194" s="39">
        <f t="shared" si="165"/>
        <v>0</v>
      </c>
      <c r="N194" s="163">
        <f t="shared" si="161"/>
        <v>0</v>
      </c>
      <c r="O194" s="172">
        <f t="shared" si="169"/>
        <v>0</v>
      </c>
      <c r="P194" s="521"/>
      <c r="Q194" s="521">
        <f t="shared" si="166"/>
        <v>0</v>
      </c>
      <c r="R194" s="526"/>
      <c r="S194" s="526">
        <f t="shared" si="167"/>
        <v>0</v>
      </c>
      <c r="T194" s="39">
        <f t="shared" si="162"/>
        <v>0</v>
      </c>
      <c r="U194" s="163">
        <f>+ROUND(T194*H194,2)</f>
        <v>0</v>
      </c>
      <c r="V194" s="173">
        <f t="shared" si="170"/>
        <v>0</v>
      </c>
      <c r="W194" s="164"/>
      <c r="X194" s="128" t="s">
        <v>1004</v>
      </c>
      <c r="Y194" s="37">
        <f>+ROUND((O194)*(1+SUMIF($Y$2:$Y$4,X194,$Z$2:$Z$4)),0)</f>
        <v>0</v>
      </c>
      <c r="Z194" s="37">
        <f t="shared" si="168"/>
        <v>0</v>
      </c>
      <c r="AA194" s="166"/>
      <c r="AB194" s="38"/>
      <c r="AC194" s="38"/>
    </row>
    <row r="195" spans="1:29" hidden="1" outlineLevel="2" x14ac:dyDescent="0.25">
      <c r="A195" s="158" t="s">
        <v>1147</v>
      </c>
      <c r="B195" s="159" t="str">
        <f>+B194</f>
        <v>3.3/2</v>
      </c>
      <c r="C195" s="168" t="s">
        <v>1426</v>
      </c>
      <c r="D195" s="181" t="s">
        <v>1427</v>
      </c>
      <c r="E195" s="170" t="s">
        <v>1384</v>
      </c>
      <c r="F195" s="171"/>
      <c r="G195" s="171"/>
      <c r="H195" s="33">
        <f t="shared" si="160"/>
        <v>0</v>
      </c>
      <c r="I195" s="505"/>
      <c r="J195" s="505">
        <f t="shared" si="163"/>
        <v>0</v>
      </c>
      <c r="K195" s="499"/>
      <c r="L195" s="499">
        <f t="shared" si="164"/>
        <v>0</v>
      </c>
      <c r="M195" s="39">
        <f t="shared" si="165"/>
        <v>0</v>
      </c>
      <c r="N195" s="163">
        <f t="shared" si="161"/>
        <v>0</v>
      </c>
      <c r="O195" s="172">
        <f t="shared" si="169"/>
        <v>0</v>
      </c>
      <c r="P195" s="521"/>
      <c r="Q195" s="521">
        <f t="shared" si="166"/>
        <v>0</v>
      </c>
      <c r="R195" s="526"/>
      <c r="S195" s="526">
        <f t="shared" si="167"/>
        <v>0</v>
      </c>
      <c r="T195" s="39">
        <f t="shared" si="162"/>
        <v>0</v>
      </c>
      <c r="U195" s="163">
        <f>+ROUND(T195*H195,2)</f>
        <v>0</v>
      </c>
      <c r="V195" s="173">
        <f t="shared" si="170"/>
        <v>0</v>
      </c>
      <c r="W195" s="164"/>
      <c r="X195" s="128" t="s">
        <v>1004</v>
      </c>
      <c r="Y195" s="37">
        <f>+ROUND((O195)*(1+SUMIF($Y$2:$Y$4,X195,$Z$2:$Z$4)),0)</f>
        <v>0</v>
      </c>
      <c r="Z195" s="37">
        <f t="shared" si="168"/>
        <v>0</v>
      </c>
      <c r="AA195" s="166"/>
      <c r="AB195" s="38"/>
      <c r="AC195" s="38"/>
    </row>
    <row r="196" spans="1:29" hidden="1" outlineLevel="2" x14ac:dyDescent="0.25">
      <c r="A196" s="158" t="s">
        <v>1149</v>
      </c>
      <c r="B196" s="159" t="str">
        <f>+B193</f>
        <v>3.3/2</v>
      </c>
      <c r="C196" s="168" t="s">
        <v>1428</v>
      </c>
      <c r="D196" s="169" t="s">
        <v>1429</v>
      </c>
      <c r="E196" s="170" t="s">
        <v>1384</v>
      </c>
      <c r="F196" s="40"/>
      <c r="G196" s="40"/>
      <c r="H196" s="33">
        <f t="shared" si="160"/>
        <v>0</v>
      </c>
      <c r="I196" s="504"/>
      <c r="J196" s="504">
        <f t="shared" si="163"/>
        <v>0</v>
      </c>
      <c r="K196" s="498"/>
      <c r="L196" s="498">
        <f t="shared" si="164"/>
        <v>0</v>
      </c>
      <c r="M196" s="34">
        <f t="shared" si="165"/>
        <v>0</v>
      </c>
      <c r="N196" s="163">
        <f t="shared" si="161"/>
        <v>0</v>
      </c>
      <c r="O196" s="172">
        <f t="shared" si="169"/>
        <v>0</v>
      </c>
      <c r="P196" s="520"/>
      <c r="Q196" s="520">
        <f t="shared" si="166"/>
        <v>0</v>
      </c>
      <c r="R196" s="525"/>
      <c r="S196" s="525">
        <f t="shared" si="167"/>
        <v>0</v>
      </c>
      <c r="T196" s="34">
        <f t="shared" si="162"/>
        <v>0</v>
      </c>
      <c r="U196" s="163">
        <f>+ROUND(T196*H196,2)</f>
        <v>0</v>
      </c>
      <c r="V196" s="173">
        <f t="shared" si="170"/>
        <v>0</v>
      </c>
      <c r="W196" s="164"/>
      <c r="X196" s="128" t="s">
        <v>1004</v>
      </c>
      <c r="Y196" s="37">
        <f>+ROUND((O196)*(1+SUMIF($Y$2:$Y$4,X196,$Z$2:$Z$4)),0)</f>
        <v>0</v>
      </c>
      <c r="Z196" s="37">
        <f t="shared" si="168"/>
        <v>0</v>
      </c>
      <c r="AA196" s="166"/>
      <c r="AB196" s="38"/>
      <c r="AC196" s="38"/>
    </row>
    <row r="197" spans="1:29" hidden="1" outlineLevel="2" x14ac:dyDescent="0.25">
      <c r="A197" s="158" t="s">
        <v>1149</v>
      </c>
      <c r="B197" s="159" t="str">
        <f>+B195</f>
        <v>3.3/2</v>
      </c>
      <c r="C197" s="168" t="s">
        <v>1430</v>
      </c>
      <c r="D197" s="181" t="s">
        <v>1431</v>
      </c>
      <c r="E197" s="170" t="s">
        <v>1384</v>
      </c>
      <c r="F197" s="171"/>
      <c r="G197" s="171"/>
      <c r="H197" s="33">
        <f t="shared" si="160"/>
        <v>0</v>
      </c>
      <c r="I197" s="505"/>
      <c r="J197" s="505">
        <f t="shared" si="163"/>
        <v>0</v>
      </c>
      <c r="K197" s="499"/>
      <c r="L197" s="499">
        <f t="shared" si="164"/>
        <v>0</v>
      </c>
      <c r="M197" s="39">
        <f t="shared" si="165"/>
        <v>0</v>
      </c>
      <c r="N197" s="163">
        <f t="shared" si="161"/>
        <v>0</v>
      </c>
      <c r="O197" s="172">
        <f t="shared" si="169"/>
        <v>0</v>
      </c>
      <c r="P197" s="521"/>
      <c r="Q197" s="521">
        <f t="shared" si="166"/>
        <v>0</v>
      </c>
      <c r="R197" s="526"/>
      <c r="S197" s="526">
        <f t="shared" si="167"/>
        <v>0</v>
      </c>
      <c r="T197" s="39">
        <f t="shared" si="162"/>
        <v>0</v>
      </c>
      <c r="U197" s="163">
        <f>+ROUND(T197*H197,2)</f>
        <v>0</v>
      </c>
      <c r="V197" s="173">
        <f t="shared" si="170"/>
        <v>0</v>
      </c>
      <c r="W197" s="164"/>
      <c r="X197" s="128" t="s">
        <v>1004</v>
      </c>
      <c r="Y197" s="37">
        <f>+ROUND((O197)*(1+SUMIF($Y$2:$Y$4,X197,$Z$2:$Z$4)),0)</f>
        <v>0</v>
      </c>
      <c r="Z197" s="37">
        <f t="shared" si="168"/>
        <v>0</v>
      </c>
      <c r="AA197" s="166"/>
      <c r="AB197" s="38"/>
      <c r="AC197" s="38"/>
    </row>
    <row r="198" spans="1:29" hidden="1" outlineLevel="2" x14ac:dyDescent="0.25">
      <c r="A198" s="158" t="s">
        <v>1149</v>
      </c>
      <c r="B198" s="159" t="str">
        <f>+B197</f>
        <v>3.3/2</v>
      </c>
      <c r="C198" s="168" t="s">
        <v>1432</v>
      </c>
      <c r="D198" s="181" t="s">
        <v>1413</v>
      </c>
      <c r="E198" s="170" t="s">
        <v>1384</v>
      </c>
      <c r="F198" s="171"/>
      <c r="G198" s="171"/>
      <c r="H198" s="33">
        <f t="shared" si="160"/>
        <v>0</v>
      </c>
      <c r="I198" s="505"/>
      <c r="J198" s="505">
        <f t="shared" si="163"/>
        <v>0</v>
      </c>
      <c r="K198" s="499"/>
      <c r="L198" s="499">
        <f t="shared" si="164"/>
        <v>0</v>
      </c>
      <c r="M198" s="39">
        <f t="shared" si="165"/>
        <v>0</v>
      </c>
      <c r="N198" s="163">
        <f t="shared" si="161"/>
        <v>0</v>
      </c>
      <c r="O198" s="172">
        <f t="shared" si="169"/>
        <v>0</v>
      </c>
      <c r="P198" s="521"/>
      <c r="Q198" s="521">
        <f t="shared" si="166"/>
        <v>0</v>
      </c>
      <c r="R198" s="526"/>
      <c r="S198" s="526">
        <f t="shared" si="167"/>
        <v>0</v>
      </c>
      <c r="T198" s="39">
        <f t="shared" si="162"/>
        <v>0</v>
      </c>
      <c r="U198" s="163">
        <f>+ROUND(T198*H198,2)</f>
        <v>0</v>
      </c>
      <c r="V198" s="173">
        <f t="shared" si="170"/>
        <v>0</v>
      </c>
      <c r="W198" s="164"/>
      <c r="X198" s="128" t="s">
        <v>1004</v>
      </c>
      <c r="Y198" s="37">
        <f>+ROUND((O198)*(1+SUMIF($Y$2:$Y$4,X198,$Z$2:$Z$4)),0)</f>
        <v>0</v>
      </c>
      <c r="Z198" s="37">
        <f t="shared" si="168"/>
        <v>0</v>
      </c>
      <c r="AA198" s="166"/>
      <c r="AB198" s="38"/>
      <c r="AC198" s="38"/>
    </row>
    <row r="199" spans="1:29" hidden="1" outlineLevel="1" x14ac:dyDescent="0.25">
      <c r="A199" s="506" t="s">
        <v>1022</v>
      </c>
      <c r="B199" s="507" t="str">
        <f>+B198</f>
        <v>3.3/2</v>
      </c>
      <c r="C199" s="508"/>
      <c r="D199" s="509" t="s">
        <v>1023</v>
      </c>
      <c r="E199" s="510"/>
      <c r="F199" s="511"/>
      <c r="G199" s="511"/>
      <c r="H199" s="512">
        <f t="shared" si="160"/>
        <v>0</v>
      </c>
      <c r="I199" s="512"/>
      <c r="J199" s="512">
        <f t="shared" si="163"/>
        <v>0</v>
      </c>
      <c r="K199" s="512"/>
      <c r="L199" s="512">
        <f t="shared" si="164"/>
        <v>0</v>
      </c>
      <c r="M199" s="512">
        <f t="shared" si="165"/>
        <v>0</v>
      </c>
      <c r="N199" s="512">
        <f>SUM(N181:N198)</f>
        <v>0</v>
      </c>
      <c r="O199" s="513">
        <f>SUM(O181:O198)</f>
        <v>0</v>
      </c>
      <c r="P199" s="512"/>
      <c r="Q199" s="512">
        <f t="shared" si="166"/>
        <v>0</v>
      </c>
      <c r="R199" s="512"/>
      <c r="S199" s="512">
        <f t="shared" si="167"/>
        <v>0</v>
      </c>
      <c r="T199" s="512">
        <f t="shared" si="162"/>
        <v>0</v>
      </c>
      <c r="U199" s="512">
        <f>SUM(U181:U198)</f>
        <v>0</v>
      </c>
      <c r="V199" s="513">
        <f>SUM(V181:V198)</f>
        <v>0</v>
      </c>
      <c r="W199" s="507"/>
      <c r="X199" s="514" t="s">
        <v>1004</v>
      </c>
      <c r="Y199" s="513">
        <f>SUM(Y181:Y198)</f>
        <v>0</v>
      </c>
      <c r="Z199" s="513">
        <f>SUM(Z181:Z198)</f>
        <v>0</v>
      </c>
      <c r="AA199" s="166"/>
      <c r="AB199" s="38"/>
      <c r="AC199" s="38"/>
    </row>
    <row r="200" spans="1:29" hidden="1" outlineLevel="1" x14ac:dyDescent="0.25">
      <c r="A200" s="158" t="s">
        <v>1182</v>
      </c>
      <c r="B200" s="159" t="s">
        <v>242</v>
      </c>
      <c r="C200" s="243">
        <v>2</v>
      </c>
      <c r="D200" s="167" t="s">
        <v>1434</v>
      </c>
      <c r="E200" s="162"/>
      <c r="F200" s="40"/>
      <c r="G200" s="40"/>
      <c r="H200" s="33">
        <f t="shared" ref="H200" si="171">+SUM(F200:G200)</f>
        <v>0</v>
      </c>
      <c r="I200" s="504"/>
      <c r="J200" s="504">
        <f t="shared" si="163"/>
        <v>0</v>
      </c>
      <c r="K200" s="498"/>
      <c r="L200" s="498">
        <f t="shared" si="164"/>
        <v>0</v>
      </c>
      <c r="M200" s="34">
        <f t="shared" si="165"/>
        <v>0</v>
      </c>
      <c r="N200" s="163">
        <f t="shared" ref="N200" si="172">+ROUND(M200*H200,2)</f>
        <v>0</v>
      </c>
      <c r="O200" s="35"/>
      <c r="P200" s="520"/>
      <c r="Q200" s="520">
        <f t="shared" si="166"/>
        <v>0</v>
      </c>
      <c r="R200" s="525"/>
      <c r="S200" s="525">
        <f t="shared" si="167"/>
        <v>0</v>
      </c>
      <c r="T200" s="34">
        <f t="shared" si="162"/>
        <v>0</v>
      </c>
      <c r="U200" s="163">
        <f>+ROUND(T200*H200,2)</f>
        <v>0</v>
      </c>
      <c r="V200" s="36"/>
      <c r="W200" s="164"/>
      <c r="X200" s="128" t="s">
        <v>1004</v>
      </c>
      <c r="Y200" s="37">
        <f>+ROUND((O200)*(1+SUMIF($Y$2:$Y$4,X200,$Z$2:$Z$4)),0)</f>
        <v>0</v>
      </c>
      <c r="Z200" s="37">
        <f t="shared" ref="Z200:Z215" si="173">+ROUND((V200)*(1+SUMIF($Y$2:$Y$4,X200,$Z$2:$Z$4)),0)</f>
        <v>0</v>
      </c>
      <c r="AA200" s="166"/>
      <c r="AB200" s="38"/>
      <c r="AC200" s="38"/>
    </row>
    <row r="201" spans="1:29" hidden="1" outlineLevel="2" x14ac:dyDescent="0.25">
      <c r="A201" s="158" t="s">
        <v>1182</v>
      </c>
      <c r="B201" s="159" t="str">
        <f>+B200</f>
        <v>3.3/3</v>
      </c>
      <c r="C201" s="242">
        <v>2.4</v>
      </c>
      <c r="D201" s="161" t="s">
        <v>1435</v>
      </c>
      <c r="E201" s="162"/>
      <c r="F201" s="40"/>
      <c r="G201" s="40"/>
      <c r="H201" s="33">
        <f t="shared" si="160"/>
        <v>0</v>
      </c>
      <c r="I201" s="504"/>
      <c r="J201" s="504">
        <f t="shared" si="163"/>
        <v>0</v>
      </c>
      <c r="K201" s="498"/>
      <c r="L201" s="498">
        <f t="shared" si="164"/>
        <v>0</v>
      </c>
      <c r="M201" s="34">
        <f t="shared" si="165"/>
        <v>0</v>
      </c>
      <c r="N201" s="163">
        <f t="shared" si="161"/>
        <v>0</v>
      </c>
      <c r="O201" s="35"/>
      <c r="P201" s="520"/>
      <c r="Q201" s="520">
        <f t="shared" si="166"/>
        <v>0</v>
      </c>
      <c r="R201" s="525"/>
      <c r="S201" s="525">
        <f t="shared" si="167"/>
        <v>0</v>
      </c>
      <c r="T201" s="34">
        <f t="shared" si="162"/>
        <v>0</v>
      </c>
      <c r="U201" s="163">
        <f>+ROUND(T201*H201,2)</f>
        <v>0</v>
      </c>
      <c r="V201" s="36"/>
      <c r="W201" s="164"/>
      <c r="X201" s="128" t="s">
        <v>1004</v>
      </c>
      <c r="Y201" s="37">
        <f>+ROUND((O201)*(1+SUMIF($Y$2:$Y$4,X201,$Z$2:$Z$4)),0)</f>
        <v>0</v>
      </c>
      <c r="Z201" s="37">
        <f t="shared" si="173"/>
        <v>0</v>
      </c>
      <c r="AA201" s="166"/>
      <c r="AB201" s="38"/>
      <c r="AC201" s="38"/>
    </row>
    <row r="202" spans="1:29" hidden="1" outlineLevel="2" x14ac:dyDescent="0.25">
      <c r="A202" s="158" t="s">
        <v>1182</v>
      </c>
      <c r="B202" s="159" t="str">
        <f>+B199</f>
        <v>3.3/2</v>
      </c>
      <c r="C202" s="168" t="s">
        <v>1436</v>
      </c>
      <c r="D202" s="169" t="s">
        <v>1437</v>
      </c>
      <c r="E202" s="170" t="s">
        <v>1384</v>
      </c>
      <c r="F202" s="40"/>
      <c r="G202" s="40"/>
      <c r="H202" s="33">
        <f t="shared" si="160"/>
        <v>0</v>
      </c>
      <c r="I202" s="504"/>
      <c r="J202" s="504">
        <f t="shared" si="163"/>
        <v>0</v>
      </c>
      <c r="K202" s="498"/>
      <c r="L202" s="498">
        <f t="shared" si="164"/>
        <v>0</v>
      </c>
      <c r="M202" s="34">
        <f t="shared" si="165"/>
        <v>0</v>
      </c>
      <c r="N202" s="163">
        <f t="shared" si="161"/>
        <v>0</v>
      </c>
      <c r="O202" s="172">
        <f t="shared" ref="O202:O210" si="174">N202</f>
        <v>0</v>
      </c>
      <c r="P202" s="520"/>
      <c r="Q202" s="520">
        <f t="shared" si="166"/>
        <v>0</v>
      </c>
      <c r="R202" s="525"/>
      <c r="S202" s="525">
        <f t="shared" si="167"/>
        <v>0</v>
      </c>
      <c r="T202" s="34">
        <f t="shared" si="162"/>
        <v>0</v>
      </c>
      <c r="U202" s="163">
        <f>+ROUND(T202*H202,2)</f>
        <v>0</v>
      </c>
      <c r="V202" s="173">
        <f t="shared" ref="V202:V210" si="175">U202</f>
        <v>0</v>
      </c>
      <c r="W202" s="164"/>
      <c r="X202" s="128" t="s">
        <v>1004</v>
      </c>
      <c r="Y202" s="37">
        <f>+ROUND((O202)*(1+SUMIF($Y$2:$Y$4,X202,$Z$2:$Z$4)),0)</f>
        <v>0</v>
      </c>
      <c r="Z202" s="37">
        <f t="shared" si="173"/>
        <v>0</v>
      </c>
      <c r="AA202" s="166"/>
      <c r="AB202" s="38"/>
      <c r="AC202" s="38"/>
    </row>
    <row r="203" spans="1:29" hidden="1" outlineLevel="2" x14ac:dyDescent="0.25">
      <c r="A203" s="158" t="s">
        <v>1182</v>
      </c>
      <c r="B203" s="159" t="str">
        <f>+B201</f>
        <v>3.3/3</v>
      </c>
      <c r="C203" s="168" t="s">
        <v>1438</v>
      </c>
      <c r="D203" s="181" t="s">
        <v>1439</v>
      </c>
      <c r="E203" s="170" t="s">
        <v>1384</v>
      </c>
      <c r="F203" s="171"/>
      <c r="G203" s="171"/>
      <c r="H203" s="33">
        <f t="shared" si="160"/>
        <v>0</v>
      </c>
      <c r="I203" s="505"/>
      <c r="J203" s="505">
        <f t="shared" si="163"/>
        <v>0</v>
      </c>
      <c r="K203" s="499"/>
      <c r="L203" s="499">
        <f t="shared" si="164"/>
        <v>0</v>
      </c>
      <c r="M203" s="39">
        <f t="shared" si="165"/>
        <v>0</v>
      </c>
      <c r="N203" s="163">
        <f t="shared" si="161"/>
        <v>0</v>
      </c>
      <c r="O203" s="172">
        <f t="shared" si="174"/>
        <v>0</v>
      </c>
      <c r="P203" s="521"/>
      <c r="Q203" s="521">
        <f t="shared" si="166"/>
        <v>0</v>
      </c>
      <c r="R203" s="526"/>
      <c r="S203" s="526">
        <f t="shared" si="167"/>
        <v>0</v>
      </c>
      <c r="T203" s="39">
        <f t="shared" si="162"/>
        <v>0</v>
      </c>
      <c r="U203" s="163">
        <f>+ROUND(T203*H203,2)</f>
        <v>0</v>
      </c>
      <c r="V203" s="173">
        <f t="shared" si="175"/>
        <v>0</v>
      </c>
      <c r="W203" s="164"/>
      <c r="X203" s="128" t="s">
        <v>1004</v>
      </c>
      <c r="Y203" s="37">
        <f>+ROUND((O203)*(1+SUMIF($Y$2:$Y$4,X203,$Z$2:$Z$4)),0)</f>
        <v>0</v>
      </c>
      <c r="Z203" s="37">
        <f t="shared" si="173"/>
        <v>0</v>
      </c>
      <c r="AA203" s="166"/>
      <c r="AB203" s="38"/>
      <c r="AC203" s="38"/>
    </row>
    <row r="204" spans="1:29" hidden="1" outlineLevel="2" x14ac:dyDescent="0.25">
      <c r="A204" s="158" t="s">
        <v>1141</v>
      </c>
      <c r="B204" s="159" t="str">
        <f>+B203</f>
        <v>3.3/3</v>
      </c>
      <c r="C204" s="168" t="s">
        <v>1440</v>
      </c>
      <c r="D204" s="181" t="s">
        <v>1441</v>
      </c>
      <c r="E204" s="170" t="s">
        <v>1384</v>
      </c>
      <c r="F204" s="171"/>
      <c r="G204" s="171"/>
      <c r="H204" s="33">
        <f t="shared" si="160"/>
        <v>0</v>
      </c>
      <c r="I204" s="505"/>
      <c r="J204" s="505">
        <f t="shared" si="163"/>
        <v>0</v>
      </c>
      <c r="K204" s="499"/>
      <c r="L204" s="499">
        <f t="shared" si="164"/>
        <v>0</v>
      </c>
      <c r="M204" s="39">
        <f t="shared" si="165"/>
        <v>0</v>
      </c>
      <c r="N204" s="163">
        <f t="shared" si="161"/>
        <v>0</v>
      </c>
      <c r="O204" s="172">
        <f t="shared" si="174"/>
        <v>0</v>
      </c>
      <c r="P204" s="521"/>
      <c r="Q204" s="521">
        <f t="shared" si="166"/>
        <v>0</v>
      </c>
      <c r="R204" s="526"/>
      <c r="S204" s="526">
        <f t="shared" si="167"/>
        <v>0</v>
      </c>
      <c r="T204" s="39">
        <f t="shared" si="162"/>
        <v>0</v>
      </c>
      <c r="U204" s="163">
        <f>+ROUND(T204*H204,2)</f>
        <v>0</v>
      </c>
      <c r="V204" s="173">
        <f t="shared" si="175"/>
        <v>0</v>
      </c>
      <c r="W204" s="164"/>
      <c r="X204" s="128" t="s">
        <v>1004</v>
      </c>
      <c r="Y204" s="37">
        <f>+ROUND((O204)*(1+SUMIF($Y$2:$Y$4,X204,$Z$2:$Z$4)),0)</f>
        <v>0</v>
      </c>
      <c r="Z204" s="37">
        <f t="shared" si="173"/>
        <v>0</v>
      </c>
      <c r="AA204" s="166"/>
      <c r="AB204" s="38"/>
      <c r="AC204" s="38"/>
    </row>
    <row r="205" spans="1:29" hidden="1" outlineLevel="2" x14ac:dyDescent="0.25">
      <c r="A205" s="158" t="s">
        <v>1182</v>
      </c>
      <c r="B205" s="159" t="str">
        <f>+B203</f>
        <v>3.3/3</v>
      </c>
      <c r="C205" s="168" t="s">
        <v>1436</v>
      </c>
      <c r="D205" s="169" t="s">
        <v>1443</v>
      </c>
      <c r="E205" s="170" t="s">
        <v>1384</v>
      </c>
      <c r="F205" s="40"/>
      <c r="G205" s="40"/>
      <c r="H205" s="33">
        <f t="shared" si="160"/>
        <v>0</v>
      </c>
      <c r="I205" s="504"/>
      <c r="J205" s="504">
        <f t="shared" si="163"/>
        <v>0</v>
      </c>
      <c r="K205" s="498"/>
      <c r="L205" s="498">
        <f t="shared" si="164"/>
        <v>0</v>
      </c>
      <c r="M205" s="34">
        <f t="shared" si="165"/>
        <v>0</v>
      </c>
      <c r="N205" s="163">
        <f t="shared" si="161"/>
        <v>0</v>
      </c>
      <c r="O205" s="172">
        <f t="shared" si="174"/>
        <v>0</v>
      </c>
      <c r="P205" s="520"/>
      <c r="Q205" s="520">
        <f t="shared" si="166"/>
        <v>0</v>
      </c>
      <c r="R205" s="525"/>
      <c r="S205" s="525">
        <f t="shared" si="167"/>
        <v>0</v>
      </c>
      <c r="T205" s="34">
        <f t="shared" si="162"/>
        <v>0</v>
      </c>
      <c r="U205" s="163">
        <f>+ROUND(T205*H205,2)</f>
        <v>0</v>
      </c>
      <c r="V205" s="173">
        <f t="shared" si="175"/>
        <v>0</v>
      </c>
      <c r="W205" s="164"/>
      <c r="X205" s="128" t="s">
        <v>1004</v>
      </c>
      <c r="Y205" s="37">
        <f>+ROUND((O205)*(1+SUMIF($Y$2:$Y$4,X205,$Z$2:$Z$4)),0)</f>
        <v>0</v>
      </c>
      <c r="Z205" s="37">
        <f t="shared" si="173"/>
        <v>0</v>
      </c>
      <c r="AA205" s="166"/>
      <c r="AB205" s="38"/>
      <c r="AC205" s="38"/>
    </row>
    <row r="206" spans="1:29" hidden="1" outlineLevel="2" x14ac:dyDescent="0.25">
      <c r="A206" s="158" t="s">
        <v>1182</v>
      </c>
      <c r="B206" s="159" t="str">
        <f>+B204</f>
        <v>3.3/3</v>
      </c>
      <c r="C206" s="168" t="s">
        <v>1444</v>
      </c>
      <c r="D206" s="181" t="s">
        <v>1445</v>
      </c>
      <c r="E206" s="170" t="s">
        <v>1384</v>
      </c>
      <c r="F206" s="171"/>
      <c r="G206" s="171"/>
      <c r="H206" s="33">
        <f t="shared" si="160"/>
        <v>0</v>
      </c>
      <c r="I206" s="505"/>
      <c r="J206" s="505">
        <f t="shared" si="163"/>
        <v>0</v>
      </c>
      <c r="K206" s="499"/>
      <c r="L206" s="499">
        <f t="shared" si="164"/>
        <v>0</v>
      </c>
      <c r="M206" s="39">
        <f t="shared" si="165"/>
        <v>0</v>
      </c>
      <c r="N206" s="163">
        <f t="shared" si="161"/>
        <v>0</v>
      </c>
      <c r="O206" s="172">
        <f t="shared" si="174"/>
        <v>0</v>
      </c>
      <c r="P206" s="521"/>
      <c r="Q206" s="521">
        <f t="shared" si="166"/>
        <v>0</v>
      </c>
      <c r="R206" s="526"/>
      <c r="S206" s="526">
        <f t="shared" si="167"/>
        <v>0</v>
      </c>
      <c r="T206" s="39">
        <f t="shared" si="162"/>
        <v>0</v>
      </c>
      <c r="U206" s="163">
        <f>+ROUND(T206*H206,2)</f>
        <v>0</v>
      </c>
      <c r="V206" s="173">
        <f t="shared" si="175"/>
        <v>0</v>
      </c>
      <c r="W206" s="164"/>
      <c r="X206" s="128" t="s">
        <v>1004</v>
      </c>
      <c r="Y206" s="37">
        <f>+ROUND((O206)*(1+SUMIF($Y$2:$Y$4,X206,$Z$2:$Z$4)),0)</f>
        <v>0</v>
      </c>
      <c r="Z206" s="37">
        <f t="shared" si="173"/>
        <v>0</v>
      </c>
      <c r="AA206" s="166"/>
      <c r="AB206" s="38"/>
      <c r="AC206" s="38"/>
    </row>
    <row r="207" spans="1:29" hidden="1" outlineLevel="2" x14ac:dyDescent="0.25">
      <c r="A207" s="158" t="s">
        <v>1182</v>
      </c>
      <c r="B207" s="159" t="str">
        <f>+B206</f>
        <v>3.3/3</v>
      </c>
      <c r="C207" s="168" t="s">
        <v>1446</v>
      </c>
      <c r="D207" s="181" t="s">
        <v>1447</v>
      </c>
      <c r="E207" s="170" t="s">
        <v>1384</v>
      </c>
      <c r="F207" s="171"/>
      <c r="G207" s="171"/>
      <c r="H207" s="33">
        <f t="shared" si="160"/>
        <v>0</v>
      </c>
      <c r="I207" s="505"/>
      <c r="J207" s="505">
        <f t="shared" si="163"/>
        <v>0</v>
      </c>
      <c r="K207" s="499"/>
      <c r="L207" s="499">
        <f t="shared" si="164"/>
        <v>0</v>
      </c>
      <c r="M207" s="39">
        <f t="shared" si="165"/>
        <v>0</v>
      </c>
      <c r="N207" s="163">
        <f t="shared" si="161"/>
        <v>0</v>
      </c>
      <c r="O207" s="172">
        <f t="shared" si="174"/>
        <v>0</v>
      </c>
      <c r="P207" s="521"/>
      <c r="Q207" s="521">
        <f t="shared" si="166"/>
        <v>0</v>
      </c>
      <c r="R207" s="526"/>
      <c r="S207" s="526">
        <f t="shared" si="167"/>
        <v>0</v>
      </c>
      <c r="T207" s="39">
        <f t="shared" si="162"/>
        <v>0</v>
      </c>
      <c r="U207" s="163">
        <f>+ROUND(T207*H207,2)</f>
        <v>0</v>
      </c>
      <c r="V207" s="173">
        <f t="shared" si="175"/>
        <v>0</v>
      </c>
      <c r="W207" s="164"/>
      <c r="X207" s="128" t="s">
        <v>1004</v>
      </c>
      <c r="Y207" s="37">
        <f>+ROUND((O207)*(1+SUMIF($Y$2:$Y$4,X207,$Z$2:$Z$4)),0)</f>
        <v>0</v>
      </c>
      <c r="Z207" s="37">
        <f t="shared" si="173"/>
        <v>0</v>
      </c>
      <c r="AA207" s="166"/>
      <c r="AB207" s="38"/>
      <c r="AC207" s="38"/>
    </row>
    <row r="208" spans="1:29" hidden="1" outlineLevel="2" x14ac:dyDescent="0.25">
      <c r="A208" s="158" t="s">
        <v>1255</v>
      </c>
      <c r="B208" s="159" t="str">
        <f>+B206</f>
        <v>3.3/3</v>
      </c>
      <c r="C208" s="168" t="s">
        <v>1448</v>
      </c>
      <c r="D208" s="169" t="s">
        <v>1449</v>
      </c>
      <c r="E208" s="170" t="s">
        <v>1384</v>
      </c>
      <c r="F208" s="40"/>
      <c r="G208" s="40"/>
      <c r="H208" s="33">
        <f t="shared" si="160"/>
        <v>0</v>
      </c>
      <c r="I208" s="504"/>
      <c r="J208" s="504">
        <f t="shared" si="163"/>
        <v>0</v>
      </c>
      <c r="K208" s="498"/>
      <c r="L208" s="498">
        <f t="shared" si="164"/>
        <v>0</v>
      </c>
      <c r="M208" s="34">
        <f t="shared" si="165"/>
        <v>0</v>
      </c>
      <c r="N208" s="163">
        <f t="shared" si="161"/>
        <v>0</v>
      </c>
      <c r="O208" s="172">
        <f t="shared" si="174"/>
        <v>0</v>
      </c>
      <c r="P208" s="520"/>
      <c r="Q208" s="520">
        <f t="shared" si="166"/>
        <v>0</v>
      </c>
      <c r="R208" s="525"/>
      <c r="S208" s="525">
        <f t="shared" si="167"/>
        <v>0</v>
      </c>
      <c r="T208" s="34">
        <f t="shared" si="162"/>
        <v>0</v>
      </c>
      <c r="U208" s="163">
        <f>+ROUND(T208*H208,2)</f>
        <v>0</v>
      </c>
      <c r="V208" s="173">
        <f t="shared" si="175"/>
        <v>0</v>
      </c>
      <c r="W208" s="164"/>
      <c r="X208" s="128" t="s">
        <v>1004</v>
      </c>
      <c r="Y208" s="37">
        <f>+ROUND((O208)*(1+SUMIF($Y$2:$Y$4,X208,$Z$2:$Z$4)),0)</f>
        <v>0</v>
      </c>
      <c r="Z208" s="37">
        <f t="shared" si="173"/>
        <v>0</v>
      </c>
      <c r="AA208" s="166"/>
      <c r="AB208" s="38"/>
      <c r="AC208" s="38"/>
    </row>
    <row r="209" spans="1:29" hidden="1" outlineLevel="2" x14ac:dyDescent="0.25">
      <c r="A209" s="158" t="s">
        <v>1255</v>
      </c>
      <c r="B209" s="159" t="str">
        <f>+B207</f>
        <v>3.3/3</v>
      </c>
      <c r="C209" s="168" t="s">
        <v>1450</v>
      </c>
      <c r="D209" s="181" t="s">
        <v>1451</v>
      </c>
      <c r="E209" s="170" t="s">
        <v>1384</v>
      </c>
      <c r="F209" s="171"/>
      <c r="G209" s="171"/>
      <c r="H209" s="33">
        <f t="shared" si="160"/>
        <v>0</v>
      </c>
      <c r="I209" s="505"/>
      <c r="J209" s="505">
        <f t="shared" si="163"/>
        <v>0</v>
      </c>
      <c r="K209" s="499"/>
      <c r="L209" s="499">
        <f t="shared" si="164"/>
        <v>0</v>
      </c>
      <c r="M209" s="39">
        <f t="shared" si="165"/>
        <v>0</v>
      </c>
      <c r="N209" s="163">
        <f t="shared" si="161"/>
        <v>0</v>
      </c>
      <c r="O209" s="172">
        <f t="shared" si="174"/>
        <v>0</v>
      </c>
      <c r="P209" s="521"/>
      <c r="Q209" s="521">
        <f t="shared" si="166"/>
        <v>0</v>
      </c>
      <c r="R209" s="526"/>
      <c r="S209" s="526">
        <f t="shared" si="167"/>
        <v>0</v>
      </c>
      <c r="T209" s="39">
        <f t="shared" si="162"/>
        <v>0</v>
      </c>
      <c r="U209" s="163">
        <f>+ROUND(T209*H209,2)</f>
        <v>0</v>
      </c>
      <c r="V209" s="173">
        <f t="shared" si="175"/>
        <v>0</v>
      </c>
      <c r="W209" s="164"/>
      <c r="X209" s="128" t="s">
        <v>1004</v>
      </c>
      <c r="Y209" s="37">
        <f>+ROUND((O209)*(1+SUMIF($Y$2:$Y$4,X209,$Z$2:$Z$4)),0)</f>
        <v>0</v>
      </c>
      <c r="Z209" s="37">
        <f t="shared" si="173"/>
        <v>0</v>
      </c>
      <c r="AA209" s="166"/>
      <c r="AB209" s="38"/>
      <c r="AC209" s="38"/>
    </row>
    <row r="210" spans="1:29" hidden="1" outlineLevel="2" x14ac:dyDescent="0.25">
      <c r="A210" s="158" t="s">
        <v>1255</v>
      </c>
      <c r="B210" s="159" t="str">
        <f>+B209</f>
        <v>3.3/3</v>
      </c>
      <c r="C210" s="168" t="s">
        <v>1452</v>
      </c>
      <c r="D210" s="181" t="s">
        <v>1453</v>
      </c>
      <c r="E210" s="170" t="s">
        <v>1384</v>
      </c>
      <c r="F210" s="171"/>
      <c r="G210" s="171"/>
      <c r="H210" s="33">
        <f t="shared" si="160"/>
        <v>0</v>
      </c>
      <c r="I210" s="505"/>
      <c r="J210" s="505">
        <f t="shared" si="163"/>
        <v>0</v>
      </c>
      <c r="K210" s="499"/>
      <c r="L210" s="499">
        <f t="shared" si="164"/>
        <v>0</v>
      </c>
      <c r="M210" s="39">
        <f t="shared" si="165"/>
        <v>0</v>
      </c>
      <c r="N210" s="163">
        <f t="shared" si="161"/>
        <v>0</v>
      </c>
      <c r="O210" s="172">
        <f t="shared" si="174"/>
        <v>0</v>
      </c>
      <c r="P210" s="521"/>
      <c r="Q210" s="521">
        <f t="shared" si="166"/>
        <v>0</v>
      </c>
      <c r="R210" s="526"/>
      <c r="S210" s="526">
        <f t="shared" si="167"/>
        <v>0</v>
      </c>
      <c r="T210" s="39">
        <f t="shared" si="162"/>
        <v>0</v>
      </c>
      <c r="U210" s="163">
        <f>+ROUND(T210*H210,2)</f>
        <v>0</v>
      </c>
      <c r="V210" s="173">
        <f t="shared" si="175"/>
        <v>0</v>
      </c>
      <c r="W210" s="164"/>
      <c r="X210" s="128" t="s">
        <v>1004</v>
      </c>
      <c r="Y210" s="37">
        <f>+ROUND((O210)*(1+SUMIF($Y$2:$Y$4,X210,$Z$2:$Z$4)),0)</f>
        <v>0</v>
      </c>
      <c r="Z210" s="37">
        <f t="shared" si="173"/>
        <v>0</v>
      </c>
      <c r="AA210" s="166"/>
      <c r="AB210" s="38"/>
      <c r="AC210" s="38"/>
    </row>
    <row r="211" spans="1:29" hidden="1" outlineLevel="2" x14ac:dyDescent="0.25">
      <c r="A211" s="158" t="s">
        <v>1255</v>
      </c>
      <c r="B211" s="159" t="str">
        <f>+B210</f>
        <v>3.3/3</v>
      </c>
      <c r="C211" s="168" t="s">
        <v>1454</v>
      </c>
      <c r="D211" s="181" t="s">
        <v>1455</v>
      </c>
      <c r="E211" s="170" t="s">
        <v>1384</v>
      </c>
      <c r="F211" s="171"/>
      <c r="G211" s="171"/>
      <c r="H211" s="33">
        <f t="shared" ref="H211" si="176">+SUM(F211:G211)</f>
        <v>0</v>
      </c>
      <c r="I211" s="505"/>
      <c r="J211" s="505">
        <f t="shared" si="163"/>
        <v>0</v>
      </c>
      <c r="K211" s="499"/>
      <c r="L211" s="499">
        <f t="shared" si="164"/>
        <v>0</v>
      </c>
      <c r="M211" s="39">
        <f t="shared" si="165"/>
        <v>0</v>
      </c>
      <c r="N211" s="163">
        <f t="shared" ref="N211" si="177">+ROUND(M211*H211,2)</f>
        <v>0</v>
      </c>
      <c r="O211" s="172">
        <f t="shared" ref="O211" si="178">N211</f>
        <v>0</v>
      </c>
      <c r="P211" s="521"/>
      <c r="Q211" s="521">
        <f t="shared" si="166"/>
        <v>0</v>
      </c>
      <c r="R211" s="526"/>
      <c r="S211" s="526">
        <f t="shared" si="167"/>
        <v>0</v>
      </c>
      <c r="T211" s="39">
        <f t="shared" si="162"/>
        <v>0</v>
      </c>
      <c r="U211" s="163">
        <f>+ROUND(T211*H211,2)</f>
        <v>0</v>
      </c>
      <c r="V211" s="173">
        <f t="shared" ref="V211" si="179">U211</f>
        <v>0</v>
      </c>
      <c r="W211" s="164"/>
      <c r="X211" s="128" t="s">
        <v>1004</v>
      </c>
      <c r="Y211" s="37">
        <f>+ROUND((O211)*(1+SUMIF($Y$2:$Y$4,X211,$Z$2:$Z$4)),0)</f>
        <v>0</v>
      </c>
      <c r="Z211" s="37">
        <f t="shared" si="173"/>
        <v>0</v>
      </c>
      <c r="AA211" s="166"/>
      <c r="AB211" s="38"/>
      <c r="AC211" s="38"/>
    </row>
    <row r="212" spans="1:29" hidden="1" outlineLevel="2" x14ac:dyDescent="0.25">
      <c r="A212" s="158" t="s">
        <v>1171</v>
      </c>
      <c r="B212" s="159" t="s">
        <v>242</v>
      </c>
      <c r="C212" s="242">
        <v>2.5</v>
      </c>
      <c r="D212" s="161" t="s">
        <v>1456</v>
      </c>
      <c r="E212" s="162"/>
      <c r="F212" s="40"/>
      <c r="G212" s="40"/>
      <c r="H212" s="33">
        <f t="shared" si="160"/>
        <v>0</v>
      </c>
      <c r="I212" s="504"/>
      <c r="J212" s="504">
        <f t="shared" si="163"/>
        <v>0</v>
      </c>
      <c r="K212" s="498"/>
      <c r="L212" s="498">
        <f t="shared" si="164"/>
        <v>0</v>
      </c>
      <c r="M212" s="34">
        <f t="shared" si="165"/>
        <v>0</v>
      </c>
      <c r="N212" s="163">
        <f t="shared" si="161"/>
        <v>0</v>
      </c>
      <c r="O212" s="35"/>
      <c r="P212" s="520"/>
      <c r="Q212" s="520">
        <f t="shared" si="166"/>
        <v>0</v>
      </c>
      <c r="R212" s="525"/>
      <c r="S212" s="525">
        <f t="shared" si="167"/>
        <v>0</v>
      </c>
      <c r="T212" s="34">
        <f t="shared" si="162"/>
        <v>0</v>
      </c>
      <c r="U212" s="163">
        <f>+ROUND(T212*H212,2)</f>
        <v>0</v>
      </c>
      <c r="V212" s="36"/>
      <c r="W212" s="164"/>
      <c r="X212" s="128" t="s">
        <v>1004</v>
      </c>
      <c r="Y212" s="37">
        <f>+ROUND((O212)*(1+SUMIF($Y$2:$Y$4,X212,$Z$2:$Z$4)),0)</f>
        <v>0</v>
      </c>
      <c r="Z212" s="37">
        <f t="shared" si="173"/>
        <v>0</v>
      </c>
      <c r="AA212" s="166"/>
      <c r="AB212" s="38"/>
      <c r="AC212" s="38"/>
    </row>
    <row r="213" spans="1:29" ht="24" hidden="1" outlineLevel="2" x14ac:dyDescent="0.25">
      <c r="A213" s="158" t="s">
        <v>1171</v>
      </c>
      <c r="B213" s="159" t="str">
        <f>+B210</f>
        <v>3.3/3</v>
      </c>
      <c r="C213" s="168" t="s">
        <v>1457</v>
      </c>
      <c r="D213" s="174" t="s">
        <v>1458</v>
      </c>
      <c r="E213" s="170" t="s">
        <v>1384</v>
      </c>
      <c r="F213" s="171"/>
      <c r="G213" s="171"/>
      <c r="H213" s="33">
        <f t="shared" si="160"/>
        <v>0</v>
      </c>
      <c r="I213" s="505"/>
      <c r="J213" s="505">
        <f t="shared" si="163"/>
        <v>0</v>
      </c>
      <c r="K213" s="499"/>
      <c r="L213" s="499">
        <f t="shared" si="164"/>
        <v>0</v>
      </c>
      <c r="M213" s="39">
        <f t="shared" si="165"/>
        <v>0</v>
      </c>
      <c r="N213" s="163">
        <f t="shared" si="161"/>
        <v>0</v>
      </c>
      <c r="O213" s="172">
        <f>N213</f>
        <v>0</v>
      </c>
      <c r="P213" s="521"/>
      <c r="Q213" s="521">
        <f t="shared" si="166"/>
        <v>0</v>
      </c>
      <c r="R213" s="526"/>
      <c r="S213" s="526">
        <f t="shared" si="167"/>
        <v>0</v>
      </c>
      <c r="T213" s="39">
        <f t="shared" si="162"/>
        <v>0</v>
      </c>
      <c r="U213" s="163">
        <f>+ROUND(T213*H213,2)</f>
        <v>0</v>
      </c>
      <c r="V213" s="173">
        <f>U213</f>
        <v>0</v>
      </c>
      <c r="W213" s="164"/>
      <c r="X213" s="128" t="s">
        <v>1004</v>
      </c>
      <c r="Y213" s="37">
        <f>+ROUND((O213)*(1+SUMIF($Y$2:$Y$4,X213,$Z$2:$Z$4)),0)</f>
        <v>0</v>
      </c>
      <c r="Z213" s="37">
        <f t="shared" si="173"/>
        <v>0</v>
      </c>
      <c r="AA213" s="166"/>
      <c r="AB213" s="38"/>
      <c r="AC213" s="38"/>
    </row>
    <row r="214" spans="1:29" hidden="1" outlineLevel="2" x14ac:dyDescent="0.25">
      <c r="A214" s="158" t="s">
        <v>1213</v>
      </c>
      <c r="B214" s="159" t="str">
        <f>+B213</f>
        <v>3.3/3</v>
      </c>
      <c r="C214" s="168" t="s">
        <v>1459</v>
      </c>
      <c r="D214" s="174" t="s">
        <v>1460</v>
      </c>
      <c r="E214" s="170" t="s">
        <v>1384</v>
      </c>
      <c r="F214" s="171"/>
      <c r="G214" s="171"/>
      <c r="H214" s="33">
        <f t="shared" si="160"/>
        <v>0</v>
      </c>
      <c r="I214" s="505"/>
      <c r="J214" s="505">
        <f t="shared" si="163"/>
        <v>0</v>
      </c>
      <c r="K214" s="499"/>
      <c r="L214" s="499">
        <f t="shared" si="164"/>
        <v>0</v>
      </c>
      <c r="M214" s="39">
        <f t="shared" si="165"/>
        <v>0</v>
      </c>
      <c r="N214" s="163">
        <f t="shared" si="161"/>
        <v>0</v>
      </c>
      <c r="O214" s="172">
        <f>N214</f>
        <v>0</v>
      </c>
      <c r="P214" s="521"/>
      <c r="Q214" s="521">
        <f t="shared" si="166"/>
        <v>0</v>
      </c>
      <c r="R214" s="526"/>
      <c r="S214" s="526">
        <f t="shared" si="167"/>
        <v>0</v>
      </c>
      <c r="T214" s="39">
        <f t="shared" si="162"/>
        <v>0</v>
      </c>
      <c r="U214" s="163">
        <f>+ROUND(T214*H214,2)</f>
        <v>0</v>
      </c>
      <c r="V214" s="173">
        <f>U214</f>
        <v>0</v>
      </c>
      <c r="W214" s="164"/>
      <c r="X214" s="128" t="s">
        <v>1004</v>
      </c>
      <c r="Y214" s="37">
        <f>+ROUND((O214)*(1+SUMIF($Y$2:$Y$4,X214,$Z$2:$Z$4)),0)</f>
        <v>0</v>
      </c>
      <c r="Z214" s="37">
        <f t="shared" si="173"/>
        <v>0</v>
      </c>
      <c r="AA214" s="166"/>
      <c r="AB214" s="38"/>
      <c r="AC214" s="38"/>
    </row>
    <row r="215" spans="1:29" hidden="1" outlineLevel="2" x14ac:dyDescent="0.25">
      <c r="A215" s="158" t="s">
        <v>1213</v>
      </c>
      <c r="B215" s="159" t="str">
        <f>+B214</f>
        <v>3.3/3</v>
      </c>
      <c r="C215" s="168" t="s">
        <v>1461</v>
      </c>
      <c r="D215" s="174" t="s">
        <v>1462</v>
      </c>
      <c r="E215" s="170" t="s">
        <v>1384</v>
      </c>
      <c r="F215" s="171"/>
      <c r="G215" s="171"/>
      <c r="H215" s="33">
        <f t="shared" si="160"/>
        <v>0</v>
      </c>
      <c r="I215" s="505"/>
      <c r="J215" s="505">
        <f t="shared" si="163"/>
        <v>0</v>
      </c>
      <c r="K215" s="499"/>
      <c r="L215" s="499">
        <f t="shared" si="164"/>
        <v>0</v>
      </c>
      <c r="M215" s="39">
        <f t="shared" si="165"/>
        <v>0</v>
      </c>
      <c r="N215" s="163">
        <f t="shared" si="161"/>
        <v>0</v>
      </c>
      <c r="O215" s="172">
        <f>N215</f>
        <v>0</v>
      </c>
      <c r="P215" s="521"/>
      <c r="Q215" s="521">
        <f t="shared" si="166"/>
        <v>0</v>
      </c>
      <c r="R215" s="526"/>
      <c r="S215" s="526">
        <f t="shared" si="167"/>
        <v>0</v>
      </c>
      <c r="T215" s="39">
        <f t="shared" si="162"/>
        <v>0</v>
      </c>
      <c r="U215" s="163">
        <f>+ROUND(T215*H215,2)</f>
        <v>0</v>
      </c>
      <c r="V215" s="173">
        <f>U215</f>
        <v>0</v>
      </c>
      <c r="W215" s="164"/>
      <c r="X215" s="128" t="s">
        <v>1004</v>
      </c>
      <c r="Y215" s="37">
        <f>+ROUND((O215)*(1+SUMIF($Y$2:$Y$4,X215,$Z$2:$Z$4)),0)</f>
        <v>0</v>
      </c>
      <c r="Z215" s="37">
        <f t="shared" si="173"/>
        <v>0</v>
      </c>
      <c r="AA215" s="166"/>
      <c r="AB215" s="38"/>
      <c r="AC215" s="38"/>
    </row>
    <row r="216" spans="1:29" hidden="1" outlineLevel="1" x14ac:dyDescent="0.25">
      <c r="A216" s="506" t="s">
        <v>1022</v>
      </c>
      <c r="B216" s="507" t="str">
        <f>+B215</f>
        <v>3.3/3</v>
      </c>
      <c r="C216" s="508"/>
      <c r="D216" s="509" t="s">
        <v>1023</v>
      </c>
      <c r="E216" s="510"/>
      <c r="F216" s="511"/>
      <c r="G216" s="511"/>
      <c r="H216" s="512">
        <f t="shared" si="160"/>
        <v>0</v>
      </c>
      <c r="I216" s="512"/>
      <c r="J216" s="512">
        <f t="shared" si="163"/>
        <v>0</v>
      </c>
      <c r="K216" s="512"/>
      <c r="L216" s="512">
        <f t="shared" si="164"/>
        <v>0</v>
      </c>
      <c r="M216" s="512">
        <f t="shared" si="165"/>
        <v>0</v>
      </c>
      <c r="N216" s="512">
        <f>SUM(N201:N215)</f>
        <v>0</v>
      </c>
      <c r="O216" s="513">
        <f>SUM(O201:O215)</f>
        <v>0</v>
      </c>
      <c r="P216" s="512"/>
      <c r="Q216" s="512">
        <f t="shared" si="166"/>
        <v>0</v>
      </c>
      <c r="R216" s="512"/>
      <c r="S216" s="512">
        <f t="shared" si="167"/>
        <v>0</v>
      </c>
      <c r="T216" s="512">
        <f t="shared" si="162"/>
        <v>0</v>
      </c>
      <c r="U216" s="512">
        <f>SUM(U201:U215)</f>
        <v>0</v>
      </c>
      <c r="V216" s="513">
        <f>SUM(V201:V215)</f>
        <v>0</v>
      </c>
      <c r="W216" s="507"/>
      <c r="X216" s="514" t="s">
        <v>1004</v>
      </c>
      <c r="Y216" s="513">
        <f>SUM(Y201:Y215)</f>
        <v>0</v>
      </c>
      <c r="Z216" s="513">
        <f>SUM(Z201:Z215)</f>
        <v>0</v>
      </c>
      <c r="AA216" s="166"/>
      <c r="AB216" s="38"/>
      <c r="AC216" s="38"/>
    </row>
    <row r="217" spans="1:29" hidden="1" outlineLevel="1" x14ac:dyDescent="0.25">
      <c r="A217" s="158" t="s">
        <v>1207</v>
      </c>
      <c r="B217" s="159" t="s">
        <v>250</v>
      </c>
      <c r="C217" s="243">
        <v>2</v>
      </c>
      <c r="D217" s="167" t="s">
        <v>1434</v>
      </c>
      <c r="E217" s="162"/>
      <c r="F217" s="40"/>
      <c r="G217" s="40"/>
      <c r="H217" s="33">
        <f t="shared" si="160"/>
        <v>0</v>
      </c>
      <c r="I217" s="504"/>
      <c r="J217" s="504">
        <f t="shared" si="163"/>
        <v>0</v>
      </c>
      <c r="K217" s="498"/>
      <c r="L217" s="498">
        <f t="shared" si="164"/>
        <v>0</v>
      </c>
      <c r="M217" s="34">
        <f t="shared" si="165"/>
        <v>0</v>
      </c>
      <c r="N217" s="163">
        <f t="shared" ref="N217" si="180">+ROUND(M217*H217,2)</f>
        <v>0</v>
      </c>
      <c r="O217" s="35"/>
      <c r="P217" s="520"/>
      <c r="Q217" s="520">
        <f t="shared" si="166"/>
        <v>0</v>
      </c>
      <c r="R217" s="525"/>
      <c r="S217" s="525">
        <f t="shared" si="167"/>
        <v>0</v>
      </c>
      <c r="T217" s="34">
        <f t="shared" si="162"/>
        <v>0</v>
      </c>
      <c r="U217" s="163">
        <f>+ROUND(T217*H217,2)</f>
        <v>0</v>
      </c>
      <c r="V217" s="36"/>
      <c r="W217" s="164"/>
      <c r="X217" s="128" t="s">
        <v>1004</v>
      </c>
      <c r="Y217" s="37">
        <f>+ROUND((O217)*(1+SUMIF($Y$2:$Y$4,X217,$Z$2:$Z$4)),0)</f>
        <v>0</v>
      </c>
      <c r="Z217" s="37">
        <f t="shared" ref="Z217:Z229" si="181">+ROUND((V217)*(1+SUMIF($Y$2:$Y$4,X217,$Z$2:$Z$4)),0)</f>
        <v>0</v>
      </c>
      <c r="AA217" s="166"/>
      <c r="AB217" s="38"/>
      <c r="AC217" s="38"/>
    </row>
    <row r="218" spans="1:29" hidden="1" outlineLevel="2" x14ac:dyDescent="0.25">
      <c r="A218" s="158" t="s">
        <v>1207</v>
      </c>
      <c r="B218" s="159" t="str">
        <f>+B217</f>
        <v>3.3/4</v>
      </c>
      <c r="C218" s="242">
        <v>2.6</v>
      </c>
      <c r="D218" s="161" t="s">
        <v>1464</v>
      </c>
      <c r="E218" s="162"/>
      <c r="F218" s="40"/>
      <c r="G218" s="40"/>
      <c r="H218" s="33">
        <f t="shared" si="160"/>
        <v>0</v>
      </c>
      <c r="I218" s="504"/>
      <c r="J218" s="504">
        <f t="shared" si="163"/>
        <v>0</v>
      </c>
      <c r="K218" s="498"/>
      <c r="L218" s="498">
        <f t="shared" si="164"/>
        <v>0</v>
      </c>
      <c r="M218" s="34">
        <f t="shared" si="165"/>
        <v>0</v>
      </c>
      <c r="N218" s="163">
        <f t="shared" si="161"/>
        <v>0</v>
      </c>
      <c r="O218" s="35"/>
      <c r="P218" s="520"/>
      <c r="Q218" s="520">
        <f t="shared" si="166"/>
        <v>0</v>
      </c>
      <c r="R218" s="525"/>
      <c r="S218" s="525">
        <f t="shared" si="167"/>
        <v>0</v>
      </c>
      <c r="T218" s="34">
        <f t="shared" si="162"/>
        <v>0</v>
      </c>
      <c r="U218" s="163">
        <f>+ROUND(T218*H218,2)</f>
        <v>0</v>
      </c>
      <c r="V218" s="36"/>
      <c r="W218" s="164"/>
      <c r="X218" s="128" t="s">
        <v>1004</v>
      </c>
      <c r="Y218" s="37">
        <f>+ROUND((O218)*(1+SUMIF($Y$2:$Y$4,X218,$Z$2:$Z$4)),0)</f>
        <v>0</v>
      </c>
      <c r="Z218" s="37">
        <f t="shared" si="181"/>
        <v>0</v>
      </c>
      <c r="AA218" s="166"/>
      <c r="AB218" s="38"/>
      <c r="AC218" s="38"/>
    </row>
    <row r="219" spans="1:29" hidden="1" outlineLevel="2" x14ac:dyDescent="0.25">
      <c r="A219" s="158" t="s">
        <v>1207</v>
      </c>
      <c r="B219" s="159" t="str">
        <f>+B218</f>
        <v>3.3/4</v>
      </c>
      <c r="C219" s="168" t="s">
        <v>1465</v>
      </c>
      <c r="D219" s="169" t="s">
        <v>1466</v>
      </c>
      <c r="E219" s="170" t="s">
        <v>1384</v>
      </c>
      <c r="F219" s="40"/>
      <c r="G219" s="40"/>
      <c r="H219" s="33">
        <f t="shared" si="160"/>
        <v>0</v>
      </c>
      <c r="I219" s="504"/>
      <c r="J219" s="504">
        <f t="shared" si="163"/>
        <v>0</v>
      </c>
      <c r="K219" s="498"/>
      <c r="L219" s="498">
        <f t="shared" si="164"/>
        <v>0</v>
      </c>
      <c r="M219" s="34">
        <f t="shared" si="165"/>
        <v>0</v>
      </c>
      <c r="N219" s="163">
        <f t="shared" si="161"/>
        <v>0</v>
      </c>
      <c r="O219" s="172">
        <f t="shared" ref="O219:O224" si="182">N219</f>
        <v>0</v>
      </c>
      <c r="P219" s="520"/>
      <c r="Q219" s="520">
        <f t="shared" si="166"/>
        <v>0</v>
      </c>
      <c r="R219" s="525"/>
      <c r="S219" s="525">
        <f t="shared" si="167"/>
        <v>0</v>
      </c>
      <c r="T219" s="34">
        <f t="shared" si="162"/>
        <v>0</v>
      </c>
      <c r="U219" s="163">
        <f>+ROUND(T219*H219,2)</f>
        <v>0</v>
      </c>
      <c r="V219" s="173">
        <f t="shared" ref="V219:V224" si="183">U219</f>
        <v>0</v>
      </c>
      <c r="W219" s="164"/>
      <c r="X219" s="128" t="s">
        <v>1004</v>
      </c>
      <c r="Y219" s="37">
        <f>+ROUND((O219)*(1+SUMIF($Y$2:$Y$4,X219,$Z$2:$Z$4)),0)</f>
        <v>0</v>
      </c>
      <c r="Z219" s="37">
        <f t="shared" si="181"/>
        <v>0</v>
      </c>
      <c r="AA219" s="166"/>
      <c r="AB219" s="38"/>
      <c r="AC219" s="38"/>
    </row>
    <row r="220" spans="1:29" hidden="1" outlineLevel="2" x14ac:dyDescent="0.25">
      <c r="A220" s="158" t="s">
        <v>1207</v>
      </c>
      <c r="B220" s="159" t="str">
        <f>+B219</f>
        <v>3.3/4</v>
      </c>
      <c r="C220" s="168" t="s">
        <v>1467</v>
      </c>
      <c r="D220" s="181" t="s">
        <v>1468</v>
      </c>
      <c r="E220" s="170" t="s">
        <v>1384</v>
      </c>
      <c r="F220" s="171"/>
      <c r="G220" s="171"/>
      <c r="H220" s="33">
        <f t="shared" si="160"/>
        <v>0</v>
      </c>
      <c r="I220" s="505"/>
      <c r="J220" s="505">
        <f t="shared" si="163"/>
        <v>0</v>
      </c>
      <c r="K220" s="499"/>
      <c r="L220" s="499">
        <f t="shared" si="164"/>
        <v>0</v>
      </c>
      <c r="M220" s="39">
        <f t="shared" si="165"/>
        <v>0</v>
      </c>
      <c r="N220" s="163">
        <f t="shared" si="161"/>
        <v>0</v>
      </c>
      <c r="O220" s="172">
        <f t="shared" si="182"/>
        <v>0</v>
      </c>
      <c r="P220" s="521"/>
      <c r="Q220" s="521">
        <f t="shared" si="166"/>
        <v>0</v>
      </c>
      <c r="R220" s="526"/>
      <c r="S220" s="526">
        <f t="shared" si="167"/>
        <v>0</v>
      </c>
      <c r="T220" s="39">
        <f t="shared" si="162"/>
        <v>0</v>
      </c>
      <c r="U220" s="163">
        <f>+ROUND(T220*H220,2)</f>
        <v>0</v>
      </c>
      <c r="V220" s="173">
        <f t="shared" si="183"/>
        <v>0</v>
      </c>
      <c r="W220" s="164"/>
      <c r="X220" s="128" t="s">
        <v>1004</v>
      </c>
      <c r="Y220" s="37">
        <f>+ROUND((O220)*(1+SUMIF($Y$2:$Y$4,X220,$Z$2:$Z$4)),0)</f>
        <v>0</v>
      </c>
      <c r="Z220" s="37">
        <f t="shared" si="181"/>
        <v>0</v>
      </c>
      <c r="AA220" s="166"/>
      <c r="AB220" s="38"/>
      <c r="AC220" s="38"/>
    </row>
    <row r="221" spans="1:29" hidden="1" outlineLevel="2" x14ac:dyDescent="0.25">
      <c r="A221" s="158" t="s">
        <v>1207</v>
      </c>
      <c r="B221" s="159" t="str">
        <f>+B220</f>
        <v>3.3/4</v>
      </c>
      <c r="C221" s="168" t="s">
        <v>1469</v>
      </c>
      <c r="D221" s="181" t="s">
        <v>1470</v>
      </c>
      <c r="E221" s="170" t="s">
        <v>1384</v>
      </c>
      <c r="F221" s="171"/>
      <c r="G221" s="171"/>
      <c r="H221" s="33">
        <f t="shared" si="160"/>
        <v>0</v>
      </c>
      <c r="I221" s="505"/>
      <c r="J221" s="505">
        <f t="shared" si="163"/>
        <v>0</v>
      </c>
      <c r="K221" s="499"/>
      <c r="L221" s="499">
        <f t="shared" si="164"/>
        <v>0</v>
      </c>
      <c r="M221" s="39">
        <f t="shared" si="165"/>
        <v>0</v>
      </c>
      <c r="N221" s="163">
        <f t="shared" si="161"/>
        <v>0</v>
      </c>
      <c r="O221" s="172">
        <f t="shared" si="182"/>
        <v>0</v>
      </c>
      <c r="P221" s="521"/>
      <c r="Q221" s="521">
        <f t="shared" si="166"/>
        <v>0</v>
      </c>
      <c r="R221" s="526"/>
      <c r="S221" s="526">
        <f t="shared" si="167"/>
        <v>0</v>
      </c>
      <c r="T221" s="39">
        <f t="shared" si="162"/>
        <v>0</v>
      </c>
      <c r="U221" s="163">
        <f>+ROUND(T221*H221,2)</f>
        <v>0</v>
      </c>
      <c r="V221" s="173">
        <f t="shared" si="183"/>
        <v>0</v>
      </c>
      <c r="W221" s="164"/>
      <c r="X221" s="128" t="s">
        <v>1004</v>
      </c>
      <c r="Y221" s="37">
        <f>+ROUND((O221)*(1+SUMIF($Y$2:$Y$4,X221,$Z$2:$Z$4)),0)</f>
        <v>0</v>
      </c>
      <c r="Z221" s="37">
        <f t="shared" si="181"/>
        <v>0</v>
      </c>
      <c r="AA221" s="166"/>
      <c r="AB221" s="38"/>
      <c r="AC221" s="38"/>
    </row>
    <row r="222" spans="1:29" hidden="1" outlineLevel="2" x14ac:dyDescent="0.25">
      <c r="A222" s="158" t="s">
        <v>1197</v>
      </c>
      <c r="B222" s="159" t="str">
        <f>+B221</f>
        <v>3.3/4</v>
      </c>
      <c r="C222" s="168" t="s">
        <v>1551</v>
      </c>
      <c r="D222" s="169" t="s">
        <v>1472</v>
      </c>
      <c r="E222" s="170" t="s">
        <v>1384</v>
      </c>
      <c r="F222" s="40"/>
      <c r="G222" s="40"/>
      <c r="H222" s="33">
        <f t="shared" si="160"/>
        <v>0</v>
      </c>
      <c r="I222" s="504"/>
      <c r="J222" s="504">
        <f t="shared" si="163"/>
        <v>0</v>
      </c>
      <c r="K222" s="498"/>
      <c r="L222" s="498">
        <f t="shared" si="164"/>
        <v>0</v>
      </c>
      <c r="M222" s="34">
        <f t="shared" si="165"/>
        <v>0</v>
      </c>
      <c r="N222" s="163">
        <f t="shared" si="161"/>
        <v>0</v>
      </c>
      <c r="O222" s="172">
        <f t="shared" si="182"/>
        <v>0</v>
      </c>
      <c r="P222" s="520"/>
      <c r="Q222" s="520">
        <f t="shared" si="166"/>
        <v>0</v>
      </c>
      <c r="R222" s="525"/>
      <c r="S222" s="525">
        <f t="shared" si="167"/>
        <v>0</v>
      </c>
      <c r="T222" s="34">
        <f t="shared" si="162"/>
        <v>0</v>
      </c>
      <c r="U222" s="163">
        <f>+ROUND(T222*H222,2)</f>
        <v>0</v>
      </c>
      <c r="V222" s="173">
        <f t="shared" si="183"/>
        <v>0</v>
      </c>
      <c r="W222" s="164"/>
      <c r="X222" s="128" t="s">
        <v>1004</v>
      </c>
      <c r="Y222" s="37">
        <f>+ROUND((O222)*(1+SUMIF($Y$2:$Y$4,X222,$Z$2:$Z$4)),0)</f>
        <v>0</v>
      </c>
      <c r="Z222" s="37">
        <f t="shared" si="181"/>
        <v>0</v>
      </c>
      <c r="AA222" s="166"/>
      <c r="AB222" s="38"/>
      <c r="AC222" s="38"/>
    </row>
    <row r="223" spans="1:29" hidden="1" outlineLevel="2" x14ac:dyDescent="0.25">
      <c r="A223" s="158" t="s">
        <v>1197</v>
      </c>
      <c r="B223" s="159" t="str">
        <f>+B221</f>
        <v>3.3/4</v>
      </c>
      <c r="C223" s="168" t="s">
        <v>1471</v>
      </c>
      <c r="D223" s="181" t="s">
        <v>1472</v>
      </c>
      <c r="E223" s="170" t="s">
        <v>1384</v>
      </c>
      <c r="F223" s="171"/>
      <c r="G223" s="171"/>
      <c r="H223" s="33">
        <f t="shared" si="160"/>
        <v>0</v>
      </c>
      <c r="I223" s="505"/>
      <c r="J223" s="505">
        <f t="shared" si="163"/>
        <v>0</v>
      </c>
      <c r="K223" s="499"/>
      <c r="L223" s="499">
        <f t="shared" si="164"/>
        <v>0</v>
      </c>
      <c r="M223" s="39">
        <f t="shared" si="165"/>
        <v>0</v>
      </c>
      <c r="N223" s="163">
        <f t="shared" si="161"/>
        <v>0</v>
      </c>
      <c r="O223" s="172">
        <f t="shared" si="182"/>
        <v>0</v>
      </c>
      <c r="P223" s="521"/>
      <c r="Q223" s="521">
        <f t="shared" si="166"/>
        <v>0</v>
      </c>
      <c r="R223" s="526"/>
      <c r="S223" s="526">
        <f t="shared" si="167"/>
        <v>0</v>
      </c>
      <c r="T223" s="39">
        <f t="shared" si="162"/>
        <v>0</v>
      </c>
      <c r="U223" s="163">
        <f>+ROUND(T223*H223,2)</f>
        <v>0</v>
      </c>
      <c r="V223" s="173">
        <f t="shared" si="183"/>
        <v>0</v>
      </c>
      <c r="W223" s="164"/>
      <c r="X223" s="128" t="s">
        <v>1004</v>
      </c>
      <c r="Y223" s="37">
        <f>+ROUND((O223)*(1+SUMIF($Y$2:$Y$4,X223,$Z$2:$Z$4)),0)</f>
        <v>0</v>
      </c>
      <c r="Z223" s="37">
        <f t="shared" si="181"/>
        <v>0</v>
      </c>
      <c r="AA223" s="166"/>
      <c r="AB223" s="38"/>
      <c r="AC223" s="38"/>
    </row>
    <row r="224" spans="1:29" ht="24" hidden="1" outlineLevel="2" x14ac:dyDescent="0.25">
      <c r="A224" s="158" t="s">
        <v>1199</v>
      </c>
      <c r="B224" s="159" t="str">
        <f>+B223</f>
        <v>3.3/4</v>
      </c>
      <c r="C224" s="168" t="s">
        <v>1473</v>
      </c>
      <c r="D224" s="181" t="s">
        <v>1474</v>
      </c>
      <c r="E224" s="170" t="s">
        <v>1384</v>
      </c>
      <c r="F224" s="171"/>
      <c r="G224" s="171"/>
      <c r="H224" s="33">
        <f t="shared" si="160"/>
        <v>0</v>
      </c>
      <c r="I224" s="505"/>
      <c r="J224" s="505">
        <f t="shared" si="163"/>
        <v>0</v>
      </c>
      <c r="K224" s="499"/>
      <c r="L224" s="499">
        <f t="shared" si="164"/>
        <v>0</v>
      </c>
      <c r="M224" s="39">
        <f t="shared" si="165"/>
        <v>0</v>
      </c>
      <c r="N224" s="163">
        <f t="shared" si="161"/>
        <v>0</v>
      </c>
      <c r="O224" s="172">
        <f t="shared" si="182"/>
        <v>0</v>
      </c>
      <c r="P224" s="521"/>
      <c r="Q224" s="521">
        <f t="shared" si="166"/>
        <v>0</v>
      </c>
      <c r="R224" s="526"/>
      <c r="S224" s="526">
        <f t="shared" si="167"/>
        <v>0</v>
      </c>
      <c r="T224" s="39">
        <f t="shared" si="162"/>
        <v>0</v>
      </c>
      <c r="U224" s="163">
        <f>+ROUND(T224*H224,2)</f>
        <v>0</v>
      </c>
      <c r="V224" s="173">
        <f t="shared" si="183"/>
        <v>0</v>
      </c>
      <c r="W224" s="164"/>
      <c r="X224" s="128" t="s">
        <v>1004</v>
      </c>
      <c r="Y224" s="37">
        <f>+ROUND((O224)*(1+SUMIF($Y$2:$Y$4,X224,$Z$2:$Z$4)),0)</f>
        <v>0</v>
      </c>
      <c r="Z224" s="37">
        <f t="shared" si="181"/>
        <v>0</v>
      </c>
      <c r="AA224" s="166"/>
      <c r="AB224" s="38"/>
      <c r="AC224" s="38"/>
    </row>
    <row r="225" spans="1:29" hidden="1" outlineLevel="2" x14ac:dyDescent="0.25">
      <c r="A225" s="158" t="s">
        <v>1173</v>
      </c>
      <c r="B225" s="159" t="s">
        <v>250</v>
      </c>
      <c r="C225" s="242">
        <v>2.7</v>
      </c>
      <c r="D225" s="161" t="s">
        <v>1475</v>
      </c>
      <c r="E225" s="162"/>
      <c r="F225" s="40"/>
      <c r="G225" s="40"/>
      <c r="H225" s="33">
        <f t="shared" si="160"/>
        <v>0</v>
      </c>
      <c r="I225" s="504"/>
      <c r="J225" s="504">
        <f t="shared" si="163"/>
        <v>0</v>
      </c>
      <c r="K225" s="498"/>
      <c r="L225" s="498">
        <f t="shared" si="164"/>
        <v>0</v>
      </c>
      <c r="M225" s="34">
        <f t="shared" si="165"/>
        <v>0</v>
      </c>
      <c r="N225" s="163">
        <f t="shared" si="161"/>
        <v>0</v>
      </c>
      <c r="O225" s="35"/>
      <c r="P225" s="520"/>
      <c r="Q225" s="520">
        <f t="shared" si="166"/>
        <v>0</v>
      </c>
      <c r="R225" s="525"/>
      <c r="S225" s="525">
        <f t="shared" si="167"/>
        <v>0</v>
      </c>
      <c r="T225" s="34">
        <f t="shared" si="162"/>
        <v>0</v>
      </c>
      <c r="U225" s="163">
        <f>+ROUND(T225*H225,2)</f>
        <v>0</v>
      </c>
      <c r="V225" s="36"/>
      <c r="W225" s="164"/>
      <c r="X225" s="128" t="s">
        <v>1004</v>
      </c>
      <c r="Y225" s="37">
        <f>+ROUND((O225)*(1+SUMIF($Y$2:$Y$4,X225,$Z$2:$Z$4)),0)</f>
        <v>0</v>
      </c>
      <c r="Z225" s="37">
        <f t="shared" si="181"/>
        <v>0</v>
      </c>
      <c r="AA225" s="166"/>
      <c r="AB225" s="38"/>
      <c r="AC225" s="38"/>
    </row>
    <row r="226" spans="1:29" hidden="1" outlineLevel="2" x14ac:dyDescent="0.25">
      <c r="A226" s="158" t="s">
        <v>1173</v>
      </c>
      <c r="B226" s="159" t="str">
        <f>+B224</f>
        <v>3.3/4</v>
      </c>
      <c r="C226" s="168" t="s">
        <v>1476</v>
      </c>
      <c r="D226" s="169" t="s">
        <v>1477</v>
      </c>
      <c r="E226" s="170" t="s">
        <v>1384</v>
      </c>
      <c r="F226" s="171"/>
      <c r="G226" s="171"/>
      <c r="H226" s="33">
        <f t="shared" si="160"/>
        <v>0</v>
      </c>
      <c r="I226" s="505"/>
      <c r="J226" s="505">
        <f t="shared" si="163"/>
        <v>0</v>
      </c>
      <c r="K226" s="499"/>
      <c r="L226" s="499">
        <f t="shared" si="164"/>
        <v>0</v>
      </c>
      <c r="M226" s="39">
        <f t="shared" si="165"/>
        <v>0</v>
      </c>
      <c r="N226" s="163">
        <f t="shared" si="161"/>
        <v>0</v>
      </c>
      <c r="O226" s="172">
        <f>N226</f>
        <v>0</v>
      </c>
      <c r="P226" s="521"/>
      <c r="Q226" s="521">
        <f t="shared" si="166"/>
        <v>0</v>
      </c>
      <c r="R226" s="526"/>
      <c r="S226" s="526">
        <f t="shared" si="167"/>
        <v>0</v>
      </c>
      <c r="T226" s="39">
        <f t="shared" si="162"/>
        <v>0</v>
      </c>
      <c r="U226" s="163">
        <f>+ROUND(T226*H226,2)</f>
        <v>0</v>
      </c>
      <c r="V226" s="173">
        <f>U226</f>
        <v>0</v>
      </c>
      <c r="W226" s="164"/>
      <c r="X226" s="128" t="s">
        <v>1004</v>
      </c>
      <c r="Y226" s="37">
        <f>+ROUND((O226)*(1+SUMIF($Y$2:$Y$4,X226,$Z$2:$Z$4)),0)</f>
        <v>0</v>
      </c>
      <c r="Z226" s="37">
        <f t="shared" si="181"/>
        <v>0</v>
      </c>
      <c r="AA226" s="166"/>
      <c r="AB226" s="38"/>
      <c r="AC226" s="38"/>
    </row>
    <row r="227" spans="1:29" hidden="1" outlineLevel="2" x14ac:dyDescent="0.25">
      <c r="A227" s="158" t="s">
        <v>1245</v>
      </c>
      <c r="B227" s="159" t="str">
        <f>+B226</f>
        <v>3.3/4</v>
      </c>
      <c r="C227" s="168" t="s">
        <v>1478</v>
      </c>
      <c r="D227" s="169" t="s">
        <v>1479</v>
      </c>
      <c r="E227" s="170" t="s">
        <v>1384</v>
      </c>
      <c r="F227" s="171"/>
      <c r="G227" s="171"/>
      <c r="H227" s="33">
        <f t="shared" si="160"/>
        <v>0</v>
      </c>
      <c r="I227" s="505"/>
      <c r="J227" s="505">
        <f t="shared" si="163"/>
        <v>0</v>
      </c>
      <c r="K227" s="499"/>
      <c r="L227" s="499">
        <f t="shared" si="164"/>
        <v>0</v>
      </c>
      <c r="M227" s="39">
        <f t="shared" si="165"/>
        <v>0</v>
      </c>
      <c r="N227" s="163">
        <f t="shared" si="161"/>
        <v>0</v>
      </c>
      <c r="O227" s="172">
        <f>N227</f>
        <v>0</v>
      </c>
      <c r="P227" s="521"/>
      <c r="Q227" s="521">
        <f t="shared" si="166"/>
        <v>0</v>
      </c>
      <c r="R227" s="526"/>
      <c r="S227" s="526">
        <f t="shared" si="167"/>
        <v>0</v>
      </c>
      <c r="T227" s="39">
        <f t="shared" si="162"/>
        <v>0</v>
      </c>
      <c r="U227" s="163">
        <f>+ROUND(T227*H227,2)</f>
        <v>0</v>
      </c>
      <c r="V227" s="173">
        <f>U227</f>
        <v>0</v>
      </c>
      <c r="W227" s="164"/>
      <c r="X227" s="128" t="s">
        <v>1004</v>
      </c>
      <c r="Y227" s="37">
        <f>+ROUND((O227)*(1+SUMIF($Y$2:$Y$4,X227,$Z$2:$Z$4)),0)</f>
        <v>0</v>
      </c>
      <c r="Z227" s="37">
        <f t="shared" si="181"/>
        <v>0</v>
      </c>
      <c r="AA227" s="166"/>
      <c r="AB227" s="38"/>
      <c r="AC227" s="38"/>
    </row>
    <row r="228" spans="1:29" hidden="1" outlineLevel="2" x14ac:dyDescent="0.25">
      <c r="A228" s="158" t="s">
        <v>1197</v>
      </c>
      <c r="B228" s="159" t="s">
        <v>250</v>
      </c>
      <c r="C228" s="242">
        <v>2.8</v>
      </c>
      <c r="D228" s="161" t="s">
        <v>1480</v>
      </c>
      <c r="E228" s="162"/>
      <c r="F228" s="40"/>
      <c r="G228" s="40"/>
      <c r="H228" s="33">
        <f t="shared" si="160"/>
        <v>0</v>
      </c>
      <c r="I228" s="504"/>
      <c r="J228" s="504">
        <f t="shared" si="163"/>
        <v>0</v>
      </c>
      <c r="K228" s="498"/>
      <c r="L228" s="498">
        <f t="shared" si="164"/>
        <v>0</v>
      </c>
      <c r="M228" s="34">
        <f t="shared" si="165"/>
        <v>0</v>
      </c>
      <c r="N228" s="163">
        <f t="shared" si="161"/>
        <v>0</v>
      </c>
      <c r="O228" s="35"/>
      <c r="P228" s="520"/>
      <c r="Q228" s="520">
        <f t="shared" si="166"/>
        <v>0</v>
      </c>
      <c r="R228" s="525"/>
      <c r="S228" s="525">
        <f t="shared" si="167"/>
        <v>0</v>
      </c>
      <c r="T228" s="34">
        <f t="shared" si="162"/>
        <v>0</v>
      </c>
      <c r="U228" s="163">
        <f>+ROUND(T228*H228,2)</f>
        <v>0</v>
      </c>
      <c r="V228" s="36"/>
      <c r="W228" s="164"/>
      <c r="X228" s="128" t="s">
        <v>1004</v>
      </c>
      <c r="Y228" s="37">
        <f>+ROUND((O228)*(1+SUMIF($Y$2:$Y$4,X228,$Z$2:$Z$4)),0)</f>
        <v>0</v>
      </c>
      <c r="Z228" s="37">
        <f t="shared" si="181"/>
        <v>0</v>
      </c>
      <c r="AA228" s="166"/>
      <c r="AB228" s="38"/>
      <c r="AC228" s="38"/>
    </row>
    <row r="229" spans="1:29" hidden="1" outlineLevel="2" x14ac:dyDescent="0.25">
      <c r="A229" s="158" t="s">
        <v>1197</v>
      </c>
      <c r="B229" s="159" t="str">
        <f>+B227</f>
        <v>3.3/4</v>
      </c>
      <c r="C229" s="168" t="s">
        <v>1481</v>
      </c>
      <c r="D229" s="169" t="s">
        <v>1480</v>
      </c>
      <c r="E229" s="170" t="s">
        <v>1384</v>
      </c>
      <c r="F229" s="171"/>
      <c r="G229" s="171"/>
      <c r="H229" s="33">
        <f t="shared" si="160"/>
        <v>0</v>
      </c>
      <c r="I229" s="505"/>
      <c r="J229" s="505">
        <f t="shared" si="163"/>
        <v>0</v>
      </c>
      <c r="K229" s="499"/>
      <c r="L229" s="499">
        <f t="shared" si="164"/>
        <v>0</v>
      </c>
      <c r="M229" s="39">
        <f t="shared" si="165"/>
        <v>0</v>
      </c>
      <c r="N229" s="163">
        <f t="shared" si="161"/>
        <v>0</v>
      </c>
      <c r="O229" s="172">
        <f>N229</f>
        <v>0</v>
      </c>
      <c r="P229" s="521"/>
      <c r="Q229" s="521">
        <f t="shared" si="166"/>
        <v>0</v>
      </c>
      <c r="R229" s="526"/>
      <c r="S229" s="526">
        <f t="shared" si="167"/>
        <v>0</v>
      </c>
      <c r="T229" s="39">
        <f t="shared" si="162"/>
        <v>0</v>
      </c>
      <c r="U229" s="163">
        <f>+ROUND(T229*H229,2)</f>
        <v>0</v>
      </c>
      <c r="V229" s="173">
        <f>U229</f>
        <v>0</v>
      </c>
      <c r="W229" s="164"/>
      <c r="X229" s="128" t="s">
        <v>1004</v>
      </c>
      <c r="Y229" s="37">
        <f>+ROUND((O229)*(1+SUMIF($Y$2:$Y$4,X229,$Z$2:$Z$4)),0)</f>
        <v>0</v>
      </c>
      <c r="Z229" s="37">
        <f t="shared" si="181"/>
        <v>0</v>
      </c>
      <c r="AA229" s="166"/>
      <c r="AB229" s="38"/>
      <c r="AC229" s="38"/>
    </row>
    <row r="230" spans="1:29" hidden="1" outlineLevel="1" x14ac:dyDescent="0.25">
      <c r="A230" s="506" t="s">
        <v>1022</v>
      </c>
      <c r="B230" s="507" t="str">
        <f>+B229</f>
        <v>3.3/4</v>
      </c>
      <c r="C230" s="508"/>
      <c r="D230" s="509" t="s">
        <v>1023</v>
      </c>
      <c r="E230" s="510"/>
      <c r="F230" s="511"/>
      <c r="G230" s="511"/>
      <c r="H230" s="512">
        <f t="shared" si="160"/>
        <v>0</v>
      </c>
      <c r="I230" s="512"/>
      <c r="J230" s="512">
        <f t="shared" si="163"/>
        <v>0</v>
      </c>
      <c r="K230" s="512"/>
      <c r="L230" s="512">
        <f t="shared" si="164"/>
        <v>0</v>
      </c>
      <c r="M230" s="512">
        <f t="shared" si="165"/>
        <v>0</v>
      </c>
      <c r="N230" s="512">
        <f>SUM(N218:N229)</f>
        <v>0</v>
      </c>
      <c r="O230" s="513">
        <f>SUM(O218:O229)</f>
        <v>0</v>
      </c>
      <c r="P230" s="512"/>
      <c r="Q230" s="512">
        <f t="shared" si="166"/>
        <v>0</v>
      </c>
      <c r="R230" s="512"/>
      <c r="S230" s="512">
        <f t="shared" si="167"/>
        <v>0</v>
      </c>
      <c r="T230" s="512">
        <f t="shared" si="162"/>
        <v>0</v>
      </c>
      <c r="U230" s="512">
        <f>SUM(U218:U229)</f>
        <v>0</v>
      </c>
      <c r="V230" s="513">
        <f>SUM(V218:V229)</f>
        <v>0</v>
      </c>
      <c r="W230" s="507"/>
      <c r="X230" s="514" t="s">
        <v>1004</v>
      </c>
      <c r="Y230" s="513">
        <f t="shared" ref="Y230:Z230" si="184">SUM(Y218:Y229)</f>
        <v>0</v>
      </c>
      <c r="Z230" s="513">
        <f t="shared" si="184"/>
        <v>0</v>
      </c>
      <c r="AA230" s="166"/>
      <c r="AB230" s="38"/>
      <c r="AC230" s="38"/>
    </row>
    <row r="231" spans="1:29" hidden="1" outlineLevel="1" x14ac:dyDescent="0.25">
      <c r="A231" s="158" t="s">
        <v>1099</v>
      </c>
      <c r="B231" s="159" t="s">
        <v>250</v>
      </c>
      <c r="C231" s="245">
        <v>3</v>
      </c>
      <c r="D231" s="167" t="s">
        <v>1482</v>
      </c>
      <c r="E231" s="162"/>
      <c r="F231" s="40"/>
      <c r="G231" s="40"/>
      <c r="H231" s="33">
        <f t="shared" si="160"/>
        <v>0</v>
      </c>
      <c r="I231" s="504"/>
      <c r="J231" s="504">
        <f t="shared" si="163"/>
        <v>0</v>
      </c>
      <c r="K231" s="498"/>
      <c r="L231" s="498">
        <f t="shared" si="164"/>
        <v>0</v>
      </c>
      <c r="M231" s="34">
        <f t="shared" si="165"/>
        <v>0</v>
      </c>
      <c r="N231" s="163">
        <f t="shared" si="161"/>
        <v>0</v>
      </c>
      <c r="O231" s="35"/>
      <c r="P231" s="520"/>
      <c r="Q231" s="520">
        <f t="shared" si="166"/>
        <v>0</v>
      </c>
      <c r="R231" s="525"/>
      <c r="S231" s="525">
        <f t="shared" si="167"/>
        <v>0</v>
      </c>
      <c r="T231" s="34">
        <f t="shared" si="162"/>
        <v>0</v>
      </c>
      <c r="U231" s="163">
        <f>+ROUND(T231*H231,2)</f>
        <v>0</v>
      </c>
      <c r="V231" s="36"/>
      <c r="W231" s="164"/>
      <c r="X231" s="128" t="s">
        <v>1004</v>
      </c>
      <c r="Y231" s="37">
        <f>+ROUND((O231)*(1+SUMIF($Y$2:$Y$4,X231,$Z$2:$Z$4)),0)</f>
        <v>0</v>
      </c>
      <c r="Z231" s="37">
        <f t="shared" ref="Z231:Z245" si="185">+ROUND((V231)*(1+SUMIF($Y$2:$Y$4,X231,$Z$2:$Z$4)),0)</f>
        <v>0</v>
      </c>
      <c r="AA231" s="166"/>
      <c r="AB231" s="38"/>
      <c r="AC231" s="38"/>
    </row>
    <row r="232" spans="1:29" hidden="1" outlineLevel="2" x14ac:dyDescent="0.25">
      <c r="A232" s="158" t="s">
        <v>1099</v>
      </c>
      <c r="B232" s="159" t="s">
        <v>261</v>
      </c>
      <c r="C232" s="246">
        <v>3.1</v>
      </c>
      <c r="D232" s="161" t="s">
        <v>146</v>
      </c>
      <c r="E232" s="170" t="s">
        <v>1384</v>
      </c>
      <c r="F232" s="40"/>
      <c r="G232" s="40"/>
      <c r="H232" s="33">
        <f t="shared" si="160"/>
        <v>0</v>
      </c>
      <c r="I232" s="504"/>
      <c r="J232" s="504">
        <f t="shared" si="163"/>
        <v>0</v>
      </c>
      <c r="K232" s="498"/>
      <c r="L232" s="498">
        <f t="shared" si="164"/>
        <v>0</v>
      </c>
      <c r="M232" s="34">
        <f t="shared" si="165"/>
        <v>0</v>
      </c>
      <c r="N232" s="163">
        <f t="shared" si="161"/>
        <v>0</v>
      </c>
      <c r="O232" s="172">
        <f t="shared" ref="O232:O245" si="186">N232</f>
        <v>0</v>
      </c>
      <c r="P232" s="520"/>
      <c r="Q232" s="520">
        <f t="shared" si="166"/>
        <v>0</v>
      </c>
      <c r="R232" s="525"/>
      <c r="S232" s="525">
        <f t="shared" si="167"/>
        <v>0</v>
      </c>
      <c r="T232" s="34">
        <f t="shared" si="162"/>
        <v>0</v>
      </c>
      <c r="U232" s="163">
        <f>+ROUND(T232*H232,2)</f>
        <v>0</v>
      </c>
      <c r="V232" s="173">
        <f t="shared" ref="V232:V245" si="187">U232</f>
        <v>0</v>
      </c>
      <c r="W232" s="164"/>
      <c r="X232" s="128" t="s">
        <v>1004</v>
      </c>
      <c r="Y232" s="37">
        <f>+ROUND((O232)*(1+SUMIF($Y$2:$Y$4,X232,$Z$2:$Z$4)),0)</f>
        <v>0</v>
      </c>
      <c r="Z232" s="37">
        <f t="shared" si="185"/>
        <v>0</v>
      </c>
      <c r="AA232" s="166"/>
      <c r="AB232" s="38"/>
      <c r="AC232" s="38"/>
    </row>
    <row r="233" spans="1:29" hidden="1" outlineLevel="2" x14ac:dyDescent="0.25">
      <c r="A233" s="158" t="s">
        <v>1099</v>
      </c>
      <c r="B233" s="159" t="s">
        <v>261</v>
      </c>
      <c r="C233" s="168" t="s">
        <v>1483</v>
      </c>
      <c r="D233" s="169" t="s">
        <v>1552</v>
      </c>
      <c r="E233" s="170" t="s">
        <v>1384</v>
      </c>
      <c r="F233" s="171"/>
      <c r="G233" s="171"/>
      <c r="H233" s="33">
        <f t="shared" si="160"/>
        <v>0</v>
      </c>
      <c r="I233" s="505"/>
      <c r="J233" s="505">
        <f t="shared" si="163"/>
        <v>0</v>
      </c>
      <c r="K233" s="499"/>
      <c r="L233" s="499">
        <f t="shared" si="164"/>
        <v>0</v>
      </c>
      <c r="M233" s="39">
        <f t="shared" si="165"/>
        <v>0</v>
      </c>
      <c r="N233" s="163">
        <f t="shared" si="161"/>
        <v>0</v>
      </c>
      <c r="O233" s="172">
        <f t="shared" si="186"/>
        <v>0</v>
      </c>
      <c r="P233" s="521"/>
      <c r="Q233" s="521">
        <f t="shared" si="166"/>
        <v>0</v>
      </c>
      <c r="R233" s="526"/>
      <c r="S233" s="526">
        <f t="shared" si="167"/>
        <v>0</v>
      </c>
      <c r="T233" s="39">
        <f t="shared" si="162"/>
        <v>0</v>
      </c>
      <c r="U233" s="163">
        <f>+ROUND(T233*H233,2)</f>
        <v>0</v>
      </c>
      <c r="V233" s="173">
        <f t="shared" si="187"/>
        <v>0</v>
      </c>
      <c r="W233" s="164"/>
      <c r="X233" s="128" t="s">
        <v>1004</v>
      </c>
      <c r="Y233" s="37">
        <f>+ROUND((O233)*(1+SUMIF($Y$2:$Y$4,X233,$Z$2:$Z$4)),0)</f>
        <v>0</v>
      </c>
      <c r="Z233" s="37">
        <f t="shared" si="185"/>
        <v>0</v>
      </c>
      <c r="AA233" s="166"/>
      <c r="AB233" s="38"/>
      <c r="AC233" s="38"/>
    </row>
    <row r="234" spans="1:29" hidden="1" outlineLevel="2" x14ac:dyDescent="0.25">
      <c r="A234" s="158" t="s">
        <v>1161</v>
      </c>
      <c r="B234" s="159" t="str">
        <f>+B233</f>
        <v>3.3/5</v>
      </c>
      <c r="C234" s="168" t="s">
        <v>1485</v>
      </c>
      <c r="D234" s="169" t="s">
        <v>1553</v>
      </c>
      <c r="E234" s="170" t="s">
        <v>1384</v>
      </c>
      <c r="F234" s="171"/>
      <c r="G234" s="171"/>
      <c r="H234" s="33">
        <f t="shared" si="160"/>
        <v>0</v>
      </c>
      <c r="I234" s="505"/>
      <c r="J234" s="505">
        <f t="shared" si="163"/>
        <v>0</v>
      </c>
      <c r="K234" s="499"/>
      <c r="L234" s="499">
        <f t="shared" si="164"/>
        <v>0</v>
      </c>
      <c r="M234" s="39">
        <f t="shared" si="165"/>
        <v>0</v>
      </c>
      <c r="N234" s="163">
        <f t="shared" si="161"/>
        <v>0</v>
      </c>
      <c r="O234" s="172">
        <f t="shared" si="186"/>
        <v>0</v>
      </c>
      <c r="P234" s="521"/>
      <c r="Q234" s="521">
        <f t="shared" si="166"/>
        <v>0</v>
      </c>
      <c r="R234" s="526"/>
      <c r="S234" s="526">
        <f t="shared" si="167"/>
        <v>0</v>
      </c>
      <c r="T234" s="39">
        <f t="shared" si="162"/>
        <v>0</v>
      </c>
      <c r="U234" s="163">
        <f>+ROUND(T234*H234,2)</f>
        <v>0</v>
      </c>
      <c r="V234" s="173">
        <f t="shared" si="187"/>
        <v>0</v>
      </c>
      <c r="W234" s="164"/>
      <c r="X234" s="128" t="s">
        <v>1004</v>
      </c>
      <c r="Y234" s="37">
        <f>+ROUND((O234)*(1+SUMIF($Y$2:$Y$4,X234,$Z$2:$Z$4)),0)</f>
        <v>0</v>
      </c>
      <c r="Z234" s="37">
        <f t="shared" si="185"/>
        <v>0</v>
      </c>
      <c r="AA234" s="166"/>
      <c r="AB234" s="38"/>
      <c r="AC234" s="38"/>
    </row>
    <row r="235" spans="1:29" hidden="1" outlineLevel="2" x14ac:dyDescent="0.25">
      <c r="A235" s="158" t="s">
        <v>1163</v>
      </c>
      <c r="B235" s="159" t="str">
        <f>+B234</f>
        <v>3.3/5</v>
      </c>
      <c r="C235" s="168" t="s">
        <v>1487</v>
      </c>
      <c r="D235" s="169" t="s">
        <v>1554</v>
      </c>
      <c r="E235" s="170" t="s">
        <v>1384</v>
      </c>
      <c r="F235" s="171"/>
      <c r="G235" s="171"/>
      <c r="H235" s="33">
        <f t="shared" si="160"/>
        <v>0</v>
      </c>
      <c r="I235" s="505"/>
      <c r="J235" s="505">
        <f t="shared" si="163"/>
        <v>0</v>
      </c>
      <c r="K235" s="499"/>
      <c r="L235" s="499">
        <f t="shared" si="164"/>
        <v>0</v>
      </c>
      <c r="M235" s="39">
        <f t="shared" si="165"/>
        <v>0</v>
      </c>
      <c r="N235" s="163">
        <f t="shared" si="161"/>
        <v>0</v>
      </c>
      <c r="O235" s="172">
        <f t="shared" si="186"/>
        <v>0</v>
      </c>
      <c r="P235" s="521"/>
      <c r="Q235" s="521">
        <f t="shared" si="166"/>
        <v>0</v>
      </c>
      <c r="R235" s="526"/>
      <c r="S235" s="526">
        <f t="shared" si="167"/>
        <v>0</v>
      </c>
      <c r="T235" s="39">
        <f t="shared" si="162"/>
        <v>0</v>
      </c>
      <c r="U235" s="163">
        <f>+ROUND(T235*H235,2)</f>
        <v>0</v>
      </c>
      <c r="V235" s="173">
        <f t="shared" si="187"/>
        <v>0</v>
      </c>
      <c r="W235" s="164"/>
      <c r="X235" s="128" t="s">
        <v>1004</v>
      </c>
      <c r="Y235" s="37">
        <f>+ROUND((O235)*(1+SUMIF($Y$2:$Y$4,X235,$Z$2:$Z$4)),0)</f>
        <v>0</v>
      </c>
      <c r="Z235" s="37">
        <f t="shared" si="185"/>
        <v>0</v>
      </c>
      <c r="AA235" s="166"/>
      <c r="AB235" s="38"/>
      <c r="AC235" s="38"/>
    </row>
    <row r="236" spans="1:29" hidden="1" outlineLevel="2" x14ac:dyDescent="0.25">
      <c r="A236" s="158" t="s">
        <v>1165</v>
      </c>
      <c r="B236" s="159" t="str">
        <f>+B235</f>
        <v>3.3/5</v>
      </c>
      <c r="C236" s="168" t="s">
        <v>1489</v>
      </c>
      <c r="D236" s="169" t="s">
        <v>1490</v>
      </c>
      <c r="E236" s="170" t="s">
        <v>1384</v>
      </c>
      <c r="F236" s="171"/>
      <c r="G236" s="171"/>
      <c r="H236" s="33">
        <f t="shared" si="160"/>
        <v>0</v>
      </c>
      <c r="I236" s="505"/>
      <c r="J236" s="505">
        <f t="shared" si="163"/>
        <v>0</v>
      </c>
      <c r="K236" s="499"/>
      <c r="L236" s="499">
        <f t="shared" si="164"/>
        <v>0</v>
      </c>
      <c r="M236" s="39">
        <f t="shared" si="165"/>
        <v>0</v>
      </c>
      <c r="N236" s="163">
        <f t="shared" si="161"/>
        <v>0</v>
      </c>
      <c r="O236" s="172">
        <f t="shared" si="186"/>
        <v>0</v>
      </c>
      <c r="P236" s="521"/>
      <c r="Q236" s="521">
        <f t="shared" si="166"/>
        <v>0</v>
      </c>
      <c r="R236" s="526"/>
      <c r="S236" s="526">
        <f t="shared" si="167"/>
        <v>0</v>
      </c>
      <c r="T236" s="39">
        <f t="shared" si="162"/>
        <v>0</v>
      </c>
      <c r="U236" s="163">
        <f>+ROUND(T236*H236,2)</f>
        <v>0</v>
      </c>
      <c r="V236" s="173">
        <f t="shared" si="187"/>
        <v>0</v>
      </c>
      <c r="W236" s="164"/>
      <c r="X236" s="128" t="s">
        <v>1004</v>
      </c>
      <c r="Y236" s="37">
        <f>+ROUND((O236)*(1+SUMIF($Y$2:$Y$4,X236,$Z$2:$Z$4)),0)</f>
        <v>0</v>
      </c>
      <c r="Z236" s="37">
        <f t="shared" si="185"/>
        <v>0</v>
      </c>
      <c r="AA236" s="166"/>
      <c r="AB236" s="38"/>
      <c r="AC236" s="38"/>
    </row>
    <row r="237" spans="1:29" hidden="1" outlineLevel="2" x14ac:dyDescent="0.25">
      <c r="A237" s="158" t="s">
        <v>1184</v>
      </c>
      <c r="B237" s="159" t="s">
        <v>261</v>
      </c>
      <c r="C237" s="246">
        <v>3.2</v>
      </c>
      <c r="D237" s="161" t="s">
        <v>157</v>
      </c>
      <c r="E237" s="170" t="s">
        <v>1384</v>
      </c>
      <c r="F237" s="40"/>
      <c r="G237" s="40"/>
      <c r="H237" s="33">
        <f t="shared" si="160"/>
        <v>0</v>
      </c>
      <c r="I237" s="504"/>
      <c r="J237" s="504">
        <f t="shared" si="163"/>
        <v>0</v>
      </c>
      <c r="K237" s="498"/>
      <c r="L237" s="498">
        <f t="shared" si="164"/>
        <v>0</v>
      </c>
      <c r="M237" s="34">
        <f t="shared" si="165"/>
        <v>0</v>
      </c>
      <c r="N237" s="163">
        <f t="shared" si="161"/>
        <v>0</v>
      </c>
      <c r="O237" s="172">
        <f t="shared" si="186"/>
        <v>0</v>
      </c>
      <c r="P237" s="520"/>
      <c r="Q237" s="520">
        <f t="shared" si="166"/>
        <v>0</v>
      </c>
      <c r="R237" s="525"/>
      <c r="S237" s="525">
        <f t="shared" si="167"/>
        <v>0</v>
      </c>
      <c r="T237" s="34">
        <f t="shared" si="162"/>
        <v>0</v>
      </c>
      <c r="U237" s="163">
        <f>+ROUND(T237*H237,2)</f>
        <v>0</v>
      </c>
      <c r="V237" s="173">
        <f t="shared" si="187"/>
        <v>0</v>
      </c>
      <c r="W237" s="164"/>
      <c r="X237" s="128" t="s">
        <v>1004</v>
      </c>
      <c r="Y237" s="37">
        <f>+ROUND((O237)*(1+SUMIF($Y$2:$Y$4,X237,$Z$2:$Z$4)),0)</f>
        <v>0</v>
      </c>
      <c r="Z237" s="37">
        <f t="shared" si="185"/>
        <v>0</v>
      </c>
      <c r="AA237" s="166"/>
      <c r="AB237" s="38"/>
      <c r="AC237" s="38"/>
    </row>
    <row r="238" spans="1:29" hidden="1" outlineLevel="2" x14ac:dyDescent="0.25">
      <c r="A238" s="158" t="s">
        <v>1184</v>
      </c>
      <c r="B238" s="159" t="str">
        <f>+B236</f>
        <v>3.3/5</v>
      </c>
      <c r="C238" s="168" t="s">
        <v>1491</v>
      </c>
      <c r="D238" s="169" t="s">
        <v>1555</v>
      </c>
      <c r="E238" s="170" t="s">
        <v>1384</v>
      </c>
      <c r="F238" s="171"/>
      <c r="G238" s="171"/>
      <c r="H238" s="33">
        <f t="shared" si="160"/>
        <v>0</v>
      </c>
      <c r="I238" s="505"/>
      <c r="J238" s="505">
        <f t="shared" si="163"/>
        <v>0</v>
      </c>
      <c r="K238" s="499"/>
      <c r="L238" s="499">
        <f t="shared" si="164"/>
        <v>0</v>
      </c>
      <c r="M238" s="39">
        <f t="shared" si="165"/>
        <v>0</v>
      </c>
      <c r="N238" s="163">
        <f t="shared" si="161"/>
        <v>0</v>
      </c>
      <c r="O238" s="172">
        <f t="shared" si="186"/>
        <v>0</v>
      </c>
      <c r="P238" s="521"/>
      <c r="Q238" s="521">
        <f t="shared" si="166"/>
        <v>0</v>
      </c>
      <c r="R238" s="526"/>
      <c r="S238" s="526">
        <f t="shared" si="167"/>
        <v>0</v>
      </c>
      <c r="T238" s="39">
        <f t="shared" si="162"/>
        <v>0</v>
      </c>
      <c r="U238" s="163">
        <f>+ROUND(T238*H238,2)</f>
        <v>0</v>
      </c>
      <c r="V238" s="173">
        <f t="shared" si="187"/>
        <v>0</v>
      </c>
      <c r="W238" s="164"/>
      <c r="X238" s="128" t="s">
        <v>1004</v>
      </c>
      <c r="Y238" s="37">
        <f>+ROUND((O238)*(1+SUMIF($Y$2:$Y$4,X238,$Z$2:$Z$4)),0)</f>
        <v>0</v>
      </c>
      <c r="Z238" s="37">
        <f t="shared" si="185"/>
        <v>0</v>
      </c>
      <c r="AA238" s="166"/>
      <c r="AB238" s="38"/>
      <c r="AC238" s="38"/>
    </row>
    <row r="239" spans="1:29" hidden="1" outlineLevel="2" x14ac:dyDescent="0.25">
      <c r="A239" s="158" t="s">
        <v>1180</v>
      </c>
      <c r="B239" s="159" t="str">
        <f>+B240</f>
        <v>3.3/5</v>
      </c>
      <c r="C239" s="168" t="s">
        <v>1493</v>
      </c>
      <c r="D239" s="169" t="s">
        <v>1556</v>
      </c>
      <c r="E239" s="170" t="s">
        <v>1384</v>
      </c>
      <c r="F239" s="171"/>
      <c r="G239" s="171"/>
      <c r="H239" s="33">
        <f t="shared" si="160"/>
        <v>0</v>
      </c>
      <c r="I239" s="505"/>
      <c r="J239" s="505">
        <f t="shared" si="163"/>
        <v>0</v>
      </c>
      <c r="K239" s="499"/>
      <c r="L239" s="499">
        <f t="shared" si="164"/>
        <v>0</v>
      </c>
      <c r="M239" s="39">
        <f t="shared" si="165"/>
        <v>0</v>
      </c>
      <c r="N239" s="163">
        <f t="shared" si="161"/>
        <v>0</v>
      </c>
      <c r="O239" s="172">
        <f t="shared" si="186"/>
        <v>0</v>
      </c>
      <c r="P239" s="521"/>
      <c r="Q239" s="521">
        <f t="shared" si="166"/>
        <v>0</v>
      </c>
      <c r="R239" s="526"/>
      <c r="S239" s="526">
        <f t="shared" si="167"/>
        <v>0</v>
      </c>
      <c r="T239" s="39">
        <f t="shared" si="162"/>
        <v>0</v>
      </c>
      <c r="U239" s="163">
        <f>+ROUND(T239*H239,2)</f>
        <v>0</v>
      </c>
      <c r="V239" s="173">
        <f t="shared" si="187"/>
        <v>0</v>
      </c>
      <c r="W239" s="164"/>
      <c r="X239" s="128" t="s">
        <v>1004</v>
      </c>
      <c r="Y239" s="37">
        <f>+ROUND((O239)*(1+SUMIF($Y$2:$Y$4,X239,$Z$2:$Z$4)),0)</f>
        <v>0</v>
      </c>
      <c r="Z239" s="37">
        <f t="shared" si="185"/>
        <v>0</v>
      </c>
      <c r="AA239" s="166"/>
      <c r="AB239" s="38"/>
      <c r="AC239" s="38"/>
    </row>
    <row r="240" spans="1:29" hidden="1" outlineLevel="2" x14ac:dyDescent="0.25">
      <c r="A240" s="158" t="s">
        <v>1184</v>
      </c>
      <c r="B240" s="159" t="str">
        <f>+B238</f>
        <v>3.3/5</v>
      </c>
      <c r="C240" s="168" t="s">
        <v>1495</v>
      </c>
      <c r="D240" s="169" t="s">
        <v>1557</v>
      </c>
      <c r="E240" s="170" t="s">
        <v>1384</v>
      </c>
      <c r="F240" s="171"/>
      <c r="G240" s="171"/>
      <c r="H240" s="33">
        <f t="shared" si="160"/>
        <v>0</v>
      </c>
      <c r="I240" s="505"/>
      <c r="J240" s="505">
        <f t="shared" si="163"/>
        <v>0</v>
      </c>
      <c r="K240" s="499"/>
      <c r="L240" s="499">
        <f t="shared" si="164"/>
        <v>0</v>
      </c>
      <c r="M240" s="39">
        <f t="shared" si="165"/>
        <v>0</v>
      </c>
      <c r="N240" s="163">
        <f t="shared" si="161"/>
        <v>0</v>
      </c>
      <c r="O240" s="172">
        <f t="shared" si="186"/>
        <v>0</v>
      </c>
      <c r="P240" s="521"/>
      <c r="Q240" s="521">
        <f t="shared" si="166"/>
        <v>0</v>
      </c>
      <c r="R240" s="526"/>
      <c r="S240" s="526">
        <f t="shared" si="167"/>
        <v>0</v>
      </c>
      <c r="T240" s="39">
        <f t="shared" si="162"/>
        <v>0</v>
      </c>
      <c r="U240" s="163">
        <f>+ROUND(T240*H240,2)</f>
        <v>0</v>
      </c>
      <c r="V240" s="173">
        <f t="shared" si="187"/>
        <v>0</v>
      </c>
      <c r="W240" s="164"/>
      <c r="X240" s="128" t="s">
        <v>1004</v>
      </c>
      <c r="Y240" s="37">
        <f>+ROUND((O240)*(1+SUMIF($Y$2:$Y$4,X240,$Z$2:$Z$4)),0)</f>
        <v>0</v>
      </c>
      <c r="Z240" s="37">
        <f t="shared" si="185"/>
        <v>0</v>
      </c>
      <c r="AA240" s="166"/>
      <c r="AB240" s="38"/>
      <c r="AC240" s="38"/>
    </row>
    <row r="241" spans="1:29" hidden="1" outlineLevel="2" x14ac:dyDescent="0.25">
      <c r="A241" s="158" t="s">
        <v>1191</v>
      </c>
      <c r="B241" s="159" t="s">
        <v>261</v>
      </c>
      <c r="C241" s="246">
        <v>3.3</v>
      </c>
      <c r="D241" s="161" t="s">
        <v>166</v>
      </c>
      <c r="E241" s="170" t="s">
        <v>1384</v>
      </c>
      <c r="F241" s="40"/>
      <c r="G241" s="40"/>
      <c r="H241" s="33">
        <f t="shared" si="160"/>
        <v>0</v>
      </c>
      <c r="I241" s="504"/>
      <c r="J241" s="504">
        <f t="shared" si="163"/>
        <v>0</v>
      </c>
      <c r="K241" s="498"/>
      <c r="L241" s="498">
        <f t="shared" si="164"/>
        <v>0</v>
      </c>
      <c r="M241" s="34">
        <f t="shared" si="165"/>
        <v>0</v>
      </c>
      <c r="N241" s="163">
        <f t="shared" si="161"/>
        <v>0</v>
      </c>
      <c r="O241" s="172">
        <f t="shared" si="186"/>
        <v>0</v>
      </c>
      <c r="P241" s="520"/>
      <c r="Q241" s="520">
        <f t="shared" si="166"/>
        <v>0</v>
      </c>
      <c r="R241" s="525"/>
      <c r="S241" s="525">
        <f t="shared" si="167"/>
        <v>0</v>
      </c>
      <c r="T241" s="34">
        <f t="shared" si="162"/>
        <v>0</v>
      </c>
      <c r="U241" s="163">
        <f>+ROUND(T241*H241,2)</f>
        <v>0</v>
      </c>
      <c r="V241" s="173">
        <f t="shared" si="187"/>
        <v>0</v>
      </c>
      <c r="W241" s="164"/>
      <c r="X241" s="128" t="s">
        <v>1004</v>
      </c>
      <c r="Y241" s="37">
        <f>+ROUND((O241)*(1+SUMIF($Y$2:$Y$4,X241,$Z$2:$Z$4)),0)</f>
        <v>0</v>
      </c>
      <c r="Z241" s="37">
        <f t="shared" si="185"/>
        <v>0</v>
      </c>
      <c r="AA241" s="166"/>
      <c r="AB241" s="38"/>
      <c r="AC241" s="38"/>
    </row>
    <row r="242" spans="1:29" hidden="1" outlineLevel="2" x14ac:dyDescent="0.25">
      <c r="A242" s="158" t="s">
        <v>1191</v>
      </c>
      <c r="B242" s="159" t="str">
        <f>+B239</f>
        <v>3.3/5</v>
      </c>
      <c r="C242" s="168" t="s">
        <v>1497</v>
      </c>
      <c r="D242" s="169" t="s">
        <v>1558</v>
      </c>
      <c r="E242" s="170" t="s">
        <v>1384</v>
      </c>
      <c r="F242" s="171"/>
      <c r="G242" s="171"/>
      <c r="H242" s="33">
        <f t="shared" si="160"/>
        <v>0</v>
      </c>
      <c r="I242" s="505"/>
      <c r="J242" s="505">
        <f t="shared" si="163"/>
        <v>0</v>
      </c>
      <c r="K242" s="499"/>
      <c r="L242" s="499">
        <f t="shared" si="164"/>
        <v>0</v>
      </c>
      <c r="M242" s="39">
        <f t="shared" si="165"/>
        <v>0</v>
      </c>
      <c r="N242" s="163">
        <f t="shared" si="161"/>
        <v>0</v>
      </c>
      <c r="O242" s="172">
        <f t="shared" si="186"/>
        <v>0</v>
      </c>
      <c r="P242" s="521"/>
      <c r="Q242" s="521">
        <f t="shared" si="166"/>
        <v>0</v>
      </c>
      <c r="R242" s="526"/>
      <c r="S242" s="526">
        <f t="shared" si="167"/>
        <v>0</v>
      </c>
      <c r="T242" s="39">
        <f t="shared" ref="T242:T305" si="188">+Q242+S242</f>
        <v>0</v>
      </c>
      <c r="U242" s="163">
        <f>+ROUND(T242*H242,2)</f>
        <v>0</v>
      </c>
      <c r="V242" s="173">
        <f t="shared" si="187"/>
        <v>0</v>
      </c>
      <c r="W242" s="164"/>
      <c r="X242" s="128" t="s">
        <v>1004</v>
      </c>
      <c r="Y242" s="37">
        <f>+ROUND((O242)*(1+SUMIF($Y$2:$Y$4,X242,$Z$2:$Z$4)),0)</f>
        <v>0</v>
      </c>
      <c r="Z242" s="37">
        <f t="shared" si="185"/>
        <v>0</v>
      </c>
      <c r="AA242" s="166"/>
      <c r="AB242" s="38"/>
      <c r="AC242" s="38"/>
    </row>
    <row r="243" spans="1:29" hidden="1" outlineLevel="2" x14ac:dyDescent="0.25">
      <c r="A243" s="158" t="s">
        <v>1189</v>
      </c>
      <c r="B243" s="159" t="str">
        <f>+B242</f>
        <v>3.3/5</v>
      </c>
      <c r="C243" s="168" t="s">
        <v>1499</v>
      </c>
      <c r="D243" s="169" t="s">
        <v>1498</v>
      </c>
      <c r="E243" s="170" t="s">
        <v>1384</v>
      </c>
      <c r="F243" s="171"/>
      <c r="G243" s="171"/>
      <c r="H243" s="33">
        <f t="shared" si="160"/>
        <v>0</v>
      </c>
      <c r="I243" s="505"/>
      <c r="J243" s="505">
        <f t="shared" ref="J243:J306" si="189">+I243*$J$5</f>
        <v>0</v>
      </c>
      <c r="K243" s="499"/>
      <c r="L243" s="499">
        <f t="shared" ref="L243:L306" si="190">+K243*$L$5</f>
        <v>0</v>
      </c>
      <c r="M243" s="39">
        <f t="shared" ref="M243:M306" si="191">+J243+L243</f>
        <v>0</v>
      </c>
      <c r="N243" s="163">
        <f t="shared" si="161"/>
        <v>0</v>
      </c>
      <c r="O243" s="172">
        <f t="shared" si="186"/>
        <v>0</v>
      </c>
      <c r="P243" s="521"/>
      <c r="Q243" s="521">
        <f t="shared" ref="Q243:Q306" si="192">+P243*$Q$5</f>
        <v>0</v>
      </c>
      <c r="R243" s="526"/>
      <c r="S243" s="526">
        <f t="shared" ref="S243:S306" si="193">+R243*$S$5</f>
        <v>0</v>
      </c>
      <c r="T243" s="39">
        <f t="shared" si="188"/>
        <v>0</v>
      </c>
      <c r="U243" s="163">
        <f>+ROUND(T243*H243,2)</f>
        <v>0</v>
      </c>
      <c r="V243" s="173">
        <f t="shared" si="187"/>
        <v>0</v>
      </c>
      <c r="W243" s="164"/>
      <c r="X243" s="128" t="s">
        <v>1004</v>
      </c>
      <c r="Y243" s="37">
        <f>+ROUND((O243)*(1+SUMIF($Y$2:$Y$4,X243,$Z$2:$Z$4)),0)</f>
        <v>0</v>
      </c>
      <c r="Z243" s="37">
        <f t="shared" si="185"/>
        <v>0</v>
      </c>
      <c r="AA243" s="166"/>
      <c r="AB243" s="38"/>
      <c r="AC243" s="38"/>
    </row>
    <row r="244" spans="1:29" hidden="1" outlineLevel="2" x14ac:dyDescent="0.25">
      <c r="A244" s="158" t="s">
        <v>1189</v>
      </c>
      <c r="B244" s="159" t="str">
        <f>+B243</f>
        <v>3.3/5</v>
      </c>
      <c r="C244" s="168" t="s">
        <v>1501</v>
      </c>
      <c r="D244" s="169" t="s">
        <v>1559</v>
      </c>
      <c r="E244" s="170" t="s">
        <v>1384</v>
      </c>
      <c r="F244" s="171"/>
      <c r="G244" s="171"/>
      <c r="H244" s="33">
        <f t="shared" si="160"/>
        <v>0</v>
      </c>
      <c r="I244" s="505"/>
      <c r="J244" s="505">
        <f t="shared" si="189"/>
        <v>0</v>
      </c>
      <c r="K244" s="499"/>
      <c r="L244" s="499">
        <f t="shared" si="190"/>
        <v>0</v>
      </c>
      <c r="M244" s="39">
        <f t="shared" si="191"/>
        <v>0</v>
      </c>
      <c r="N244" s="163">
        <f t="shared" si="161"/>
        <v>0</v>
      </c>
      <c r="O244" s="172">
        <f t="shared" si="186"/>
        <v>0</v>
      </c>
      <c r="P244" s="521"/>
      <c r="Q244" s="521">
        <f t="shared" si="192"/>
        <v>0</v>
      </c>
      <c r="R244" s="526"/>
      <c r="S244" s="526">
        <f t="shared" si="193"/>
        <v>0</v>
      </c>
      <c r="T244" s="39">
        <f t="shared" si="188"/>
        <v>0</v>
      </c>
      <c r="U244" s="163">
        <f>+ROUND(T244*H244,2)</f>
        <v>0</v>
      </c>
      <c r="V244" s="173">
        <f t="shared" si="187"/>
        <v>0</v>
      </c>
      <c r="W244" s="164"/>
      <c r="X244" s="128" t="s">
        <v>1004</v>
      </c>
      <c r="Y244" s="37">
        <f>+ROUND((O244)*(1+SUMIF($Y$2:$Y$4,X244,$Z$2:$Z$4)),0)</f>
        <v>0</v>
      </c>
      <c r="Z244" s="37">
        <f t="shared" si="185"/>
        <v>0</v>
      </c>
      <c r="AA244" s="166"/>
      <c r="AB244" s="38"/>
      <c r="AC244" s="38"/>
    </row>
    <row r="245" spans="1:29" hidden="1" outlineLevel="2" x14ac:dyDescent="0.25">
      <c r="A245" s="158" t="s">
        <v>1189</v>
      </c>
      <c r="B245" s="159" t="str">
        <f>+B244</f>
        <v>3.3/5</v>
      </c>
      <c r="C245" s="168" t="s">
        <v>1560</v>
      </c>
      <c r="D245" s="169" t="s">
        <v>1561</v>
      </c>
      <c r="E245" s="170" t="s">
        <v>1384</v>
      </c>
      <c r="F245" s="171"/>
      <c r="G245" s="171"/>
      <c r="H245" s="33">
        <f t="shared" ref="H245:H313" si="194">+SUM(F245:G245)</f>
        <v>0</v>
      </c>
      <c r="I245" s="505"/>
      <c r="J245" s="505">
        <f t="shared" si="189"/>
        <v>0</v>
      </c>
      <c r="K245" s="499"/>
      <c r="L245" s="499">
        <f t="shared" si="190"/>
        <v>0</v>
      </c>
      <c r="M245" s="39">
        <f t="shared" si="191"/>
        <v>0</v>
      </c>
      <c r="N245" s="163">
        <f t="shared" ref="N245:N313" si="195">+ROUND(M245*H245,2)</f>
        <v>0</v>
      </c>
      <c r="O245" s="172">
        <f t="shared" si="186"/>
        <v>0</v>
      </c>
      <c r="P245" s="521"/>
      <c r="Q245" s="521">
        <f t="shared" si="192"/>
        <v>0</v>
      </c>
      <c r="R245" s="526"/>
      <c r="S245" s="526">
        <f t="shared" si="193"/>
        <v>0</v>
      </c>
      <c r="T245" s="39">
        <f t="shared" si="188"/>
        <v>0</v>
      </c>
      <c r="U245" s="163">
        <f>+ROUND(T245*H245,2)</f>
        <v>0</v>
      </c>
      <c r="V245" s="173">
        <f t="shared" si="187"/>
        <v>0</v>
      </c>
      <c r="W245" s="164"/>
      <c r="X245" s="128" t="s">
        <v>1004</v>
      </c>
      <c r="Y245" s="37">
        <f>+ROUND((O245)*(1+SUMIF($Y$2:$Y$4,X245,$Z$2:$Z$4)),0)</f>
        <v>0</v>
      </c>
      <c r="Z245" s="37">
        <f t="shared" si="185"/>
        <v>0</v>
      </c>
      <c r="AA245" s="166"/>
      <c r="AB245" s="38"/>
      <c r="AC245" s="38"/>
    </row>
    <row r="246" spans="1:29" hidden="1" outlineLevel="1" x14ac:dyDescent="0.25">
      <c r="A246" s="506" t="s">
        <v>1022</v>
      </c>
      <c r="B246" s="507" t="str">
        <f>+B245</f>
        <v>3.3/5</v>
      </c>
      <c r="C246" s="508"/>
      <c r="D246" s="509" t="s">
        <v>1023</v>
      </c>
      <c r="E246" s="510"/>
      <c r="F246" s="511"/>
      <c r="G246" s="511"/>
      <c r="H246" s="512">
        <f t="shared" si="194"/>
        <v>0</v>
      </c>
      <c r="I246" s="512"/>
      <c r="J246" s="512">
        <f t="shared" si="189"/>
        <v>0</v>
      </c>
      <c r="K246" s="512"/>
      <c r="L246" s="512">
        <f t="shared" si="190"/>
        <v>0</v>
      </c>
      <c r="M246" s="512">
        <f t="shared" si="191"/>
        <v>0</v>
      </c>
      <c r="N246" s="512">
        <f>SUM(N231:N245)</f>
        <v>0</v>
      </c>
      <c r="O246" s="513">
        <f>SUM(O231:O245)</f>
        <v>0</v>
      </c>
      <c r="P246" s="512"/>
      <c r="Q246" s="512">
        <f t="shared" si="192"/>
        <v>0</v>
      </c>
      <c r="R246" s="512"/>
      <c r="S246" s="512">
        <f t="shared" si="193"/>
        <v>0</v>
      </c>
      <c r="T246" s="512">
        <f t="shared" si="188"/>
        <v>0</v>
      </c>
      <c r="U246" s="512">
        <f>SUM(U231:U245)</f>
        <v>0</v>
      </c>
      <c r="V246" s="513">
        <f>SUM(V231:V245)</f>
        <v>0</v>
      </c>
      <c r="W246" s="507"/>
      <c r="X246" s="514" t="s">
        <v>1004</v>
      </c>
      <c r="Y246" s="513">
        <f t="shared" ref="Y246:Z246" si="196">SUM(Y231:Y245)</f>
        <v>0</v>
      </c>
      <c r="Z246" s="513">
        <f t="shared" si="196"/>
        <v>0</v>
      </c>
      <c r="AA246" s="166"/>
      <c r="AB246" s="38"/>
      <c r="AC246" s="38"/>
    </row>
    <row r="247" spans="1:29" hidden="1" outlineLevel="1" x14ac:dyDescent="0.25">
      <c r="A247" s="158" t="s">
        <v>1242</v>
      </c>
      <c r="B247" s="159" t="s">
        <v>269</v>
      </c>
      <c r="C247" s="247">
        <v>4</v>
      </c>
      <c r="D247" s="161" t="s">
        <v>1504</v>
      </c>
      <c r="E247" s="170" t="s">
        <v>1384</v>
      </c>
      <c r="F247" s="40"/>
      <c r="G247" s="40"/>
      <c r="H247" s="33">
        <f t="shared" ref="H247" si="197">+SUM(F247:G247)</f>
        <v>0</v>
      </c>
      <c r="I247" s="504"/>
      <c r="J247" s="504">
        <f t="shared" si="189"/>
        <v>0</v>
      </c>
      <c r="K247" s="498"/>
      <c r="L247" s="498">
        <f t="shared" si="190"/>
        <v>0</v>
      </c>
      <c r="M247" s="34">
        <f t="shared" si="191"/>
        <v>0</v>
      </c>
      <c r="N247" s="163">
        <f t="shared" ref="N247" si="198">+ROUND(M247*H247,2)</f>
        <v>0</v>
      </c>
      <c r="O247" s="172">
        <f t="shared" ref="O247" si="199">N247</f>
        <v>0</v>
      </c>
      <c r="P247" s="520"/>
      <c r="Q247" s="520">
        <f t="shared" si="192"/>
        <v>0</v>
      </c>
      <c r="R247" s="525"/>
      <c r="S247" s="525">
        <f t="shared" si="193"/>
        <v>0</v>
      </c>
      <c r="T247" s="34">
        <f t="shared" si="188"/>
        <v>0</v>
      </c>
      <c r="U247" s="163">
        <f>+ROUND(T247*H247,2)</f>
        <v>0</v>
      </c>
      <c r="V247" s="173">
        <f t="shared" ref="V247" si="200">U247</f>
        <v>0</v>
      </c>
      <c r="W247" s="164"/>
      <c r="X247" s="128" t="s">
        <v>1004</v>
      </c>
      <c r="Y247" s="37">
        <f>+ROUND((O247)*(1+SUMIF($Y$2:$Y$4,X247,$Z$2:$Z$4)),0)</f>
        <v>0</v>
      </c>
      <c r="Z247" s="37">
        <f t="shared" ref="Z247:Z260" si="201">+ROUND((V247)*(1+SUMIF($Y$2:$Y$4,X247,$Z$2:$Z$4)),0)</f>
        <v>0</v>
      </c>
      <c r="AA247" s="166"/>
      <c r="AB247" s="38"/>
      <c r="AC247" s="38"/>
    </row>
    <row r="248" spans="1:29" hidden="1" outlineLevel="2" x14ac:dyDescent="0.25">
      <c r="A248" s="158" t="s">
        <v>1242</v>
      </c>
      <c r="B248" s="159" t="str">
        <f>+B247</f>
        <v>3.3/6</v>
      </c>
      <c r="C248" s="246">
        <v>4.0999999999999996</v>
      </c>
      <c r="D248" s="161" t="s">
        <v>1308</v>
      </c>
      <c r="E248" s="170" t="s">
        <v>1384</v>
      </c>
      <c r="F248" s="40"/>
      <c r="G248" s="40"/>
      <c r="H248" s="33">
        <f t="shared" si="194"/>
        <v>0</v>
      </c>
      <c r="I248" s="504"/>
      <c r="J248" s="504">
        <f t="shared" si="189"/>
        <v>0</v>
      </c>
      <c r="K248" s="498"/>
      <c r="L248" s="498">
        <f t="shared" si="190"/>
        <v>0</v>
      </c>
      <c r="M248" s="34">
        <f t="shared" si="191"/>
        <v>0</v>
      </c>
      <c r="N248" s="163">
        <f t="shared" si="195"/>
        <v>0</v>
      </c>
      <c r="O248" s="172">
        <f t="shared" ref="O248:O260" si="202">N248</f>
        <v>0</v>
      </c>
      <c r="P248" s="520"/>
      <c r="Q248" s="520">
        <f t="shared" si="192"/>
        <v>0</v>
      </c>
      <c r="R248" s="525"/>
      <c r="S248" s="525">
        <f t="shared" si="193"/>
        <v>0</v>
      </c>
      <c r="T248" s="34">
        <f t="shared" si="188"/>
        <v>0</v>
      </c>
      <c r="U248" s="163">
        <f>+ROUND(T248*H248,2)</f>
        <v>0</v>
      </c>
      <c r="V248" s="173">
        <f t="shared" ref="V248:V260" si="203">U248</f>
        <v>0</v>
      </c>
      <c r="W248" s="164"/>
      <c r="X248" s="128" t="s">
        <v>1004</v>
      </c>
      <c r="Y248" s="37">
        <f>+ROUND((O248)*(1+SUMIF($Y$2:$Y$4,X248,$Z$2:$Z$4)),0)</f>
        <v>0</v>
      </c>
      <c r="Z248" s="37">
        <f t="shared" si="201"/>
        <v>0</v>
      </c>
      <c r="AA248" s="166"/>
      <c r="AB248" s="38"/>
      <c r="AC248" s="38"/>
    </row>
    <row r="249" spans="1:29" hidden="1" outlineLevel="2" x14ac:dyDescent="0.25">
      <c r="A249" s="158" t="s">
        <v>1242</v>
      </c>
      <c r="B249" s="159" t="str">
        <f>+B248</f>
        <v>3.3/6</v>
      </c>
      <c r="C249" s="168" t="s">
        <v>1506</v>
      </c>
      <c r="D249" s="169" t="s">
        <v>1562</v>
      </c>
      <c r="E249" s="170" t="s">
        <v>1384</v>
      </c>
      <c r="F249" s="171"/>
      <c r="G249" s="171"/>
      <c r="H249" s="33">
        <f t="shared" si="194"/>
        <v>0</v>
      </c>
      <c r="I249" s="505"/>
      <c r="J249" s="505">
        <f t="shared" si="189"/>
        <v>0</v>
      </c>
      <c r="K249" s="499"/>
      <c r="L249" s="499">
        <f t="shared" si="190"/>
        <v>0</v>
      </c>
      <c r="M249" s="39">
        <f t="shared" si="191"/>
        <v>0</v>
      </c>
      <c r="N249" s="163">
        <f t="shared" si="195"/>
        <v>0</v>
      </c>
      <c r="O249" s="172">
        <f t="shared" si="202"/>
        <v>0</v>
      </c>
      <c r="P249" s="521"/>
      <c r="Q249" s="521">
        <f t="shared" si="192"/>
        <v>0</v>
      </c>
      <c r="R249" s="526"/>
      <c r="S249" s="526">
        <f t="shared" si="193"/>
        <v>0</v>
      </c>
      <c r="T249" s="39">
        <f t="shared" si="188"/>
        <v>0</v>
      </c>
      <c r="U249" s="163">
        <f>+ROUND(T249*H249,2)</f>
        <v>0</v>
      </c>
      <c r="V249" s="173">
        <f t="shared" si="203"/>
        <v>0</v>
      </c>
      <c r="W249" s="164"/>
      <c r="X249" s="128" t="s">
        <v>1004</v>
      </c>
      <c r="Y249" s="37">
        <f>+ROUND((O249)*(1+SUMIF($Y$2:$Y$4,X249,$Z$2:$Z$4)),0)</f>
        <v>0</v>
      </c>
      <c r="Z249" s="37">
        <f t="shared" si="201"/>
        <v>0</v>
      </c>
      <c r="AA249" s="166"/>
      <c r="AB249" s="38"/>
      <c r="AC249" s="38"/>
    </row>
    <row r="250" spans="1:29" hidden="1" outlineLevel="2" x14ac:dyDescent="0.25">
      <c r="A250" s="158" t="s">
        <v>1328</v>
      </c>
      <c r="B250" s="159" t="str">
        <f>+B249</f>
        <v>3.3/6</v>
      </c>
      <c r="C250" s="168" t="s">
        <v>1508</v>
      </c>
      <c r="D250" s="169" t="s">
        <v>1563</v>
      </c>
      <c r="E250" s="170" t="s">
        <v>1384</v>
      </c>
      <c r="F250" s="171"/>
      <c r="G250" s="171"/>
      <c r="H250" s="33">
        <f t="shared" si="194"/>
        <v>0</v>
      </c>
      <c r="I250" s="505"/>
      <c r="J250" s="505">
        <f t="shared" si="189"/>
        <v>0</v>
      </c>
      <c r="K250" s="499"/>
      <c r="L250" s="499">
        <f t="shared" si="190"/>
        <v>0</v>
      </c>
      <c r="M250" s="39">
        <f t="shared" si="191"/>
        <v>0</v>
      </c>
      <c r="N250" s="163">
        <f t="shared" si="195"/>
        <v>0</v>
      </c>
      <c r="O250" s="172">
        <f t="shared" si="202"/>
        <v>0</v>
      </c>
      <c r="P250" s="521"/>
      <c r="Q250" s="521">
        <f t="shared" si="192"/>
        <v>0</v>
      </c>
      <c r="R250" s="526"/>
      <c r="S250" s="526">
        <f t="shared" si="193"/>
        <v>0</v>
      </c>
      <c r="T250" s="39">
        <f t="shared" si="188"/>
        <v>0</v>
      </c>
      <c r="U250" s="163">
        <f>+ROUND(T250*H250,2)</f>
        <v>0</v>
      </c>
      <c r="V250" s="173">
        <f t="shared" si="203"/>
        <v>0</v>
      </c>
      <c r="W250" s="164"/>
      <c r="X250" s="128" t="s">
        <v>1004</v>
      </c>
      <c r="Y250" s="37">
        <f>+ROUND((O250)*(1+SUMIF($Y$2:$Y$4,X250,$Z$2:$Z$4)),0)</f>
        <v>0</v>
      </c>
      <c r="Z250" s="37">
        <f t="shared" si="201"/>
        <v>0</v>
      </c>
      <c r="AA250" s="166"/>
      <c r="AB250" s="38"/>
      <c r="AC250" s="38"/>
    </row>
    <row r="251" spans="1:29" ht="72" hidden="1" outlineLevel="2" x14ac:dyDescent="0.25">
      <c r="A251" s="158" t="s">
        <v>1308</v>
      </c>
      <c r="B251" s="159" t="str">
        <f>+B250</f>
        <v>3.3/6</v>
      </c>
      <c r="C251" s="168" t="s">
        <v>1510</v>
      </c>
      <c r="D251" s="169" t="s">
        <v>1564</v>
      </c>
      <c r="E251" s="170" t="s">
        <v>1384</v>
      </c>
      <c r="F251" s="171"/>
      <c r="G251" s="171"/>
      <c r="H251" s="33">
        <f t="shared" si="194"/>
        <v>0</v>
      </c>
      <c r="I251" s="505"/>
      <c r="J251" s="505">
        <f t="shared" si="189"/>
        <v>0</v>
      </c>
      <c r="K251" s="499"/>
      <c r="L251" s="499">
        <f t="shared" si="190"/>
        <v>0</v>
      </c>
      <c r="M251" s="39">
        <f t="shared" si="191"/>
        <v>0</v>
      </c>
      <c r="N251" s="163">
        <f t="shared" si="195"/>
        <v>0</v>
      </c>
      <c r="O251" s="172">
        <f t="shared" si="202"/>
        <v>0</v>
      </c>
      <c r="P251" s="521"/>
      <c r="Q251" s="521">
        <f t="shared" si="192"/>
        <v>0</v>
      </c>
      <c r="R251" s="526"/>
      <c r="S251" s="526">
        <f t="shared" si="193"/>
        <v>0</v>
      </c>
      <c r="T251" s="39">
        <f t="shared" si="188"/>
        <v>0</v>
      </c>
      <c r="U251" s="163">
        <f>+ROUND(T251*H251,2)</f>
        <v>0</v>
      </c>
      <c r="V251" s="173">
        <f t="shared" si="203"/>
        <v>0</v>
      </c>
      <c r="W251" s="164"/>
      <c r="X251" s="128" t="s">
        <v>1004</v>
      </c>
      <c r="Y251" s="37">
        <f>+ROUND((O251)*(1+SUMIF($Y$2:$Y$4,X251,$Z$2:$Z$4)),0)</f>
        <v>0</v>
      </c>
      <c r="Z251" s="37">
        <f t="shared" si="201"/>
        <v>0</v>
      </c>
      <c r="AA251" s="166"/>
      <c r="AB251" s="38"/>
      <c r="AC251" s="38"/>
    </row>
    <row r="252" spans="1:29" ht="24" hidden="1" outlineLevel="2" x14ac:dyDescent="0.25">
      <c r="A252" s="158" t="s">
        <v>1247</v>
      </c>
      <c r="B252" s="159" t="str">
        <f>+B251</f>
        <v>3.3/6</v>
      </c>
      <c r="C252" s="168" t="s">
        <v>1565</v>
      </c>
      <c r="D252" s="169" t="s">
        <v>1566</v>
      </c>
      <c r="E252" s="170" t="s">
        <v>1384</v>
      </c>
      <c r="F252" s="171"/>
      <c r="G252" s="171"/>
      <c r="H252" s="33">
        <f t="shared" si="194"/>
        <v>0</v>
      </c>
      <c r="I252" s="505"/>
      <c r="J252" s="505">
        <f t="shared" si="189"/>
        <v>0</v>
      </c>
      <c r="K252" s="499"/>
      <c r="L252" s="499">
        <f t="shared" si="190"/>
        <v>0</v>
      </c>
      <c r="M252" s="39">
        <f t="shared" si="191"/>
        <v>0</v>
      </c>
      <c r="N252" s="163">
        <f t="shared" si="195"/>
        <v>0</v>
      </c>
      <c r="O252" s="172">
        <f t="shared" si="202"/>
        <v>0</v>
      </c>
      <c r="P252" s="521"/>
      <c r="Q252" s="521">
        <f t="shared" si="192"/>
        <v>0</v>
      </c>
      <c r="R252" s="526"/>
      <c r="S252" s="526">
        <f t="shared" si="193"/>
        <v>0</v>
      </c>
      <c r="T252" s="39">
        <f t="shared" si="188"/>
        <v>0</v>
      </c>
      <c r="U252" s="163">
        <f>+ROUND(T252*H252,2)</f>
        <v>0</v>
      </c>
      <c r="V252" s="173">
        <f t="shared" si="203"/>
        <v>0</v>
      </c>
      <c r="W252" s="164"/>
      <c r="X252" s="128" t="s">
        <v>1004</v>
      </c>
      <c r="Y252" s="37">
        <f>+ROUND((O252)*(1+SUMIF($Y$2:$Y$4,X252,$Z$2:$Z$4)),0)</f>
        <v>0</v>
      </c>
      <c r="Z252" s="37">
        <f t="shared" si="201"/>
        <v>0</v>
      </c>
      <c r="AA252" s="166"/>
      <c r="AB252" s="38"/>
      <c r="AC252" s="38"/>
    </row>
    <row r="253" spans="1:29" hidden="1" outlineLevel="2" x14ac:dyDescent="0.25">
      <c r="A253" s="158" t="s">
        <v>1240</v>
      </c>
      <c r="B253" s="159" t="s">
        <v>269</v>
      </c>
      <c r="C253" s="246">
        <v>4.2</v>
      </c>
      <c r="D253" s="161" t="s">
        <v>1567</v>
      </c>
      <c r="E253" s="170" t="s">
        <v>1384</v>
      </c>
      <c r="F253" s="40"/>
      <c r="G253" s="40"/>
      <c r="H253" s="33">
        <f t="shared" si="194"/>
        <v>0</v>
      </c>
      <c r="I253" s="504"/>
      <c r="J253" s="504">
        <f t="shared" si="189"/>
        <v>0</v>
      </c>
      <c r="K253" s="498"/>
      <c r="L253" s="498">
        <f t="shared" si="190"/>
        <v>0</v>
      </c>
      <c r="M253" s="34">
        <f t="shared" si="191"/>
        <v>0</v>
      </c>
      <c r="N253" s="163">
        <f t="shared" si="195"/>
        <v>0</v>
      </c>
      <c r="O253" s="172">
        <f t="shared" si="202"/>
        <v>0</v>
      </c>
      <c r="P253" s="520"/>
      <c r="Q253" s="520">
        <f t="shared" si="192"/>
        <v>0</v>
      </c>
      <c r="R253" s="525"/>
      <c r="S253" s="525">
        <f t="shared" si="193"/>
        <v>0</v>
      </c>
      <c r="T253" s="34">
        <f t="shared" si="188"/>
        <v>0</v>
      </c>
      <c r="U253" s="163">
        <f>+ROUND(T253*H253,2)</f>
        <v>0</v>
      </c>
      <c r="V253" s="173">
        <f t="shared" si="203"/>
        <v>0</v>
      </c>
      <c r="W253" s="164"/>
      <c r="X253" s="128" t="s">
        <v>1004</v>
      </c>
      <c r="Y253" s="37">
        <f>+ROUND((O253)*(1+SUMIF($Y$2:$Y$4,X253,$Z$2:$Z$4)),0)</f>
        <v>0</v>
      </c>
      <c r="Z253" s="37">
        <f t="shared" si="201"/>
        <v>0</v>
      </c>
      <c r="AA253" s="166"/>
      <c r="AB253" s="38"/>
      <c r="AC253" s="38"/>
    </row>
    <row r="254" spans="1:29" ht="24" hidden="1" outlineLevel="2" x14ac:dyDescent="0.25">
      <c r="A254" s="158" t="s">
        <v>1240</v>
      </c>
      <c r="B254" s="159" t="str">
        <f>+B252</f>
        <v>3.3/6</v>
      </c>
      <c r="C254" s="168" t="s">
        <v>1513</v>
      </c>
      <c r="D254" s="174" t="s">
        <v>1568</v>
      </c>
      <c r="E254" s="170" t="s">
        <v>1384</v>
      </c>
      <c r="F254" s="171"/>
      <c r="G254" s="171"/>
      <c r="H254" s="33">
        <f t="shared" si="194"/>
        <v>0</v>
      </c>
      <c r="I254" s="505"/>
      <c r="J254" s="505">
        <f t="shared" si="189"/>
        <v>0</v>
      </c>
      <c r="K254" s="499"/>
      <c r="L254" s="499">
        <f t="shared" si="190"/>
        <v>0</v>
      </c>
      <c r="M254" s="39">
        <f t="shared" si="191"/>
        <v>0</v>
      </c>
      <c r="N254" s="163">
        <f t="shared" si="195"/>
        <v>0</v>
      </c>
      <c r="O254" s="172">
        <f t="shared" si="202"/>
        <v>0</v>
      </c>
      <c r="P254" s="521"/>
      <c r="Q254" s="521">
        <f t="shared" si="192"/>
        <v>0</v>
      </c>
      <c r="R254" s="526"/>
      <c r="S254" s="526">
        <f t="shared" si="193"/>
        <v>0</v>
      </c>
      <c r="T254" s="39">
        <f t="shared" si="188"/>
        <v>0</v>
      </c>
      <c r="U254" s="163">
        <f>+ROUND(T254*H254,2)</f>
        <v>0</v>
      </c>
      <c r="V254" s="173">
        <f t="shared" si="203"/>
        <v>0</v>
      </c>
      <c r="W254" s="164"/>
      <c r="X254" s="128" t="s">
        <v>1004</v>
      </c>
      <c r="Y254" s="37">
        <f>+ROUND((O254)*(1+SUMIF($Y$2:$Y$4,X254,$Z$2:$Z$4)),0)</f>
        <v>0</v>
      </c>
      <c r="Z254" s="37">
        <f t="shared" si="201"/>
        <v>0</v>
      </c>
      <c r="AA254" s="166"/>
      <c r="AB254" s="38"/>
      <c r="AC254" s="38"/>
    </row>
    <row r="255" spans="1:29" hidden="1" outlineLevel="2" x14ac:dyDescent="0.25">
      <c r="A255" s="158" t="s">
        <v>1236</v>
      </c>
      <c r="B255" s="159" t="str">
        <f>+B254</f>
        <v>3.3/6</v>
      </c>
      <c r="C255" s="168" t="s">
        <v>1569</v>
      </c>
      <c r="D255" s="174" t="s">
        <v>1570</v>
      </c>
      <c r="E255" s="170" t="s">
        <v>1384</v>
      </c>
      <c r="F255" s="171"/>
      <c r="G255" s="171"/>
      <c r="H255" s="33">
        <f t="shared" si="194"/>
        <v>0</v>
      </c>
      <c r="I255" s="505"/>
      <c r="J255" s="505">
        <f t="shared" si="189"/>
        <v>0</v>
      </c>
      <c r="K255" s="499"/>
      <c r="L255" s="499">
        <f t="shared" si="190"/>
        <v>0</v>
      </c>
      <c r="M255" s="39">
        <f t="shared" si="191"/>
        <v>0</v>
      </c>
      <c r="N255" s="163">
        <f t="shared" si="195"/>
        <v>0</v>
      </c>
      <c r="O255" s="172">
        <f t="shared" si="202"/>
        <v>0</v>
      </c>
      <c r="P255" s="521"/>
      <c r="Q255" s="521">
        <f t="shared" si="192"/>
        <v>0</v>
      </c>
      <c r="R255" s="526"/>
      <c r="S255" s="526">
        <f t="shared" si="193"/>
        <v>0</v>
      </c>
      <c r="T255" s="39">
        <f t="shared" si="188"/>
        <v>0</v>
      </c>
      <c r="U255" s="163">
        <f>+ROUND(T255*H255,2)</f>
        <v>0</v>
      </c>
      <c r="V255" s="173">
        <f t="shared" si="203"/>
        <v>0</v>
      </c>
      <c r="W255" s="164"/>
      <c r="X255" s="128" t="s">
        <v>1004</v>
      </c>
      <c r="Y255" s="37">
        <f>+ROUND((O255)*(1+SUMIF($Y$2:$Y$4,X255,$Z$2:$Z$4)),0)</f>
        <v>0</v>
      </c>
      <c r="Z255" s="37">
        <f t="shared" si="201"/>
        <v>0</v>
      </c>
      <c r="AA255" s="166"/>
      <c r="AB255" s="38"/>
      <c r="AC255" s="38"/>
    </row>
    <row r="256" spans="1:29" hidden="1" outlineLevel="2" x14ac:dyDescent="0.25">
      <c r="A256" s="158" t="s">
        <v>1238</v>
      </c>
      <c r="B256" s="159" t="s">
        <v>269</v>
      </c>
      <c r="C256" s="246">
        <v>4.3</v>
      </c>
      <c r="D256" s="161" t="s">
        <v>1571</v>
      </c>
      <c r="E256" s="170" t="s">
        <v>1384</v>
      </c>
      <c r="F256" s="40"/>
      <c r="G256" s="40"/>
      <c r="H256" s="33">
        <f t="shared" si="194"/>
        <v>0</v>
      </c>
      <c r="I256" s="504"/>
      <c r="J256" s="504">
        <f t="shared" si="189"/>
        <v>0</v>
      </c>
      <c r="K256" s="498"/>
      <c r="L256" s="498">
        <f t="shared" si="190"/>
        <v>0</v>
      </c>
      <c r="M256" s="34">
        <f t="shared" si="191"/>
        <v>0</v>
      </c>
      <c r="N256" s="163">
        <f t="shared" si="195"/>
        <v>0</v>
      </c>
      <c r="O256" s="172">
        <f t="shared" si="202"/>
        <v>0</v>
      </c>
      <c r="P256" s="520"/>
      <c r="Q256" s="520">
        <f t="shared" si="192"/>
        <v>0</v>
      </c>
      <c r="R256" s="525"/>
      <c r="S256" s="525">
        <f t="shared" si="193"/>
        <v>0</v>
      </c>
      <c r="T256" s="34">
        <f t="shared" si="188"/>
        <v>0</v>
      </c>
      <c r="U256" s="163">
        <f>+ROUND(T256*H256,2)</f>
        <v>0</v>
      </c>
      <c r="V256" s="173">
        <f t="shared" si="203"/>
        <v>0</v>
      </c>
      <c r="W256" s="164"/>
      <c r="X256" s="128" t="s">
        <v>1004</v>
      </c>
      <c r="Y256" s="37">
        <f>+ROUND((O256)*(1+SUMIF($Y$2:$Y$4,X256,$Z$2:$Z$4)),0)</f>
        <v>0</v>
      </c>
      <c r="Z256" s="37">
        <f t="shared" si="201"/>
        <v>0</v>
      </c>
      <c r="AA256" s="166"/>
      <c r="AB256" s="38"/>
      <c r="AC256" s="38"/>
    </row>
    <row r="257" spans="1:29" hidden="1" outlineLevel="2" x14ac:dyDescent="0.25">
      <c r="A257" s="158" t="s">
        <v>1238</v>
      </c>
      <c r="B257" s="159" t="str">
        <f>+B255</f>
        <v>3.3/6</v>
      </c>
      <c r="C257" s="168" t="s">
        <v>1516</v>
      </c>
      <c r="D257" s="174" t="s">
        <v>1572</v>
      </c>
      <c r="E257" s="170" t="s">
        <v>1384</v>
      </c>
      <c r="F257" s="171"/>
      <c r="G257" s="171"/>
      <c r="H257" s="33">
        <f t="shared" si="194"/>
        <v>0</v>
      </c>
      <c r="I257" s="505"/>
      <c r="J257" s="505">
        <f t="shared" si="189"/>
        <v>0</v>
      </c>
      <c r="K257" s="499"/>
      <c r="L257" s="499">
        <f t="shared" si="190"/>
        <v>0</v>
      </c>
      <c r="M257" s="39">
        <f t="shared" si="191"/>
        <v>0</v>
      </c>
      <c r="N257" s="163">
        <f t="shared" si="195"/>
        <v>0</v>
      </c>
      <c r="O257" s="172">
        <f t="shared" si="202"/>
        <v>0</v>
      </c>
      <c r="P257" s="521"/>
      <c r="Q257" s="521">
        <f t="shared" si="192"/>
        <v>0</v>
      </c>
      <c r="R257" s="526"/>
      <c r="S257" s="526">
        <f t="shared" si="193"/>
        <v>0</v>
      </c>
      <c r="T257" s="39">
        <f t="shared" si="188"/>
        <v>0</v>
      </c>
      <c r="U257" s="163">
        <f>+ROUND(T257*H257,2)</f>
        <v>0</v>
      </c>
      <c r="V257" s="173">
        <f t="shared" si="203"/>
        <v>0</v>
      </c>
      <c r="W257" s="164"/>
      <c r="X257" s="128" t="s">
        <v>1004</v>
      </c>
      <c r="Y257" s="37">
        <f>+ROUND((O257)*(1+SUMIF($Y$2:$Y$4,X257,$Z$2:$Z$4)),0)</f>
        <v>0</v>
      </c>
      <c r="Z257" s="37">
        <f t="shared" si="201"/>
        <v>0</v>
      </c>
      <c r="AA257" s="166"/>
      <c r="AB257" s="38"/>
      <c r="AC257" s="38"/>
    </row>
    <row r="258" spans="1:29" hidden="1" outlineLevel="2" x14ac:dyDescent="0.25">
      <c r="A258" s="158" t="s">
        <v>1240</v>
      </c>
      <c r="B258" s="159" t="str">
        <f>+B257</f>
        <v>3.3/6</v>
      </c>
      <c r="C258" s="168" t="s">
        <v>1518</v>
      </c>
      <c r="D258" s="174" t="s">
        <v>1509</v>
      </c>
      <c r="E258" s="170" t="s">
        <v>1384</v>
      </c>
      <c r="F258" s="171"/>
      <c r="G258" s="171"/>
      <c r="H258" s="33">
        <f t="shared" si="194"/>
        <v>0</v>
      </c>
      <c r="I258" s="505"/>
      <c r="J258" s="505">
        <f t="shared" si="189"/>
        <v>0</v>
      </c>
      <c r="K258" s="499"/>
      <c r="L258" s="499">
        <f t="shared" si="190"/>
        <v>0</v>
      </c>
      <c r="M258" s="39">
        <f t="shared" si="191"/>
        <v>0</v>
      </c>
      <c r="N258" s="163">
        <f t="shared" si="195"/>
        <v>0</v>
      </c>
      <c r="O258" s="172">
        <f t="shared" si="202"/>
        <v>0</v>
      </c>
      <c r="P258" s="521"/>
      <c r="Q258" s="521">
        <f t="shared" si="192"/>
        <v>0</v>
      </c>
      <c r="R258" s="526"/>
      <c r="S258" s="526">
        <f t="shared" si="193"/>
        <v>0</v>
      </c>
      <c r="T258" s="39">
        <f t="shared" si="188"/>
        <v>0</v>
      </c>
      <c r="U258" s="163">
        <f>+ROUND(T258*H258,2)</f>
        <v>0</v>
      </c>
      <c r="V258" s="173">
        <f t="shared" si="203"/>
        <v>0</v>
      </c>
      <c r="W258" s="164"/>
      <c r="X258" s="128" t="s">
        <v>1004</v>
      </c>
      <c r="Y258" s="37">
        <f>+ROUND((O258)*(1+SUMIF($Y$2:$Y$4,X258,$Z$2:$Z$4)),0)</f>
        <v>0</v>
      </c>
      <c r="Z258" s="37">
        <f t="shared" si="201"/>
        <v>0</v>
      </c>
      <c r="AA258" s="166"/>
      <c r="AB258" s="38"/>
      <c r="AC258" s="38"/>
    </row>
    <row r="259" spans="1:29" hidden="1" outlineLevel="2" x14ac:dyDescent="0.25">
      <c r="A259" s="158" t="s">
        <v>1238</v>
      </c>
      <c r="B259" s="159" t="str">
        <f>+B258</f>
        <v>3.3/6</v>
      </c>
      <c r="C259" s="168" t="s">
        <v>1520</v>
      </c>
      <c r="D259" s="174" t="s">
        <v>1573</v>
      </c>
      <c r="E259" s="170" t="s">
        <v>1384</v>
      </c>
      <c r="F259" s="171"/>
      <c r="G259" s="171"/>
      <c r="H259" s="33">
        <f t="shared" si="194"/>
        <v>0</v>
      </c>
      <c r="I259" s="505"/>
      <c r="J259" s="505">
        <f t="shared" si="189"/>
        <v>0</v>
      </c>
      <c r="K259" s="499"/>
      <c r="L259" s="499">
        <f t="shared" si="190"/>
        <v>0</v>
      </c>
      <c r="M259" s="39">
        <f t="shared" si="191"/>
        <v>0</v>
      </c>
      <c r="N259" s="163">
        <f t="shared" si="195"/>
        <v>0</v>
      </c>
      <c r="O259" s="172">
        <f t="shared" si="202"/>
        <v>0</v>
      </c>
      <c r="P259" s="521"/>
      <c r="Q259" s="521">
        <f t="shared" si="192"/>
        <v>0</v>
      </c>
      <c r="R259" s="526"/>
      <c r="S259" s="526">
        <f t="shared" si="193"/>
        <v>0</v>
      </c>
      <c r="T259" s="39">
        <f t="shared" si="188"/>
        <v>0</v>
      </c>
      <c r="U259" s="163">
        <f>+ROUND(T259*H259,2)</f>
        <v>0</v>
      </c>
      <c r="V259" s="173">
        <f t="shared" si="203"/>
        <v>0</v>
      </c>
      <c r="W259" s="164"/>
      <c r="X259" s="128" t="s">
        <v>1004</v>
      </c>
      <c r="Y259" s="37">
        <f>+ROUND((O259)*(1+SUMIF($Y$2:$Y$4,X259,$Z$2:$Z$4)),0)</f>
        <v>0</v>
      </c>
      <c r="Z259" s="37">
        <f t="shared" si="201"/>
        <v>0</v>
      </c>
      <c r="AA259" s="166"/>
      <c r="AB259" s="38"/>
      <c r="AC259" s="38"/>
    </row>
    <row r="260" spans="1:29" hidden="1" outlineLevel="2" x14ac:dyDescent="0.25">
      <c r="A260" s="158" t="s">
        <v>1249</v>
      </c>
      <c r="B260" s="159" t="str">
        <f>+B259</f>
        <v>3.3/6</v>
      </c>
      <c r="C260" s="168" t="s">
        <v>1522</v>
      </c>
      <c r="D260" s="174" t="s">
        <v>1574</v>
      </c>
      <c r="E260" s="170" t="s">
        <v>1384</v>
      </c>
      <c r="F260" s="171"/>
      <c r="G260" s="171"/>
      <c r="H260" s="33">
        <f t="shared" si="194"/>
        <v>0</v>
      </c>
      <c r="I260" s="505"/>
      <c r="J260" s="505">
        <f t="shared" si="189"/>
        <v>0</v>
      </c>
      <c r="K260" s="499"/>
      <c r="L260" s="499">
        <f t="shared" si="190"/>
        <v>0</v>
      </c>
      <c r="M260" s="39">
        <f t="shared" si="191"/>
        <v>0</v>
      </c>
      <c r="N260" s="163">
        <f t="shared" si="195"/>
        <v>0</v>
      </c>
      <c r="O260" s="172">
        <f t="shared" si="202"/>
        <v>0</v>
      </c>
      <c r="P260" s="521"/>
      <c r="Q260" s="521">
        <f t="shared" si="192"/>
        <v>0</v>
      </c>
      <c r="R260" s="526"/>
      <c r="S260" s="526">
        <f t="shared" si="193"/>
        <v>0</v>
      </c>
      <c r="T260" s="39">
        <f t="shared" si="188"/>
        <v>0</v>
      </c>
      <c r="U260" s="163">
        <f>+ROUND(T260*H260,2)</f>
        <v>0</v>
      </c>
      <c r="V260" s="173">
        <f t="shared" si="203"/>
        <v>0</v>
      </c>
      <c r="W260" s="164"/>
      <c r="X260" s="128" t="s">
        <v>1004</v>
      </c>
      <c r="Y260" s="37">
        <f>+ROUND((O260)*(1+SUMIF($Y$2:$Y$4,X260,$Z$2:$Z$4)),0)</f>
        <v>0</v>
      </c>
      <c r="Z260" s="37">
        <f t="shared" si="201"/>
        <v>0</v>
      </c>
      <c r="AA260" s="166"/>
      <c r="AB260" s="38"/>
      <c r="AC260" s="38"/>
    </row>
    <row r="261" spans="1:29" hidden="1" outlineLevel="1" x14ac:dyDescent="0.25">
      <c r="A261" s="506" t="s">
        <v>1022</v>
      </c>
      <c r="B261" s="507" t="str">
        <f>+B260</f>
        <v>3.3/6</v>
      </c>
      <c r="C261" s="508"/>
      <c r="D261" s="509" t="s">
        <v>1023</v>
      </c>
      <c r="E261" s="510"/>
      <c r="F261" s="511"/>
      <c r="G261" s="511"/>
      <c r="H261" s="512">
        <f t="shared" si="194"/>
        <v>0</v>
      </c>
      <c r="I261" s="512"/>
      <c r="J261" s="512">
        <f t="shared" si="189"/>
        <v>0</v>
      </c>
      <c r="K261" s="512"/>
      <c r="L261" s="512">
        <f t="shared" si="190"/>
        <v>0</v>
      </c>
      <c r="M261" s="512">
        <f t="shared" si="191"/>
        <v>0</v>
      </c>
      <c r="N261" s="512">
        <f>SUM(N248:N260)</f>
        <v>0</v>
      </c>
      <c r="O261" s="513">
        <f>SUM(O248:O260)</f>
        <v>0</v>
      </c>
      <c r="P261" s="512"/>
      <c r="Q261" s="512">
        <f t="shared" si="192"/>
        <v>0</v>
      </c>
      <c r="R261" s="512"/>
      <c r="S261" s="512">
        <f t="shared" si="193"/>
        <v>0</v>
      </c>
      <c r="T261" s="512">
        <f t="shared" si="188"/>
        <v>0</v>
      </c>
      <c r="U261" s="512">
        <f>SUM(U248:U260)</f>
        <v>0</v>
      </c>
      <c r="V261" s="513">
        <f>SUM(V248:V260)</f>
        <v>0</v>
      </c>
      <c r="W261" s="507"/>
      <c r="X261" s="514" t="s">
        <v>1004</v>
      </c>
      <c r="Y261" s="513">
        <f>SUM(Y248:Y260)</f>
        <v>0</v>
      </c>
      <c r="Z261" s="513">
        <f>SUM(Z248:Z260)</f>
        <v>0</v>
      </c>
      <c r="AA261" s="166"/>
      <c r="AB261" s="38"/>
      <c r="AC261" s="38"/>
    </row>
    <row r="262" spans="1:29" hidden="1" outlineLevel="1" x14ac:dyDescent="0.25">
      <c r="A262" s="158" t="s">
        <v>1238</v>
      </c>
      <c r="B262" s="159" t="s">
        <v>289</v>
      </c>
      <c r="C262" s="247">
        <v>4</v>
      </c>
      <c r="D262" s="161" t="s">
        <v>1852</v>
      </c>
      <c r="E262" s="170" t="s">
        <v>1384</v>
      </c>
      <c r="F262" s="40"/>
      <c r="G262" s="40"/>
      <c r="H262" s="33">
        <f t="shared" si="194"/>
        <v>0</v>
      </c>
      <c r="I262" s="504"/>
      <c r="J262" s="504">
        <f t="shared" si="189"/>
        <v>0</v>
      </c>
      <c r="K262" s="498"/>
      <c r="L262" s="498">
        <f t="shared" si="190"/>
        <v>0</v>
      </c>
      <c r="M262" s="34">
        <f t="shared" si="191"/>
        <v>0</v>
      </c>
      <c r="N262" s="163">
        <f t="shared" ref="N262" si="204">+ROUND(M262*H262,2)</f>
        <v>0</v>
      </c>
      <c r="O262" s="172">
        <f t="shared" ref="O262" si="205">N262</f>
        <v>0</v>
      </c>
      <c r="P262" s="520"/>
      <c r="Q262" s="520">
        <f t="shared" si="192"/>
        <v>0</v>
      </c>
      <c r="R262" s="525"/>
      <c r="S262" s="525">
        <f t="shared" si="193"/>
        <v>0</v>
      </c>
      <c r="T262" s="34">
        <f t="shared" si="188"/>
        <v>0</v>
      </c>
      <c r="U262" s="163">
        <f>+ROUND(T262*H262,2)</f>
        <v>0</v>
      </c>
      <c r="V262" s="173">
        <f t="shared" ref="V262" si="206">U262</f>
        <v>0</v>
      </c>
      <c r="W262" s="164"/>
      <c r="X262" s="128" t="s">
        <v>1004</v>
      </c>
      <c r="Y262" s="37">
        <f>+ROUND((O262)*(1+SUMIF($Y$2:$Y$4,X262,$Z$2:$Z$4)),0)</f>
        <v>0</v>
      </c>
      <c r="Z262" s="37">
        <f t="shared" ref="Z262:Z277" si="207">+ROUND((V262)*(1+SUMIF($Y$2:$Y$4,X262,$Z$2:$Z$4)),0)</f>
        <v>0</v>
      </c>
      <c r="AA262" s="166"/>
      <c r="AB262" s="38"/>
      <c r="AC262" s="38"/>
    </row>
    <row r="263" spans="1:29" hidden="1" outlineLevel="2" x14ac:dyDescent="0.25">
      <c r="A263" s="158" t="s">
        <v>1238</v>
      </c>
      <c r="B263" s="159" t="str">
        <f>+B262</f>
        <v>3.3/7</v>
      </c>
      <c r="C263" s="246">
        <v>4.4000000000000004</v>
      </c>
      <c r="D263" s="161" t="s">
        <v>1575</v>
      </c>
      <c r="E263" s="170" t="s">
        <v>1384</v>
      </c>
      <c r="F263" s="40"/>
      <c r="G263" s="40"/>
      <c r="H263" s="33">
        <f t="shared" si="194"/>
        <v>0</v>
      </c>
      <c r="I263" s="504"/>
      <c r="J263" s="504">
        <f t="shared" si="189"/>
        <v>0</v>
      </c>
      <c r="K263" s="498"/>
      <c r="L263" s="498">
        <f t="shared" si="190"/>
        <v>0</v>
      </c>
      <c r="M263" s="34">
        <f t="shared" si="191"/>
        <v>0</v>
      </c>
      <c r="N263" s="163">
        <f t="shared" si="195"/>
        <v>0</v>
      </c>
      <c r="O263" s="172">
        <f t="shared" ref="O263:O277" si="208">N263</f>
        <v>0</v>
      </c>
      <c r="P263" s="520"/>
      <c r="Q263" s="520">
        <f t="shared" si="192"/>
        <v>0</v>
      </c>
      <c r="R263" s="525"/>
      <c r="S263" s="525">
        <f t="shared" si="193"/>
        <v>0</v>
      </c>
      <c r="T263" s="34">
        <f t="shared" si="188"/>
        <v>0</v>
      </c>
      <c r="U263" s="163">
        <f>+ROUND(T263*H263,2)</f>
        <v>0</v>
      </c>
      <c r="V263" s="173">
        <f t="shared" ref="V263:V277" si="209">U263</f>
        <v>0</v>
      </c>
      <c r="W263" s="164"/>
      <c r="X263" s="128" t="s">
        <v>1004</v>
      </c>
      <c r="Y263" s="37">
        <f>+ROUND((O263)*(1+SUMIF($Y$2:$Y$4,X263,$Z$2:$Z$4)),0)</f>
        <v>0</v>
      </c>
      <c r="Z263" s="37">
        <f t="shared" si="207"/>
        <v>0</v>
      </c>
      <c r="AA263" s="166"/>
      <c r="AB263" s="38"/>
      <c r="AC263" s="38"/>
    </row>
    <row r="264" spans="1:29" hidden="1" outlineLevel="2" x14ac:dyDescent="0.25">
      <c r="A264" s="158" t="s">
        <v>1238</v>
      </c>
      <c r="B264" s="159" t="str">
        <f>+B263</f>
        <v>3.3/7</v>
      </c>
      <c r="C264" s="168" t="s">
        <v>1527</v>
      </c>
      <c r="D264" s="169" t="s">
        <v>1853</v>
      </c>
      <c r="E264" s="170" t="s">
        <v>1384</v>
      </c>
      <c r="F264" s="171"/>
      <c r="G264" s="171"/>
      <c r="H264" s="33">
        <f t="shared" si="194"/>
        <v>0</v>
      </c>
      <c r="I264" s="505"/>
      <c r="J264" s="505">
        <f t="shared" si="189"/>
        <v>0</v>
      </c>
      <c r="K264" s="499"/>
      <c r="L264" s="499">
        <f t="shared" si="190"/>
        <v>0</v>
      </c>
      <c r="M264" s="39">
        <f t="shared" si="191"/>
        <v>0</v>
      </c>
      <c r="N264" s="163">
        <f t="shared" si="195"/>
        <v>0</v>
      </c>
      <c r="O264" s="172">
        <f t="shared" si="208"/>
        <v>0</v>
      </c>
      <c r="P264" s="521"/>
      <c r="Q264" s="521">
        <f t="shared" si="192"/>
        <v>0</v>
      </c>
      <c r="R264" s="526"/>
      <c r="S264" s="526">
        <f t="shared" si="193"/>
        <v>0</v>
      </c>
      <c r="T264" s="39">
        <f t="shared" si="188"/>
        <v>0</v>
      </c>
      <c r="U264" s="163">
        <f>+ROUND(T264*H264,2)</f>
        <v>0</v>
      </c>
      <c r="V264" s="173">
        <f t="shared" si="209"/>
        <v>0</v>
      </c>
      <c r="W264" s="164"/>
      <c r="X264" s="128" t="s">
        <v>1004</v>
      </c>
      <c r="Y264" s="37">
        <f>+ROUND((O264)*(1+SUMIF($Y$2:$Y$4,X264,$Z$2:$Z$4)),0)</f>
        <v>0</v>
      </c>
      <c r="Z264" s="37">
        <f t="shared" si="207"/>
        <v>0</v>
      </c>
      <c r="AA264" s="166"/>
      <c r="AB264" s="38"/>
      <c r="AC264" s="38"/>
    </row>
    <row r="265" spans="1:29" hidden="1" outlineLevel="2" x14ac:dyDescent="0.25">
      <c r="A265" s="158" t="s">
        <v>1328</v>
      </c>
      <c r="B265" s="159" t="str">
        <f>+B264</f>
        <v>3.3/7</v>
      </c>
      <c r="C265" s="168" t="s">
        <v>1576</v>
      </c>
      <c r="D265" s="169" t="s">
        <v>1577</v>
      </c>
      <c r="E265" s="170" t="s">
        <v>1384</v>
      </c>
      <c r="F265" s="171"/>
      <c r="G265" s="171"/>
      <c r="H265" s="33">
        <f t="shared" si="194"/>
        <v>0</v>
      </c>
      <c r="I265" s="505"/>
      <c r="J265" s="505">
        <f t="shared" si="189"/>
        <v>0</v>
      </c>
      <c r="K265" s="499"/>
      <c r="L265" s="499">
        <f t="shared" si="190"/>
        <v>0</v>
      </c>
      <c r="M265" s="39">
        <f t="shared" si="191"/>
        <v>0</v>
      </c>
      <c r="N265" s="163">
        <f t="shared" si="195"/>
        <v>0</v>
      </c>
      <c r="O265" s="172">
        <f t="shared" si="208"/>
        <v>0</v>
      </c>
      <c r="P265" s="521"/>
      <c r="Q265" s="521">
        <f t="shared" si="192"/>
        <v>0</v>
      </c>
      <c r="R265" s="526"/>
      <c r="S265" s="526">
        <f t="shared" si="193"/>
        <v>0</v>
      </c>
      <c r="T265" s="39">
        <f t="shared" si="188"/>
        <v>0</v>
      </c>
      <c r="U265" s="163">
        <f>+ROUND(T265*H265,2)</f>
        <v>0</v>
      </c>
      <c r="V265" s="173">
        <f t="shared" si="209"/>
        <v>0</v>
      </c>
      <c r="W265" s="164"/>
      <c r="X265" s="128" t="s">
        <v>1004</v>
      </c>
      <c r="Y265" s="37">
        <f>+ROUND((O265)*(1+SUMIF($Y$2:$Y$4,X265,$Z$2:$Z$4)),0)</f>
        <v>0</v>
      </c>
      <c r="Z265" s="37">
        <f t="shared" si="207"/>
        <v>0</v>
      </c>
      <c r="AA265" s="166"/>
      <c r="AB265" s="38"/>
      <c r="AC265" s="38"/>
    </row>
    <row r="266" spans="1:29" hidden="1" outlineLevel="2" x14ac:dyDescent="0.25">
      <c r="A266" s="158" t="s">
        <v>1238</v>
      </c>
      <c r="B266" s="159" t="str">
        <f>+B265</f>
        <v>3.3/7</v>
      </c>
      <c r="C266" s="168" t="s">
        <v>1578</v>
      </c>
      <c r="D266" s="169" t="s">
        <v>1573</v>
      </c>
      <c r="E266" s="170" t="s">
        <v>1384</v>
      </c>
      <c r="F266" s="171"/>
      <c r="G266" s="171"/>
      <c r="H266" s="33">
        <f t="shared" si="194"/>
        <v>0</v>
      </c>
      <c r="I266" s="505"/>
      <c r="J266" s="505">
        <f t="shared" si="189"/>
        <v>0</v>
      </c>
      <c r="K266" s="499"/>
      <c r="L266" s="499">
        <f t="shared" si="190"/>
        <v>0</v>
      </c>
      <c r="M266" s="39">
        <f t="shared" si="191"/>
        <v>0</v>
      </c>
      <c r="N266" s="163">
        <f t="shared" si="195"/>
        <v>0</v>
      </c>
      <c r="O266" s="172">
        <f t="shared" si="208"/>
        <v>0</v>
      </c>
      <c r="P266" s="521"/>
      <c r="Q266" s="521">
        <f t="shared" si="192"/>
        <v>0</v>
      </c>
      <c r="R266" s="526"/>
      <c r="S266" s="526">
        <f t="shared" si="193"/>
        <v>0</v>
      </c>
      <c r="T266" s="39">
        <f t="shared" si="188"/>
        <v>0</v>
      </c>
      <c r="U266" s="163">
        <f>+ROUND(T266*H266,2)</f>
        <v>0</v>
      </c>
      <c r="V266" s="173">
        <f t="shared" si="209"/>
        <v>0</v>
      </c>
      <c r="W266" s="164"/>
      <c r="X266" s="128" t="s">
        <v>1004</v>
      </c>
      <c r="Y266" s="37">
        <f>+ROUND((O266)*(1+SUMIF($Y$2:$Y$4,X266,$Z$2:$Z$4)),0)</f>
        <v>0</v>
      </c>
      <c r="Z266" s="37">
        <f t="shared" si="207"/>
        <v>0</v>
      </c>
      <c r="AA266" s="166"/>
      <c r="AB266" s="38"/>
      <c r="AC266" s="38"/>
    </row>
    <row r="267" spans="1:29" hidden="1" outlineLevel="2" x14ac:dyDescent="0.25">
      <c r="A267" s="158" t="s">
        <v>1238</v>
      </c>
      <c r="B267" s="159" t="s">
        <v>289</v>
      </c>
      <c r="C267" s="246">
        <v>4.5</v>
      </c>
      <c r="D267" s="161" t="s">
        <v>1579</v>
      </c>
      <c r="E267" s="170" t="s">
        <v>1384</v>
      </c>
      <c r="F267" s="40"/>
      <c r="G267" s="40"/>
      <c r="H267" s="33">
        <f t="shared" si="194"/>
        <v>0</v>
      </c>
      <c r="I267" s="504"/>
      <c r="J267" s="504">
        <f t="shared" si="189"/>
        <v>0</v>
      </c>
      <c r="K267" s="498"/>
      <c r="L267" s="498">
        <f t="shared" si="190"/>
        <v>0</v>
      </c>
      <c r="M267" s="34">
        <f t="shared" si="191"/>
        <v>0</v>
      </c>
      <c r="N267" s="163">
        <f t="shared" si="195"/>
        <v>0</v>
      </c>
      <c r="O267" s="172">
        <f t="shared" si="208"/>
        <v>0</v>
      </c>
      <c r="P267" s="520"/>
      <c r="Q267" s="520">
        <f t="shared" si="192"/>
        <v>0</v>
      </c>
      <c r="R267" s="525"/>
      <c r="S267" s="525">
        <f t="shared" si="193"/>
        <v>0</v>
      </c>
      <c r="T267" s="34">
        <f t="shared" si="188"/>
        <v>0</v>
      </c>
      <c r="U267" s="163">
        <f>+ROUND(T267*H267,2)</f>
        <v>0</v>
      </c>
      <c r="V267" s="173">
        <f t="shared" si="209"/>
        <v>0</v>
      </c>
      <c r="W267" s="164"/>
      <c r="X267" s="128" t="s">
        <v>1004</v>
      </c>
      <c r="Y267" s="37">
        <f>+ROUND((O267)*(1+SUMIF($Y$2:$Y$4,X267,$Z$2:$Z$4)),0)</f>
        <v>0</v>
      </c>
      <c r="Z267" s="37">
        <f t="shared" si="207"/>
        <v>0</v>
      </c>
      <c r="AA267" s="166"/>
      <c r="AB267" s="38"/>
      <c r="AC267" s="38"/>
    </row>
    <row r="268" spans="1:29" hidden="1" outlineLevel="2" x14ac:dyDescent="0.25">
      <c r="A268" s="158" t="s">
        <v>1238</v>
      </c>
      <c r="B268" s="159" t="str">
        <f>+B266</f>
        <v>3.3/7</v>
      </c>
      <c r="C268" s="168" t="s">
        <v>1580</v>
      </c>
      <c r="D268" s="169" t="s">
        <v>1581</v>
      </c>
      <c r="E268" s="170" t="s">
        <v>1384</v>
      </c>
      <c r="F268" s="171"/>
      <c r="G268" s="171"/>
      <c r="H268" s="33">
        <f t="shared" si="194"/>
        <v>0</v>
      </c>
      <c r="I268" s="505"/>
      <c r="J268" s="505">
        <f t="shared" si="189"/>
        <v>0</v>
      </c>
      <c r="K268" s="499"/>
      <c r="L268" s="499">
        <f t="shared" si="190"/>
        <v>0</v>
      </c>
      <c r="M268" s="39">
        <f t="shared" si="191"/>
        <v>0</v>
      </c>
      <c r="N268" s="163">
        <f t="shared" si="195"/>
        <v>0</v>
      </c>
      <c r="O268" s="172">
        <f t="shared" si="208"/>
        <v>0</v>
      </c>
      <c r="P268" s="521"/>
      <c r="Q268" s="521">
        <f t="shared" si="192"/>
        <v>0</v>
      </c>
      <c r="R268" s="526"/>
      <c r="S268" s="526">
        <f t="shared" si="193"/>
        <v>0</v>
      </c>
      <c r="T268" s="39">
        <f t="shared" si="188"/>
        <v>0</v>
      </c>
      <c r="U268" s="163">
        <f>+ROUND(T268*H268,2)</f>
        <v>0</v>
      </c>
      <c r="V268" s="173">
        <f t="shared" si="209"/>
        <v>0</v>
      </c>
      <c r="W268" s="164"/>
      <c r="X268" s="128" t="s">
        <v>1004</v>
      </c>
      <c r="Y268" s="37">
        <f>+ROUND((O268)*(1+SUMIF($Y$2:$Y$4,X268,$Z$2:$Z$4)),0)</f>
        <v>0</v>
      </c>
      <c r="Z268" s="37">
        <f t="shared" si="207"/>
        <v>0</v>
      </c>
      <c r="AA268" s="166"/>
      <c r="AB268" s="38"/>
      <c r="AC268" s="38"/>
    </row>
    <row r="269" spans="1:29" hidden="1" outlineLevel="2" x14ac:dyDescent="0.25">
      <c r="A269" s="158" t="s">
        <v>1238</v>
      </c>
      <c r="B269" s="159" t="str">
        <f>+B268</f>
        <v>3.3/7</v>
      </c>
      <c r="C269" s="168" t="s">
        <v>1582</v>
      </c>
      <c r="D269" s="169" t="s">
        <v>1583</v>
      </c>
      <c r="E269" s="170" t="s">
        <v>1384</v>
      </c>
      <c r="F269" s="171"/>
      <c r="G269" s="171"/>
      <c r="H269" s="33">
        <f t="shared" si="194"/>
        <v>0</v>
      </c>
      <c r="I269" s="505"/>
      <c r="J269" s="505">
        <f t="shared" si="189"/>
        <v>0</v>
      </c>
      <c r="K269" s="499"/>
      <c r="L269" s="499">
        <f t="shared" si="190"/>
        <v>0</v>
      </c>
      <c r="M269" s="39">
        <f t="shared" si="191"/>
        <v>0</v>
      </c>
      <c r="N269" s="163">
        <f t="shared" si="195"/>
        <v>0</v>
      </c>
      <c r="O269" s="172">
        <f t="shared" si="208"/>
        <v>0</v>
      </c>
      <c r="P269" s="521"/>
      <c r="Q269" s="521">
        <f t="shared" si="192"/>
        <v>0</v>
      </c>
      <c r="R269" s="526"/>
      <c r="S269" s="526">
        <f t="shared" si="193"/>
        <v>0</v>
      </c>
      <c r="T269" s="39">
        <f t="shared" si="188"/>
        <v>0</v>
      </c>
      <c r="U269" s="163">
        <f>+ROUND(T269*H269,2)</f>
        <v>0</v>
      </c>
      <c r="V269" s="173">
        <f t="shared" si="209"/>
        <v>0</v>
      </c>
      <c r="W269" s="164"/>
      <c r="X269" s="128" t="s">
        <v>1004</v>
      </c>
      <c r="Y269" s="37">
        <f>+ROUND((O269)*(1+SUMIF($Y$2:$Y$4,X269,$Z$2:$Z$4)),0)</f>
        <v>0</v>
      </c>
      <c r="Z269" s="37">
        <f t="shared" si="207"/>
        <v>0</v>
      </c>
      <c r="AA269" s="166"/>
      <c r="AB269" s="38"/>
      <c r="AC269" s="38"/>
    </row>
    <row r="270" spans="1:29" hidden="1" outlineLevel="2" x14ac:dyDescent="0.25">
      <c r="A270" s="158" t="s">
        <v>1328</v>
      </c>
      <c r="B270" s="159" t="str">
        <f>+B269</f>
        <v>3.3/7</v>
      </c>
      <c r="C270" s="168" t="s">
        <v>1584</v>
      </c>
      <c r="D270" s="169" t="s">
        <v>1585</v>
      </c>
      <c r="E270" s="170" t="s">
        <v>1384</v>
      </c>
      <c r="F270" s="171"/>
      <c r="G270" s="171"/>
      <c r="H270" s="33">
        <f t="shared" si="194"/>
        <v>0</v>
      </c>
      <c r="I270" s="505"/>
      <c r="J270" s="505">
        <f t="shared" si="189"/>
        <v>0</v>
      </c>
      <c r="K270" s="499"/>
      <c r="L270" s="499">
        <f t="shared" si="190"/>
        <v>0</v>
      </c>
      <c r="M270" s="39">
        <f t="shared" si="191"/>
        <v>0</v>
      </c>
      <c r="N270" s="163">
        <f t="shared" si="195"/>
        <v>0</v>
      </c>
      <c r="O270" s="172">
        <f t="shared" si="208"/>
        <v>0</v>
      </c>
      <c r="P270" s="521"/>
      <c r="Q270" s="521">
        <f t="shared" si="192"/>
        <v>0</v>
      </c>
      <c r="R270" s="526"/>
      <c r="S270" s="526">
        <f t="shared" si="193"/>
        <v>0</v>
      </c>
      <c r="T270" s="39">
        <f t="shared" si="188"/>
        <v>0</v>
      </c>
      <c r="U270" s="163">
        <f>+ROUND(T270*H270,2)</f>
        <v>0</v>
      </c>
      <c r="V270" s="173">
        <f t="shared" si="209"/>
        <v>0</v>
      </c>
      <c r="W270" s="164"/>
      <c r="X270" s="128" t="s">
        <v>1004</v>
      </c>
      <c r="Y270" s="37">
        <f>+ROUND((O270)*(1+SUMIF($Y$2:$Y$4,X270,$Z$2:$Z$4)),0)</f>
        <v>0</v>
      </c>
      <c r="Z270" s="37">
        <f t="shared" si="207"/>
        <v>0</v>
      </c>
      <c r="AA270" s="166"/>
      <c r="AB270" s="38"/>
      <c r="AC270" s="38"/>
    </row>
    <row r="271" spans="1:29" hidden="1" outlineLevel="2" x14ac:dyDescent="0.25">
      <c r="A271" s="158" t="s">
        <v>1249</v>
      </c>
      <c r="B271" s="159" t="s">
        <v>289</v>
      </c>
      <c r="C271" s="246">
        <v>4.5999999999999996</v>
      </c>
      <c r="D271" s="161" t="s">
        <v>1586</v>
      </c>
      <c r="E271" s="170" t="s">
        <v>1384</v>
      </c>
      <c r="F271" s="40"/>
      <c r="G271" s="40"/>
      <c r="H271" s="33">
        <f t="shared" si="194"/>
        <v>0</v>
      </c>
      <c r="I271" s="504"/>
      <c r="J271" s="504">
        <f t="shared" si="189"/>
        <v>0</v>
      </c>
      <c r="K271" s="498"/>
      <c r="L271" s="498">
        <f t="shared" si="190"/>
        <v>0</v>
      </c>
      <c r="M271" s="34">
        <f t="shared" si="191"/>
        <v>0</v>
      </c>
      <c r="N271" s="163">
        <f t="shared" si="195"/>
        <v>0</v>
      </c>
      <c r="O271" s="172">
        <f t="shared" si="208"/>
        <v>0</v>
      </c>
      <c r="P271" s="520"/>
      <c r="Q271" s="520">
        <f t="shared" si="192"/>
        <v>0</v>
      </c>
      <c r="R271" s="525"/>
      <c r="S271" s="525">
        <f t="shared" si="193"/>
        <v>0</v>
      </c>
      <c r="T271" s="34">
        <f t="shared" si="188"/>
        <v>0</v>
      </c>
      <c r="U271" s="163">
        <f>+ROUND(T271*H271,2)</f>
        <v>0</v>
      </c>
      <c r="V271" s="173">
        <f t="shared" si="209"/>
        <v>0</v>
      </c>
      <c r="W271" s="164"/>
      <c r="X271" s="128" t="s">
        <v>1004</v>
      </c>
      <c r="Y271" s="37">
        <f>+ROUND((O271)*(1+SUMIF($Y$2:$Y$4,X271,$Z$2:$Z$4)),0)</f>
        <v>0</v>
      </c>
      <c r="Z271" s="37">
        <f t="shared" si="207"/>
        <v>0</v>
      </c>
      <c r="AA271" s="166"/>
      <c r="AB271" s="38"/>
      <c r="AC271" s="38"/>
    </row>
    <row r="272" spans="1:29" hidden="1" outlineLevel="2" x14ac:dyDescent="0.25">
      <c r="A272" s="158" t="s">
        <v>1249</v>
      </c>
      <c r="B272" s="159" t="str">
        <f>+B270</f>
        <v>3.3/7</v>
      </c>
      <c r="C272" s="168" t="s">
        <v>1587</v>
      </c>
      <c r="D272" s="169" t="s">
        <v>1588</v>
      </c>
      <c r="E272" s="170" t="s">
        <v>1384</v>
      </c>
      <c r="F272" s="171"/>
      <c r="G272" s="171"/>
      <c r="H272" s="33">
        <f t="shared" si="194"/>
        <v>0</v>
      </c>
      <c r="I272" s="505"/>
      <c r="J272" s="505">
        <f t="shared" si="189"/>
        <v>0</v>
      </c>
      <c r="K272" s="499"/>
      <c r="L272" s="499">
        <f t="shared" si="190"/>
        <v>0</v>
      </c>
      <c r="M272" s="39">
        <f t="shared" si="191"/>
        <v>0</v>
      </c>
      <c r="N272" s="163">
        <f t="shared" si="195"/>
        <v>0</v>
      </c>
      <c r="O272" s="172">
        <f t="shared" si="208"/>
        <v>0</v>
      </c>
      <c r="P272" s="521"/>
      <c r="Q272" s="521">
        <f t="shared" si="192"/>
        <v>0</v>
      </c>
      <c r="R272" s="526"/>
      <c r="S272" s="526">
        <f t="shared" si="193"/>
        <v>0</v>
      </c>
      <c r="T272" s="39">
        <f t="shared" si="188"/>
        <v>0</v>
      </c>
      <c r="U272" s="163">
        <f>+ROUND(T272*H272,2)</f>
        <v>0</v>
      </c>
      <c r="V272" s="173">
        <f t="shared" si="209"/>
        <v>0</v>
      </c>
      <c r="W272" s="164"/>
      <c r="X272" s="128" t="s">
        <v>1004</v>
      </c>
      <c r="Y272" s="37">
        <f>+ROUND((O272)*(1+SUMIF($Y$2:$Y$4,X272,$Z$2:$Z$4)),0)</f>
        <v>0</v>
      </c>
      <c r="Z272" s="37">
        <f t="shared" si="207"/>
        <v>0</v>
      </c>
      <c r="AA272" s="166"/>
      <c r="AB272" s="38"/>
      <c r="AC272" s="38"/>
    </row>
    <row r="273" spans="1:29" hidden="1" outlineLevel="2" x14ac:dyDescent="0.25">
      <c r="A273" s="158" t="s">
        <v>1247</v>
      </c>
      <c r="B273" s="159" t="str">
        <f>+B272</f>
        <v>3.3/7</v>
      </c>
      <c r="C273" s="168" t="s">
        <v>1589</v>
      </c>
      <c r="D273" s="169" t="s">
        <v>1590</v>
      </c>
      <c r="E273" s="170" t="s">
        <v>1384</v>
      </c>
      <c r="F273" s="171"/>
      <c r="G273" s="171"/>
      <c r="H273" s="33">
        <f t="shared" si="194"/>
        <v>0</v>
      </c>
      <c r="I273" s="505"/>
      <c r="J273" s="505">
        <f t="shared" si="189"/>
        <v>0</v>
      </c>
      <c r="K273" s="499"/>
      <c r="L273" s="499">
        <f t="shared" si="190"/>
        <v>0</v>
      </c>
      <c r="M273" s="39">
        <f t="shared" si="191"/>
        <v>0</v>
      </c>
      <c r="N273" s="163">
        <f t="shared" si="195"/>
        <v>0</v>
      </c>
      <c r="O273" s="172">
        <f>N273</f>
        <v>0</v>
      </c>
      <c r="P273" s="521"/>
      <c r="Q273" s="521">
        <f t="shared" si="192"/>
        <v>0</v>
      </c>
      <c r="R273" s="526"/>
      <c r="S273" s="526">
        <f t="shared" si="193"/>
        <v>0</v>
      </c>
      <c r="T273" s="39">
        <f t="shared" si="188"/>
        <v>0</v>
      </c>
      <c r="U273" s="163">
        <f>+ROUND(T273*H273,2)</f>
        <v>0</v>
      </c>
      <c r="V273" s="173">
        <f t="shared" si="209"/>
        <v>0</v>
      </c>
      <c r="W273" s="164"/>
      <c r="X273" s="128" t="s">
        <v>1004</v>
      </c>
      <c r="Y273" s="37">
        <f>+ROUND((O273)*(1+SUMIF($Y$2:$Y$4,X273,$Z$2:$Z$4)),0)</f>
        <v>0</v>
      </c>
      <c r="Z273" s="37">
        <f t="shared" si="207"/>
        <v>0</v>
      </c>
      <c r="AA273" s="166"/>
      <c r="AB273" s="38"/>
      <c r="AC273" s="38"/>
    </row>
    <row r="274" spans="1:29" hidden="1" outlineLevel="2" x14ac:dyDescent="0.25">
      <c r="A274" s="158" t="s">
        <v>1238</v>
      </c>
      <c r="B274" s="159" t="s">
        <v>289</v>
      </c>
      <c r="C274" s="246">
        <v>4.7</v>
      </c>
      <c r="D274" s="161" t="s">
        <v>1591</v>
      </c>
      <c r="E274" s="170" t="s">
        <v>1384</v>
      </c>
      <c r="F274" s="40"/>
      <c r="G274" s="40"/>
      <c r="H274" s="33">
        <f t="shared" si="194"/>
        <v>0</v>
      </c>
      <c r="I274" s="504"/>
      <c r="J274" s="504">
        <f t="shared" si="189"/>
        <v>0</v>
      </c>
      <c r="K274" s="498"/>
      <c r="L274" s="498">
        <f t="shared" si="190"/>
        <v>0</v>
      </c>
      <c r="M274" s="34">
        <f t="shared" si="191"/>
        <v>0</v>
      </c>
      <c r="N274" s="163">
        <f t="shared" si="195"/>
        <v>0</v>
      </c>
      <c r="O274" s="172">
        <f t="shared" si="208"/>
        <v>0</v>
      </c>
      <c r="P274" s="520"/>
      <c r="Q274" s="520">
        <f t="shared" si="192"/>
        <v>0</v>
      </c>
      <c r="R274" s="525"/>
      <c r="S274" s="525">
        <f t="shared" si="193"/>
        <v>0</v>
      </c>
      <c r="T274" s="34">
        <f t="shared" si="188"/>
        <v>0</v>
      </c>
      <c r="U274" s="163">
        <f>+ROUND(T274*H274,2)</f>
        <v>0</v>
      </c>
      <c r="V274" s="173">
        <f t="shared" si="209"/>
        <v>0</v>
      </c>
      <c r="W274" s="164"/>
      <c r="X274" s="128" t="s">
        <v>1004</v>
      </c>
      <c r="Y274" s="37">
        <f>+ROUND((O274)*(1+SUMIF($Y$2:$Y$4,X274,$Z$2:$Z$4)),0)</f>
        <v>0</v>
      </c>
      <c r="Z274" s="37">
        <f t="shared" si="207"/>
        <v>0</v>
      </c>
      <c r="AA274" s="166"/>
      <c r="AB274" s="38"/>
      <c r="AC274" s="38"/>
    </row>
    <row r="275" spans="1:29" hidden="1" outlineLevel="2" x14ac:dyDescent="0.25">
      <c r="A275" s="158" t="s">
        <v>1238</v>
      </c>
      <c r="B275" s="159" t="str">
        <f>+B273</f>
        <v>3.3/7</v>
      </c>
      <c r="C275" s="168" t="s">
        <v>1592</v>
      </c>
      <c r="D275" s="169" t="s">
        <v>1573</v>
      </c>
      <c r="E275" s="170" t="s">
        <v>1384</v>
      </c>
      <c r="F275" s="171"/>
      <c r="G275" s="171"/>
      <c r="H275" s="33">
        <f t="shared" si="194"/>
        <v>0</v>
      </c>
      <c r="I275" s="505"/>
      <c r="J275" s="505">
        <f t="shared" si="189"/>
        <v>0</v>
      </c>
      <c r="K275" s="499"/>
      <c r="L275" s="499">
        <f t="shared" si="190"/>
        <v>0</v>
      </c>
      <c r="M275" s="39">
        <f t="shared" si="191"/>
        <v>0</v>
      </c>
      <c r="N275" s="163">
        <f t="shared" si="195"/>
        <v>0</v>
      </c>
      <c r="O275" s="172">
        <f t="shared" si="208"/>
        <v>0</v>
      </c>
      <c r="P275" s="521"/>
      <c r="Q275" s="521">
        <f t="shared" si="192"/>
        <v>0</v>
      </c>
      <c r="R275" s="526"/>
      <c r="S275" s="526">
        <f t="shared" si="193"/>
        <v>0</v>
      </c>
      <c r="T275" s="39">
        <f t="shared" si="188"/>
        <v>0</v>
      </c>
      <c r="U275" s="163">
        <f>+ROUND(T275*H275,2)</f>
        <v>0</v>
      </c>
      <c r="V275" s="173">
        <f t="shared" si="209"/>
        <v>0</v>
      </c>
      <c r="W275" s="164"/>
      <c r="X275" s="128" t="s">
        <v>1004</v>
      </c>
      <c r="Y275" s="37">
        <f>+ROUND((O275)*(1+SUMIF($Y$2:$Y$4,X275,$Z$2:$Z$4)),0)</f>
        <v>0</v>
      </c>
      <c r="Z275" s="37">
        <f t="shared" si="207"/>
        <v>0</v>
      </c>
      <c r="AA275" s="166"/>
      <c r="AB275" s="38"/>
      <c r="AC275" s="38"/>
    </row>
    <row r="276" spans="1:29" hidden="1" outlineLevel="2" x14ac:dyDescent="0.25">
      <c r="A276" s="158" t="s">
        <v>1338</v>
      </c>
      <c r="B276" s="159" t="s">
        <v>289</v>
      </c>
      <c r="C276" s="246">
        <v>4.8</v>
      </c>
      <c r="D276" s="161" t="s">
        <v>1593</v>
      </c>
      <c r="E276" s="170" t="s">
        <v>1384</v>
      </c>
      <c r="F276" s="40"/>
      <c r="G276" s="40"/>
      <c r="H276" s="33">
        <f t="shared" si="194"/>
        <v>0</v>
      </c>
      <c r="I276" s="504"/>
      <c r="J276" s="504">
        <f t="shared" si="189"/>
        <v>0</v>
      </c>
      <c r="K276" s="498"/>
      <c r="L276" s="498">
        <f t="shared" si="190"/>
        <v>0</v>
      </c>
      <c r="M276" s="34">
        <f t="shared" si="191"/>
        <v>0</v>
      </c>
      <c r="N276" s="163">
        <f t="shared" si="195"/>
        <v>0</v>
      </c>
      <c r="O276" s="172">
        <f t="shared" si="208"/>
        <v>0</v>
      </c>
      <c r="P276" s="520"/>
      <c r="Q276" s="520">
        <f t="shared" si="192"/>
        <v>0</v>
      </c>
      <c r="R276" s="525"/>
      <c r="S276" s="525">
        <f t="shared" si="193"/>
        <v>0</v>
      </c>
      <c r="T276" s="34">
        <f t="shared" si="188"/>
        <v>0</v>
      </c>
      <c r="U276" s="163">
        <f>+ROUND(T276*H276,2)</f>
        <v>0</v>
      </c>
      <c r="V276" s="173">
        <f t="shared" si="209"/>
        <v>0</v>
      </c>
      <c r="W276" s="164"/>
      <c r="X276" s="128" t="s">
        <v>1004</v>
      </c>
      <c r="Y276" s="37">
        <f>+ROUND((O276)*(1+SUMIF($Y$2:$Y$4,X276,$Z$2:$Z$4)),0)</f>
        <v>0</v>
      </c>
      <c r="Z276" s="37">
        <f t="shared" si="207"/>
        <v>0</v>
      </c>
      <c r="AA276" s="166"/>
      <c r="AB276" s="38"/>
      <c r="AC276" s="38"/>
    </row>
    <row r="277" spans="1:29" ht="24" hidden="1" outlineLevel="2" x14ac:dyDescent="0.25">
      <c r="A277" s="158" t="s">
        <v>1338</v>
      </c>
      <c r="B277" s="159" t="str">
        <f>+B275</f>
        <v>3.3/7</v>
      </c>
      <c r="C277" s="168" t="s">
        <v>1594</v>
      </c>
      <c r="D277" s="169" t="s">
        <v>1595</v>
      </c>
      <c r="E277" s="170" t="s">
        <v>1384</v>
      </c>
      <c r="F277" s="171"/>
      <c r="G277" s="171"/>
      <c r="H277" s="33">
        <f t="shared" si="194"/>
        <v>0</v>
      </c>
      <c r="I277" s="505"/>
      <c r="J277" s="505">
        <f t="shared" si="189"/>
        <v>0</v>
      </c>
      <c r="K277" s="499"/>
      <c r="L277" s="499">
        <f t="shared" si="190"/>
        <v>0</v>
      </c>
      <c r="M277" s="39">
        <f t="shared" si="191"/>
        <v>0</v>
      </c>
      <c r="N277" s="163">
        <f t="shared" si="195"/>
        <v>0</v>
      </c>
      <c r="O277" s="172">
        <f t="shared" si="208"/>
        <v>0</v>
      </c>
      <c r="P277" s="521"/>
      <c r="Q277" s="521">
        <f t="shared" si="192"/>
        <v>0</v>
      </c>
      <c r="R277" s="526"/>
      <c r="S277" s="526">
        <f t="shared" si="193"/>
        <v>0</v>
      </c>
      <c r="T277" s="39">
        <f t="shared" si="188"/>
        <v>0</v>
      </c>
      <c r="U277" s="163">
        <f>+ROUND(T277*H277,2)</f>
        <v>0</v>
      </c>
      <c r="V277" s="173">
        <f t="shared" si="209"/>
        <v>0</v>
      </c>
      <c r="W277" s="164"/>
      <c r="X277" s="128" t="s">
        <v>1004</v>
      </c>
      <c r="Y277" s="37">
        <f>+ROUND((O277)*(1+SUMIF($Y$2:$Y$4,X277,$Z$2:$Z$4)),0)</f>
        <v>0</v>
      </c>
      <c r="Z277" s="37">
        <f t="shared" si="207"/>
        <v>0</v>
      </c>
      <c r="AA277" s="166"/>
      <c r="AB277" s="38"/>
      <c r="AC277" s="38"/>
    </row>
    <row r="278" spans="1:29" hidden="1" outlineLevel="1" x14ac:dyDescent="0.25">
      <c r="A278" s="506" t="s">
        <v>1022</v>
      </c>
      <c r="B278" s="507" t="str">
        <f>+B277</f>
        <v>3.3/7</v>
      </c>
      <c r="C278" s="508"/>
      <c r="D278" s="509" t="s">
        <v>1023</v>
      </c>
      <c r="E278" s="510"/>
      <c r="F278" s="511"/>
      <c r="G278" s="511"/>
      <c r="H278" s="512">
        <f t="shared" si="194"/>
        <v>0</v>
      </c>
      <c r="I278" s="512"/>
      <c r="J278" s="512">
        <f t="shared" si="189"/>
        <v>0</v>
      </c>
      <c r="K278" s="512"/>
      <c r="L278" s="512">
        <f t="shared" si="190"/>
        <v>0</v>
      </c>
      <c r="M278" s="512">
        <f t="shared" si="191"/>
        <v>0</v>
      </c>
      <c r="N278" s="512">
        <f>SUM(N263:N277)</f>
        <v>0</v>
      </c>
      <c r="O278" s="513">
        <f>SUM(O263:O277)</f>
        <v>0</v>
      </c>
      <c r="P278" s="512"/>
      <c r="Q278" s="512">
        <f t="shared" si="192"/>
        <v>0</v>
      </c>
      <c r="R278" s="512"/>
      <c r="S278" s="512">
        <f t="shared" si="193"/>
        <v>0</v>
      </c>
      <c r="T278" s="512">
        <f t="shared" si="188"/>
        <v>0</v>
      </c>
      <c r="U278" s="512">
        <f>SUM(U263:U277)</f>
        <v>0</v>
      </c>
      <c r="V278" s="513">
        <f>SUM(V263:V277)</f>
        <v>0</v>
      </c>
      <c r="W278" s="507"/>
      <c r="X278" s="514" t="s">
        <v>1004</v>
      </c>
      <c r="Y278" s="513">
        <f t="shared" ref="Y278:Z278" si="210">SUM(Y263:Y277)</f>
        <v>0</v>
      </c>
      <c r="Z278" s="513">
        <f t="shared" si="210"/>
        <v>0</v>
      </c>
      <c r="AA278" s="166"/>
      <c r="AB278" s="38"/>
      <c r="AC278" s="38"/>
    </row>
    <row r="279" spans="1:29" hidden="1" outlineLevel="1" x14ac:dyDescent="0.25">
      <c r="A279" s="158" t="s">
        <v>1272</v>
      </c>
      <c r="B279" s="159" t="s">
        <v>301</v>
      </c>
      <c r="C279" s="247">
        <v>5</v>
      </c>
      <c r="D279" s="161" t="s">
        <v>1530</v>
      </c>
      <c r="E279" s="170" t="s">
        <v>1384</v>
      </c>
      <c r="F279" s="40"/>
      <c r="G279" s="40"/>
      <c r="H279" s="33">
        <f t="shared" si="194"/>
        <v>0</v>
      </c>
      <c r="I279" s="504"/>
      <c r="J279" s="504">
        <f t="shared" si="189"/>
        <v>0</v>
      </c>
      <c r="K279" s="498"/>
      <c r="L279" s="498">
        <f t="shared" si="190"/>
        <v>0</v>
      </c>
      <c r="M279" s="34">
        <f t="shared" si="191"/>
        <v>0</v>
      </c>
      <c r="N279" s="163">
        <f t="shared" si="195"/>
        <v>0</v>
      </c>
      <c r="O279" s="172">
        <f t="shared" ref="O279:O285" si="211">N279</f>
        <v>0</v>
      </c>
      <c r="P279" s="520"/>
      <c r="Q279" s="520">
        <f t="shared" si="192"/>
        <v>0</v>
      </c>
      <c r="R279" s="525"/>
      <c r="S279" s="525">
        <f t="shared" si="193"/>
        <v>0</v>
      </c>
      <c r="T279" s="34">
        <f t="shared" si="188"/>
        <v>0</v>
      </c>
      <c r="U279" s="163">
        <f>+ROUND(T279*H279,2)</f>
        <v>0</v>
      </c>
      <c r="V279" s="173">
        <f t="shared" ref="V279:V285" si="212">U279</f>
        <v>0</v>
      </c>
      <c r="W279" s="164"/>
      <c r="X279" s="128" t="s">
        <v>1004</v>
      </c>
      <c r="Y279" s="37">
        <f>+ROUND((O279)*(1+SUMIF($Y$2:$Y$4,X279,$Z$2:$Z$4)),0)</f>
        <v>0</v>
      </c>
      <c r="Z279" s="37">
        <f t="shared" ref="Z279:Z285" si="213">+ROUND((V279)*(1+SUMIF($Y$2:$Y$4,X279,$Z$2:$Z$4)),0)</f>
        <v>0</v>
      </c>
      <c r="AA279" s="166"/>
      <c r="AB279" s="38"/>
      <c r="AC279" s="38"/>
    </row>
    <row r="280" spans="1:29" hidden="1" outlineLevel="2" x14ac:dyDescent="0.25">
      <c r="A280" s="158" t="s">
        <v>1272</v>
      </c>
      <c r="B280" s="159" t="s">
        <v>301</v>
      </c>
      <c r="C280" s="246">
        <v>5.0999999999999996</v>
      </c>
      <c r="D280" s="161" t="s">
        <v>1854</v>
      </c>
      <c r="E280" s="170" t="s">
        <v>1384</v>
      </c>
      <c r="F280" s="40"/>
      <c r="G280" s="40"/>
      <c r="H280" s="33">
        <f t="shared" ref="H280" si="214">+SUM(F280:G280)</f>
        <v>0</v>
      </c>
      <c r="I280" s="504"/>
      <c r="J280" s="504">
        <f t="shared" si="189"/>
        <v>0</v>
      </c>
      <c r="K280" s="498"/>
      <c r="L280" s="498">
        <f t="shared" si="190"/>
        <v>0</v>
      </c>
      <c r="M280" s="34">
        <f t="shared" si="191"/>
        <v>0</v>
      </c>
      <c r="N280" s="163">
        <f t="shared" ref="N280" si="215">+ROUND(M280*H280,2)</f>
        <v>0</v>
      </c>
      <c r="O280" s="172">
        <f t="shared" si="211"/>
        <v>0</v>
      </c>
      <c r="P280" s="520"/>
      <c r="Q280" s="520">
        <f t="shared" si="192"/>
        <v>0</v>
      </c>
      <c r="R280" s="525"/>
      <c r="S280" s="525">
        <f t="shared" si="193"/>
        <v>0</v>
      </c>
      <c r="T280" s="34">
        <f t="shared" si="188"/>
        <v>0</v>
      </c>
      <c r="U280" s="163">
        <f>+ROUND(T280*H280,2)</f>
        <v>0</v>
      </c>
      <c r="V280" s="173">
        <f t="shared" si="212"/>
        <v>0</v>
      </c>
      <c r="W280" s="164"/>
      <c r="X280" s="128" t="s">
        <v>1004</v>
      </c>
      <c r="Y280" s="37">
        <f>+ROUND((O280)*(1+SUMIF($Y$2:$Y$4,X280,$Z$2:$Z$4)),0)</f>
        <v>0</v>
      </c>
      <c r="Z280" s="37">
        <f t="shared" si="213"/>
        <v>0</v>
      </c>
      <c r="AA280" s="166"/>
      <c r="AB280" s="38"/>
      <c r="AC280" s="38"/>
    </row>
    <row r="281" spans="1:29" ht="24" hidden="1" outlineLevel="2" x14ac:dyDescent="0.25">
      <c r="A281" s="158" t="s">
        <v>1272</v>
      </c>
      <c r="B281" s="159" t="str">
        <f>+B279</f>
        <v>3.3/8</v>
      </c>
      <c r="C281" s="168" t="s">
        <v>1531</v>
      </c>
      <c r="D281" s="174" t="s">
        <v>1532</v>
      </c>
      <c r="E281" s="170" t="s">
        <v>1384</v>
      </c>
      <c r="F281" s="171"/>
      <c r="G281" s="171"/>
      <c r="H281" s="33">
        <f t="shared" si="194"/>
        <v>0</v>
      </c>
      <c r="I281" s="505"/>
      <c r="J281" s="505">
        <f t="shared" si="189"/>
        <v>0</v>
      </c>
      <c r="K281" s="499"/>
      <c r="L281" s="499">
        <f t="shared" si="190"/>
        <v>0</v>
      </c>
      <c r="M281" s="39">
        <f t="shared" si="191"/>
        <v>0</v>
      </c>
      <c r="N281" s="163">
        <f t="shared" si="195"/>
        <v>0</v>
      </c>
      <c r="O281" s="172">
        <f t="shared" si="211"/>
        <v>0</v>
      </c>
      <c r="P281" s="521"/>
      <c r="Q281" s="521">
        <f t="shared" si="192"/>
        <v>0</v>
      </c>
      <c r="R281" s="526"/>
      <c r="S281" s="526">
        <f t="shared" si="193"/>
        <v>0</v>
      </c>
      <c r="T281" s="39">
        <f t="shared" si="188"/>
        <v>0</v>
      </c>
      <c r="U281" s="163">
        <f>+ROUND(T281*H281,2)</f>
        <v>0</v>
      </c>
      <c r="V281" s="173">
        <f t="shared" si="212"/>
        <v>0</v>
      </c>
      <c r="W281" s="164"/>
      <c r="X281" s="128" t="s">
        <v>1004</v>
      </c>
      <c r="Y281" s="37">
        <f>+ROUND((O281)*(1+SUMIF($Y$2:$Y$4,X281,$Z$2:$Z$4)),0)</f>
        <v>0</v>
      </c>
      <c r="Z281" s="37">
        <f t="shared" si="213"/>
        <v>0</v>
      </c>
      <c r="AA281" s="166"/>
      <c r="AB281" s="38"/>
      <c r="AC281" s="38"/>
    </row>
    <row r="282" spans="1:29" hidden="1" outlineLevel="2" x14ac:dyDescent="0.25">
      <c r="A282" s="158" t="s">
        <v>1019</v>
      </c>
      <c r="B282" s="159" t="s">
        <v>301</v>
      </c>
      <c r="C282" s="247">
        <v>6</v>
      </c>
      <c r="D282" s="161" t="s">
        <v>1533</v>
      </c>
      <c r="E282" s="170" t="s">
        <v>1384</v>
      </c>
      <c r="F282" s="40"/>
      <c r="G282" s="40"/>
      <c r="H282" s="33">
        <f t="shared" si="194"/>
        <v>0</v>
      </c>
      <c r="I282" s="504"/>
      <c r="J282" s="504">
        <f t="shared" si="189"/>
        <v>0</v>
      </c>
      <c r="K282" s="498"/>
      <c r="L282" s="498">
        <f t="shared" si="190"/>
        <v>0</v>
      </c>
      <c r="M282" s="34">
        <f t="shared" si="191"/>
        <v>0</v>
      </c>
      <c r="N282" s="163">
        <f t="shared" si="195"/>
        <v>0</v>
      </c>
      <c r="O282" s="172">
        <f t="shared" si="211"/>
        <v>0</v>
      </c>
      <c r="P282" s="520"/>
      <c r="Q282" s="520">
        <f t="shared" si="192"/>
        <v>0</v>
      </c>
      <c r="R282" s="525"/>
      <c r="S282" s="525">
        <f t="shared" si="193"/>
        <v>0</v>
      </c>
      <c r="T282" s="34">
        <f t="shared" si="188"/>
        <v>0</v>
      </c>
      <c r="U282" s="163">
        <f>+ROUND(T282*H282,2)</f>
        <v>0</v>
      </c>
      <c r="V282" s="173">
        <f t="shared" si="212"/>
        <v>0</v>
      </c>
      <c r="W282" s="164"/>
      <c r="X282" s="128" t="s">
        <v>1004</v>
      </c>
      <c r="Y282" s="37">
        <f>+ROUND((O282)*(1+SUMIF($Y$2:$Y$4,X282,$Z$2:$Z$4)),0)</f>
        <v>0</v>
      </c>
      <c r="Z282" s="37">
        <f t="shared" si="213"/>
        <v>0</v>
      </c>
      <c r="AA282" s="166"/>
      <c r="AB282" s="38"/>
      <c r="AC282" s="38"/>
    </row>
    <row r="283" spans="1:29" ht="24" hidden="1" outlineLevel="2" x14ac:dyDescent="0.25">
      <c r="A283" s="158" t="s">
        <v>1019</v>
      </c>
      <c r="B283" s="159" t="str">
        <f>+B281</f>
        <v>3.3/8</v>
      </c>
      <c r="C283" s="168">
        <v>6.1</v>
      </c>
      <c r="D283" s="174" t="s">
        <v>1596</v>
      </c>
      <c r="E283" s="170" t="s">
        <v>1384</v>
      </c>
      <c r="F283" s="171"/>
      <c r="G283" s="171"/>
      <c r="H283" s="33">
        <f t="shared" si="194"/>
        <v>0</v>
      </c>
      <c r="I283" s="505"/>
      <c r="J283" s="505">
        <f t="shared" si="189"/>
        <v>0</v>
      </c>
      <c r="K283" s="499"/>
      <c r="L283" s="499">
        <f t="shared" si="190"/>
        <v>0</v>
      </c>
      <c r="M283" s="39">
        <f t="shared" si="191"/>
        <v>0</v>
      </c>
      <c r="N283" s="163">
        <f t="shared" si="195"/>
        <v>0</v>
      </c>
      <c r="O283" s="172">
        <f t="shared" si="211"/>
        <v>0</v>
      </c>
      <c r="P283" s="521"/>
      <c r="Q283" s="521">
        <f t="shared" si="192"/>
        <v>0</v>
      </c>
      <c r="R283" s="526"/>
      <c r="S283" s="526">
        <f t="shared" si="193"/>
        <v>0</v>
      </c>
      <c r="T283" s="39">
        <f t="shared" si="188"/>
        <v>0</v>
      </c>
      <c r="U283" s="163">
        <f>+ROUND(T283*H283,2)</f>
        <v>0</v>
      </c>
      <c r="V283" s="173">
        <f t="shared" si="212"/>
        <v>0</v>
      </c>
      <c r="W283" s="164"/>
      <c r="X283" s="128" t="s">
        <v>1004</v>
      </c>
      <c r="Y283" s="37">
        <f>+ROUND((O283)*(1+SUMIF($Y$2:$Y$4,X283,$Z$2:$Z$4)),0)</f>
        <v>0</v>
      </c>
      <c r="Z283" s="37">
        <f t="shared" si="213"/>
        <v>0</v>
      </c>
      <c r="AA283" s="166"/>
      <c r="AB283" s="38"/>
      <c r="AC283" s="38"/>
    </row>
    <row r="284" spans="1:29" hidden="1" outlineLevel="2" x14ac:dyDescent="0.25">
      <c r="A284" s="158" t="s">
        <v>1019</v>
      </c>
      <c r="B284" s="159" t="str">
        <f>+B283</f>
        <v>3.3/8</v>
      </c>
      <c r="C284" s="248" t="s">
        <v>1535</v>
      </c>
      <c r="D284" s="174" t="s">
        <v>1597</v>
      </c>
      <c r="E284" s="170" t="s">
        <v>1384</v>
      </c>
      <c r="F284" s="40"/>
      <c r="G284" s="40"/>
      <c r="H284" s="33">
        <f t="shared" si="194"/>
        <v>0</v>
      </c>
      <c r="I284" s="504"/>
      <c r="J284" s="504">
        <f t="shared" si="189"/>
        <v>0</v>
      </c>
      <c r="K284" s="498"/>
      <c r="L284" s="498">
        <f t="shared" si="190"/>
        <v>0</v>
      </c>
      <c r="M284" s="34">
        <f t="shared" si="191"/>
        <v>0</v>
      </c>
      <c r="N284" s="163">
        <f t="shared" si="195"/>
        <v>0</v>
      </c>
      <c r="O284" s="172">
        <f t="shared" si="211"/>
        <v>0</v>
      </c>
      <c r="P284" s="520"/>
      <c r="Q284" s="520">
        <f t="shared" si="192"/>
        <v>0</v>
      </c>
      <c r="R284" s="525"/>
      <c r="S284" s="525">
        <f t="shared" si="193"/>
        <v>0</v>
      </c>
      <c r="T284" s="34">
        <f t="shared" si="188"/>
        <v>0</v>
      </c>
      <c r="U284" s="163">
        <f>+ROUND(T284*H284,2)</f>
        <v>0</v>
      </c>
      <c r="V284" s="173">
        <f t="shared" si="212"/>
        <v>0</v>
      </c>
      <c r="W284" s="164"/>
      <c r="X284" s="128" t="s">
        <v>1004</v>
      </c>
      <c r="Y284" s="37">
        <f>+ROUND((O284)*(1+SUMIF($Y$2:$Y$4,X284,$Z$2:$Z$4)),0)</f>
        <v>0</v>
      </c>
      <c r="Z284" s="37">
        <f t="shared" si="213"/>
        <v>0</v>
      </c>
      <c r="AA284" s="166"/>
      <c r="AB284" s="38"/>
      <c r="AC284" s="38"/>
    </row>
    <row r="285" spans="1:29" hidden="1" outlineLevel="2" x14ac:dyDescent="0.25">
      <c r="A285" s="158" t="s">
        <v>1019</v>
      </c>
      <c r="B285" s="159" t="str">
        <f>+B284</f>
        <v>3.3/8</v>
      </c>
      <c r="C285" s="248" t="s">
        <v>1536</v>
      </c>
      <c r="D285" s="174" t="s">
        <v>1597</v>
      </c>
      <c r="E285" s="170" t="s">
        <v>1384</v>
      </c>
      <c r="F285" s="40"/>
      <c r="G285" s="40"/>
      <c r="H285" s="33">
        <f t="shared" si="194"/>
        <v>0</v>
      </c>
      <c r="I285" s="504"/>
      <c r="J285" s="504">
        <f t="shared" si="189"/>
        <v>0</v>
      </c>
      <c r="K285" s="498"/>
      <c r="L285" s="498">
        <f t="shared" si="190"/>
        <v>0</v>
      </c>
      <c r="M285" s="34">
        <f t="shared" si="191"/>
        <v>0</v>
      </c>
      <c r="N285" s="163">
        <f t="shared" si="195"/>
        <v>0</v>
      </c>
      <c r="O285" s="172">
        <f t="shared" si="211"/>
        <v>0</v>
      </c>
      <c r="P285" s="520"/>
      <c r="Q285" s="520">
        <f t="shared" si="192"/>
        <v>0</v>
      </c>
      <c r="R285" s="525"/>
      <c r="S285" s="525">
        <f t="shared" si="193"/>
        <v>0</v>
      </c>
      <c r="T285" s="34">
        <f t="shared" si="188"/>
        <v>0</v>
      </c>
      <c r="U285" s="163">
        <f>+ROUND(T285*H285,2)</f>
        <v>0</v>
      </c>
      <c r="V285" s="173">
        <f t="shared" si="212"/>
        <v>0</v>
      </c>
      <c r="W285" s="164"/>
      <c r="X285" s="128" t="s">
        <v>1004</v>
      </c>
      <c r="Y285" s="37">
        <f>+ROUND((O285)*(1+SUMIF($Y$2:$Y$4,X285,$Z$2:$Z$4)),0)</f>
        <v>0</v>
      </c>
      <c r="Z285" s="37">
        <f t="shared" si="213"/>
        <v>0</v>
      </c>
      <c r="AA285" s="166"/>
      <c r="AB285" s="38"/>
      <c r="AC285" s="38"/>
    </row>
    <row r="286" spans="1:29" hidden="1" outlineLevel="1" x14ac:dyDescent="0.25">
      <c r="A286" s="506" t="s">
        <v>1022</v>
      </c>
      <c r="B286" s="507" t="str">
        <f>+B285</f>
        <v>3.3/8</v>
      </c>
      <c r="C286" s="508"/>
      <c r="D286" s="509" t="s">
        <v>1023</v>
      </c>
      <c r="E286" s="510"/>
      <c r="F286" s="511"/>
      <c r="G286" s="511"/>
      <c r="H286" s="512">
        <f t="shared" si="194"/>
        <v>0</v>
      </c>
      <c r="I286" s="512"/>
      <c r="J286" s="512">
        <f t="shared" si="189"/>
        <v>0</v>
      </c>
      <c r="K286" s="512"/>
      <c r="L286" s="512">
        <f t="shared" si="190"/>
        <v>0</v>
      </c>
      <c r="M286" s="512">
        <f t="shared" si="191"/>
        <v>0</v>
      </c>
      <c r="N286" s="512">
        <f>SUM(N279:N285)</f>
        <v>0</v>
      </c>
      <c r="O286" s="513">
        <f>SUM(O279:O285)</f>
        <v>0</v>
      </c>
      <c r="P286" s="512"/>
      <c r="Q286" s="512">
        <f t="shared" si="192"/>
        <v>0</v>
      </c>
      <c r="R286" s="512"/>
      <c r="S286" s="512">
        <f t="shared" si="193"/>
        <v>0</v>
      </c>
      <c r="T286" s="512">
        <f t="shared" si="188"/>
        <v>0</v>
      </c>
      <c r="U286" s="512">
        <f>SUM(U279:U285)</f>
        <v>0</v>
      </c>
      <c r="V286" s="513">
        <f>SUM(V279:V285)</f>
        <v>0</v>
      </c>
      <c r="W286" s="507"/>
      <c r="X286" s="514" t="s">
        <v>1004</v>
      </c>
      <c r="Y286" s="513">
        <f t="shared" ref="Y286:Z286" si="216">SUM(Y279:Y285)</f>
        <v>0</v>
      </c>
      <c r="Z286" s="513">
        <f t="shared" si="216"/>
        <v>0</v>
      </c>
      <c r="AA286" s="166"/>
      <c r="AB286" s="38"/>
      <c r="AC286" s="38"/>
    </row>
    <row r="287" spans="1:29" hidden="1" outlineLevel="1" x14ac:dyDescent="0.25">
      <c r="A287" s="551" t="s">
        <v>1022</v>
      </c>
      <c r="B287" s="560" t="s">
        <v>1863</v>
      </c>
      <c r="C287" s="553"/>
      <c r="D287" s="564" t="s">
        <v>1024</v>
      </c>
      <c r="E287" s="555"/>
      <c r="F287" s="556"/>
      <c r="G287" s="556"/>
      <c r="H287" s="558">
        <f t="shared" si="194"/>
        <v>0</v>
      </c>
      <c r="I287" s="558"/>
      <c r="J287" s="558">
        <f t="shared" si="189"/>
        <v>0</v>
      </c>
      <c r="K287" s="558"/>
      <c r="L287" s="558">
        <f t="shared" si="190"/>
        <v>0</v>
      </c>
      <c r="M287" s="558">
        <f t="shared" si="191"/>
        <v>0</v>
      </c>
      <c r="N287" s="558">
        <f t="shared" si="195"/>
        <v>0</v>
      </c>
      <c r="O287" s="559"/>
      <c r="P287" s="558"/>
      <c r="Q287" s="558">
        <f t="shared" si="192"/>
        <v>0</v>
      </c>
      <c r="R287" s="558"/>
      <c r="S287" s="558">
        <f t="shared" si="193"/>
        <v>0</v>
      </c>
      <c r="T287" s="558">
        <f t="shared" si="188"/>
        <v>0</v>
      </c>
      <c r="U287" s="558">
        <f>+ROUND(T287*H287,2)</f>
        <v>0</v>
      </c>
      <c r="V287" s="559"/>
      <c r="W287" s="560"/>
      <c r="X287" s="458" t="s">
        <v>1004</v>
      </c>
      <c r="Y287" s="561">
        <f>+ROUND((O287)*(1+SUMIF($Y$2:$Y$4,X287,$Z$2:$Z$4)),0)</f>
        <v>0</v>
      </c>
      <c r="Z287" s="561">
        <f>+ROUND((V287)*(1+SUMIF($Y$2:$Y$4,X287,$Z$2:$Z$4)),0)</f>
        <v>0</v>
      </c>
      <c r="AA287" s="166"/>
      <c r="AB287" s="38"/>
      <c r="AC287" s="38"/>
    </row>
    <row r="288" spans="1:29" hidden="1" outlineLevel="1" x14ac:dyDescent="0.25">
      <c r="A288" s="562" t="s">
        <v>1022</v>
      </c>
      <c r="B288" s="560" t="str">
        <f t="shared" ref="B288:B301" si="217">+B287</f>
        <v>3.3/9</v>
      </c>
      <c r="C288" s="553"/>
      <c r="D288" s="555"/>
      <c r="E288" s="555"/>
      <c r="F288" s="556"/>
      <c r="G288" s="556"/>
      <c r="H288" s="558">
        <f t="shared" si="194"/>
        <v>0</v>
      </c>
      <c r="I288" s="558"/>
      <c r="J288" s="558">
        <f t="shared" si="189"/>
        <v>0</v>
      </c>
      <c r="K288" s="558"/>
      <c r="L288" s="558">
        <f t="shared" si="190"/>
        <v>0</v>
      </c>
      <c r="M288" s="558">
        <f t="shared" si="191"/>
        <v>0</v>
      </c>
      <c r="N288" s="558">
        <f t="shared" si="195"/>
        <v>0</v>
      </c>
      <c r="O288" s="559"/>
      <c r="P288" s="558"/>
      <c r="Q288" s="558">
        <f t="shared" si="192"/>
        <v>0</v>
      </c>
      <c r="R288" s="558"/>
      <c r="S288" s="558">
        <f t="shared" si="193"/>
        <v>0</v>
      </c>
      <c r="T288" s="558">
        <f t="shared" si="188"/>
        <v>0</v>
      </c>
      <c r="U288" s="558">
        <f>+ROUND(T288*H288,2)</f>
        <v>0</v>
      </c>
      <c r="V288" s="559"/>
      <c r="W288" s="560"/>
      <c r="X288" s="458" t="s">
        <v>1004</v>
      </c>
      <c r="Y288" s="561">
        <f>+ROUND((O288)*(1+SUMIF($Y$2:$Y$4,X288,$Z$2:$Z$4)),0)</f>
        <v>0</v>
      </c>
      <c r="Z288" s="561">
        <f>+ROUND((V288)*(1+SUMIF($Y$2:$Y$4,X288,$Z$2:$Z$4)),0)</f>
        <v>0</v>
      </c>
      <c r="AA288" s="166"/>
      <c r="AB288" s="38"/>
      <c r="AC288" s="38"/>
    </row>
    <row r="289" spans="1:29" hidden="1" outlineLevel="1" x14ac:dyDescent="0.25">
      <c r="A289" s="551" t="s">
        <v>1022</v>
      </c>
      <c r="B289" s="560" t="str">
        <f t="shared" si="217"/>
        <v>3.3/9</v>
      </c>
      <c r="C289" s="553"/>
      <c r="D289" s="555" t="s">
        <v>1855</v>
      </c>
      <c r="E289" s="555"/>
      <c r="F289" s="556"/>
      <c r="G289" s="556"/>
      <c r="H289" s="558">
        <f t="shared" si="194"/>
        <v>0</v>
      </c>
      <c r="I289" s="558"/>
      <c r="J289" s="558">
        <f t="shared" si="189"/>
        <v>0</v>
      </c>
      <c r="K289" s="558"/>
      <c r="L289" s="558">
        <f t="shared" si="190"/>
        <v>0</v>
      </c>
      <c r="M289" s="558">
        <f t="shared" si="191"/>
        <v>0</v>
      </c>
      <c r="N289" s="563">
        <f>N180</f>
        <v>0</v>
      </c>
      <c r="O289" s="563">
        <f>O180</f>
        <v>0</v>
      </c>
      <c r="P289" s="558"/>
      <c r="Q289" s="558">
        <f t="shared" si="192"/>
        <v>0</v>
      </c>
      <c r="R289" s="558"/>
      <c r="S289" s="558">
        <f t="shared" si="193"/>
        <v>0</v>
      </c>
      <c r="T289" s="558">
        <f t="shared" si="188"/>
        <v>0</v>
      </c>
      <c r="U289" s="563">
        <f>U180</f>
        <v>0</v>
      </c>
      <c r="V289" s="563">
        <f>V180</f>
        <v>0</v>
      </c>
      <c r="W289" s="560"/>
      <c r="X289" s="458" t="s">
        <v>1004</v>
      </c>
      <c r="Y289" s="563">
        <f>SUM(Y170:Y179)</f>
        <v>0</v>
      </c>
      <c r="Z289" s="563">
        <f>SUM(Z170:Z179)</f>
        <v>0</v>
      </c>
      <c r="AA289" s="166"/>
      <c r="AB289" s="38"/>
      <c r="AC289" s="38"/>
    </row>
    <row r="290" spans="1:29" hidden="1" outlineLevel="1" x14ac:dyDescent="0.25">
      <c r="A290" s="551" t="s">
        <v>1022</v>
      </c>
      <c r="B290" s="560" t="str">
        <f t="shared" si="217"/>
        <v>3.3/9</v>
      </c>
      <c r="C290" s="553"/>
      <c r="D290" s="555" t="s">
        <v>1856</v>
      </c>
      <c r="E290" s="555"/>
      <c r="F290" s="556"/>
      <c r="G290" s="556"/>
      <c r="H290" s="558">
        <f t="shared" si="194"/>
        <v>0</v>
      </c>
      <c r="I290" s="558"/>
      <c r="J290" s="558">
        <f t="shared" si="189"/>
        <v>0</v>
      </c>
      <c r="K290" s="558"/>
      <c r="L290" s="558">
        <f t="shared" si="190"/>
        <v>0</v>
      </c>
      <c r="M290" s="558">
        <f t="shared" si="191"/>
        <v>0</v>
      </c>
      <c r="N290" s="563">
        <f>N199</f>
        <v>0</v>
      </c>
      <c r="O290" s="563">
        <f>O199</f>
        <v>0</v>
      </c>
      <c r="P290" s="558"/>
      <c r="Q290" s="558">
        <f t="shared" si="192"/>
        <v>0</v>
      </c>
      <c r="R290" s="558"/>
      <c r="S290" s="558">
        <f t="shared" si="193"/>
        <v>0</v>
      </c>
      <c r="T290" s="558">
        <f t="shared" si="188"/>
        <v>0</v>
      </c>
      <c r="U290" s="563">
        <f>U199</f>
        <v>0</v>
      </c>
      <c r="V290" s="563">
        <f>V199</f>
        <v>0</v>
      </c>
      <c r="W290" s="560"/>
      <c r="X290" s="458" t="s">
        <v>1004</v>
      </c>
      <c r="Y290" s="563">
        <f>SUM(Y183:Y198)</f>
        <v>0</v>
      </c>
      <c r="Z290" s="563">
        <f>SUM(Z183:Z198)</f>
        <v>0</v>
      </c>
      <c r="AA290" s="166"/>
      <c r="AB290" s="38"/>
      <c r="AC290" s="38"/>
    </row>
    <row r="291" spans="1:29" hidden="1" outlineLevel="1" x14ac:dyDescent="0.25">
      <c r="A291" s="551" t="s">
        <v>1022</v>
      </c>
      <c r="B291" s="560" t="str">
        <f t="shared" si="217"/>
        <v>3.3/9</v>
      </c>
      <c r="C291" s="553"/>
      <c r="D291" s="555" t="s">
        <v>1857</v>
      </c>
      <c r="E291" s="555"/>
      <c r="F291" s="556"/>
      <c r="G291" s="556"/>
      <c r="H291" s="558">
        <f t="shared" si="194"/>
        <v>0</v>
      </c>
      <c r="I291" s="558"/>
      <c r="J291" s="558">
        <f t="shared" si="189"/>
        <v>0</v>
      </c>
      <c r="K291" s="558"/>
      <c r="L291" s="558">
        <f t="shared" si="190"/>
        <v>0</v>
      </c>
      <c r="M291" s="558">
        <f t="shared" si="191"/>
        <v>0</v>
      </c>
      <c r="N291" s="563">
        <f>N216</f>
        <v>0</v>
      </c>
      <c r="O291" s="563">
        <f>O216</f>
        <v>0</v>
      </c>
      <c r="P291" s="558"/>
      <c r="Q291" s="558">
        <f t="shared" si="192"/>
        <v>0</v>
      </c>
      <c r="R291" s="558"/>
      <c r="S291" s="558">
        <f t="shared" si="193"/>
        <v>0</v>
      </c>
      <c r="T291" s="558">
        <f t="shared" si="188"/>
        <v>0</v>
      </c>
      <c r="U291" s="563">
        <f>U216</f>
        <v>0</v>
      </c>
      <c r="V291" s="563">
        <f>V216</f>
        <v>0</v>
      </c>
      <c r="W291" s="560"/>
      <c r="X291" s="458" t="s">
        <v>1004</v>
      </c>
      <c r="Y291" s="563">
        <f>SUM(Y202:Y215)</f>
        <v>0</v>
      </c>
      <c r="Z291" s="563">
        <f>SUM(Z202:Z215)</f>
        <v>0</v>
      </c>
      <c r="AA291" s="166"/>
      <c r="AB291" s="38"/>
      <c r="AC291" s="38"/>
    </row>
    <row r="292" spans="1:29" hidden="1" outlineLevel="1" x14ac:dyDescent="0.25">
      <c r="A292" s="551" t="s">
        <v>1022</v>
      </c>
      <c r="B292" s="560" t="str">
        <f t="shared" si="217"/>
        <v>3.3/9</v>
      </c>
      <c r="C292" s="553"/>
      <c r="D292" s="555" t="s">
        <v>1858</v>
      </c>
      <c r="E292" s="555"/>
      <c r="F292" s="556"/>
      <c r="G292" s="556"/>
      <c r="H292" s="558">
        <f t="shared" si="194"/>
        <v>0</v>
      </c>
      <c r="I292" s="558"/>
      <c r="J292" s="558">
        <f t="shared" si="189"/>
        <v>0</v>
      </c>
      <c r="K292" s="558"/>
      <c r="L292" s="558">
        <f t="shared" si="190"/>
        <v>0</v>
      </c>
      <c r="M292" s="558">
        <f t="shared" si="191"/>
        <v>0</v>
      </c>
      <c r="N292" s="563">
        <f>N230</f>
        <v>0</v>
      </c>
      <c r="O292" s="563">
        <f>O230</f>
        <v>0</v>
      </c>
      <c r="P292" s="558"/>
      <c r="Q292" s="558">
        <f t="shared" si="192"/>
        <v>0</v>
      </c>
      <c r="R292" s="558"/>
      <c r="S292" s="558">
        <f t="shared" si="193"/>
        <v>0</v>
      </c>
      <c r="T292" s="558">
        <f t="shared" si="188"/>
        <v>0</v>
      </c>
      <c r="U292" s="563">
        <f>U230</f>
        <v>0</v>
      </c>
      <c r="V292" s="563">
        <f>V230</f>
        <v>0</v>
      </c>
      <c r="W292" s="560"/>
      <c r="X292" s="458" t="s">
        <v>1004</v>
      </c>
      <c r="Y292" s="563">
        <f>SUM(Y219:Y229)</f>
        <v>0</v>
      </c>
      <c r="Z292" s="563">
        <f>SUM(Z219:Z229)</f>
        <v>0</v>
      </c>
      <c r="AA292" s="166"/>
      <c r="AB292" s="38"/>
      <c r="AC292" s="38"/>
    </row>
    <row r="293" spans="1:29" hidden="1" outlineLevel="1" x14ac:dyDescent="0.25">
      <c r="A293" s="551" t="s">
        <v>1022</v>
      </c>
      <c r="B293" s="560" t="str">
        <f t="shared" si="217"/>
        <v>3.3/9</v>
      </c>
      <c r="C293" s="553"/>
      <c r="D293" s="555" t="s">
        <v>1859</v>
      </c>
      <c r="E293" s="555"/>
      <c r="F293" s="556"/>
      <c r="G293" s="556"/>
      <c r="H293" s="558">
        <f t="shared" si="194"/>
        <v>0</v>
      </c>
      <c r="I293" s="558"/>
      <c r="J293" s="558">
        <f t="shared" si="189"/>
        <v>0</v>
      </c>
      <c r="K293" s="558"/>
      <c r="L293" s="558">
        <f t="shared" si="190"/>
        <v>0</v>
      </c>
      <c r="M293" s="558">
        <f t="shared" si="191"/>
        <v>0</v>
      </c>
      <c r="N293" s="563">
        <f>N246</f>
        <v>0</v>
      </c>
      <c r="O293" s="563">
        <f>O246</f>
        <v>0</v>
      </c>
      <c r="P293" s="558"/>
      <c r="Q293" s="558">
        <f t="shared" si="192"/>
        <v>0</v>
      </c>
      <c r="R293" s="558"/>
      <c r="S293" s="558">
        <f t="shared" si="193"/>
        <v>0</v>
      </c>
      <c r="T293" s="558">
        <f t="shared" si="188"/>
        <v>0</v>
      </c>
      <c r="U293" s="563">
        <f>U246</f>
        <v>0</v>
      </c>
      <c r="V293" s="563">
        <f>V246</f>
        <v>0</v>
      </c>
      <c r="W293" s="560"/>
      <c r="X293" s="458" t="s">
        <v>1004</v>
      </c>
      <c r="Y293" s="563">
        <f>SUM(Y232:Y245)</f>
        <v>0</v>
      </c>
      <c r="Z293" s="563">
        <f>SUM(Z232:Z245)</f>
        <v>0</v>
      </c>
      <c r="AA293" s="166"/>
      <c r="AB293" s="38"/>
      <c r="AC293" s="38"/>
    </row>
    <row r="294" spans="1:29" hidden="1" outlineLevel="1" x14ac:dyDescent="0.25">
      <c r="A294" s="551" t="s">
        <v>1022</v>
      </c>
      <c r="B294" s="560" t="str">
        <f t="shared" si="217"/>
        <v>3.3/9</v>
      </c>
      <c r="C294" s="553"/>
      <c r="D294" s="555" t="s">
        <v>1860</v>
      </c>
      <c r="E294" s="555"/>
      <c r="F294" s="556"/>
      <c r="G294" s="556"/>
      <c r="H294" s="558">
        <f t="shared" si="194"/>
        <v>0</v>
      </c>
      <c r="I294" s="558"/>
      <c r="J294" s="558">
        <f t="shared" si="189"/>
        <v>0</v>
      </c>
      <c r="K294" s="558"/>
      <c r="L294" s="558">
        <f t="shared" si="190"/>
        <v>0</v>
      </c>
      <c r="M294" s="558">
        <f t="shared" si="191"/>
        <v>0</v>
      </c>
      <c r="N294" s="563">
        <f>N261</f>
        <v>0</v>
      </c>
      <c r="O294" s="563">
        <f>O261</f>
        <v>0</v>
      </c>
      <c r="P294" s="558"/>
      <c r="Q294" s="558">
        <f t="shared" si="192"/>
        <v>0</v>
      </c>
      <c r="R294" s="558"/>
      <c r="S294" s="558">
        <f t="shared" si="193"/>
        <v>0</v>
      </c>
      <c r="T294" s="558">
        <f t="shared" si="188"/>
        <v>0</v>
      </c>
      <c r="U294" s="563">
        <f>U261</f>
        <v>0</v>
      </c>
      <c r="V294" s="563">
        <f>V261</f>
        <v>0</v>
      </c>
      <c r="W294" s="560"/>
      <c r="X294" s="458" t="s">
        <v>1004</v>
      </c>
      <c r="Y294" s="563">
        <f>SUM(Y247:Y260)</f>
        <v>0</v>
      </c>
      <c r="Z294" s="563">
        <f>SUM(Z247:Z260)</f>
        <v>0</v>
      </c>
      <c r="AA294" s="166"/>
      <c r="AB294" s="38"/>
      <c r="AC294" s="38"/>
    </row>
    <row r="295" spans="1:29" hidden="1" outlineLevel="1" x14ac:dyDescent="0.25">
      <c r="A295" s="551" t="s">
        <v>1022</v>
      </c>
      <c r="B295" s="560" t="str">
        <f t="shared" si="217"/>
        <v>3.3/9</v>
      </c>
      <c r="C295" s="553"/>
      <c r="D295" s="555" t="s">
        <v>1861</v>
      </c>
      <c r="E295" s="555"/>
      <c r="F295" s="556"/>
      <c r="G295" s="556"/>
      <c r="H295" s="558">
        <f t="shared" si="194"/>
        <v>0</v>
      </c>
      <c r="I295" s="558"/>
      <c r="J295" s="558">
        <f t="shared" si="189"/>
        <v>0</v>
      </c>
      <c r="K295" s="558"/>
      <c r="L295" s="558">
        <f t="shared" si="190"/>
        <v>0</v>
      </c>
      <c r="M295" s="558">
        <f t="shared" si="191"/>
        <v>0</v>
      </c>
      <c r="N295" s="563">
        <f>N278</f>
        <v>0</v>
      </c>
      <c r="O295" s="563">
        <f>O278</f>
        <v>0</v>
      </c>
      <c r="P295" s="558"/>
      <c r="Q295" s="558">
        <f t="shared" si="192"/>
        <v>0</v>
      </c>
      <c r="R295" s="558"/>
      <c r="S295" s="558">
        <f t="shared" si="193"/>
        <v>0</v>
      </c>
      <c r="T295" s="558">
        <f t="shared" si="188"/>
        <v>0</v>
      </c>
      <c r="U295" s="563">
        <f>U278</f>
        <v>0</v>
      </c>
      <c r="V295" s="563">
        <f>V278</f>
        <v>0</v>
      </c>
      <c r="W295" s="560"/>
      <c r="X295" s="458" t="s">
        <v>1004</v>
      </c>
      <c r="Y295" s="563">
        <f>SUM(Y262:Y277)</f>
        <v>0</v>
      </c>
      <c r="Z295" s="563">
        <f>SUM(Z262:Z277)</f>
        <v>0</v>
      </c>
      <c r="AA295" s="166"/>
      <c r="AB295" s="38"/>
      <c r="AC295" s="38"/>
    </row>
    <row r="296" spans="1:29" hidden="1" outlineLevel="1" x14ac:dyDescent="0.25">
      <c r="A296" s="551" t="s">
        <v>1022</v>
      </c>
      <c r="B296" s="560" t="str">
        <f t="shared" si="217"/>
        <v>3.3/9</v>
      </c>
      <c r="C296" s="553"/>
      <c r="D296" s="555" t="s">
        <v>1862</v>
      </c>
      <c r="E296" s="555"/>
      <c r="F296" s="556"/>
      <c r="G296" s="556"/>
      <c r="H296" s="558">
        <f t="shared" ref="H296" si="218">+SUM(F296:G296)</f>
        <v>0</v>
      </c>
      <c r="I296" s="558"/>
      <c r="J296" s="558">
        <f t="shared" si="189"/>
        <v>0</v>
      </c>
      <c r="K296" s="558"/>
      <c r="L296" s="558">
        <f t="shared" si="190"/>
        <v>0</v>
      </c>
      <c r="M296" s="558">
        <f t="shared" si="191"/>
        <v>0</v>
      </c>
      <c r="N296" s="563">
        <f>N286</f>
        <v>0</v>
      </c>
      <c r="O296" s="563">
        <f>O286</f>
        <v>0</v>
      </c>
      <c r="P296" s="558"/>
      <c r="Q296" s="558">
        <f t="shared" si="192"/>
        <v>0</v>
      </c>
      <c r="R296" s="558"/>
      <c r="S296" s="558">
        <f t="shared" si="193"/>
        <v>0</v>
      </c>
      <c r="T296" s="558">
        <f t="shared" si="188"/>
        <v>0</v>
      </c>
      <c r="U296" s="563">
        <f>U286</f>
        <v>0</v>
      </c>
      <c r="V296" s="563">
        <f>V286</f>
        <v>0</v>
      </c>
      <c r="W296" s="560"/>
      <c r="X296" s="458" t="s">
        <v>1004</v>
      </c>
      <c r="Y296" s="563">
        <f>SUM(Y279:Y285)</f>
        <v>0</v>
      </c>
      <c r="Z296" s="563">
        <f>SUM(Z279:Z285)</f>
        <v>0</v>
      </c>
      <c r="AA296" s="166"/>
      <c r="AB296" s="38"/>
      <c r="AC296" s="38"/>
    </row>
    <row r="297" spans="1:29" hidden="1" outlineLevel="1" x14ac:dyDescent="0.25">
      <c r="A297" s="565" t="s">
        <v>1022</v>
      </c>
      <c r="B297" s="560" t="str">
        <f>+B295</f>
        <v>3.3/9</v>
      </c>
      <c r="C297" s="553"/>
      <c r="D297" s="555"/>
      <c r="E297" s="555"/>
      <c r="F297" s="556"/>
      <c r="G297" s="556"/>
      <c r="H297" s="558">
        <f t="shared" si="194"/>
        <v>0</v>
      </c>
      <c r="I297" s="558"/>
      <c r="J297" s="558">
        <f t="shared" si="189"/>
        <v>0</v>
      </c>
      <c r="K297" s="558"/>
      <c r="L297" s="558">
        <f t="shared" si="190"/>
        <v>0</v>
      </c>
      <c r="M297" s="558">
        <f t="shared" si="191"/>
        <v>0</v>
      </c>
      <c r="N297" s="558">
        <f t="shared" si="195"/>
        <v>0</v>
      </c>
      <c r="O297" s="563">
        <f>SUM(O289:O295)</f>
        <v>0</v>
      </c>
      <c r="P297" s="558"/>
      <c r="Q297" s="558">
        <f t="shared" si="192"/>
        <v>0</v>
      </c>
      <c r="R297" s="558"/>
      <c r="S297" s="558">
        <f t="shared" si="193"/>
        <v>0</v>
      </c>
      <c r="T297" s="558">
        <f t="shared" si="188"/>
        <v>0</v>
      </c>
      <c r="U297" s="558">
        <f>+ROUND(T297*H297,2)</f>
        <v>0</v>
      </c>
      <c r="V297" s="563">
        <f>SUM(V289:V295)</f>
        <v>0</v>
      </c>
      <c r="W297" s="560"/>
      <c r="X297" s="458" t="s">
        <v>1004</v>
      </c>
      <c r="Y297" s="561">
        <f>SUM(Y289:Y295)</f>
        <v>0</v>
      </c>
      <c r="Z297" s="561">
        <f>SUM(Z289:Z295)</f>
        <v>0</v>
      </c>
      <c r="AA297" s="166"/>
      <c r="AB297" s="38"/>
      <c r="AC297" s="38"/>
    </row>
    <row r="298" spans="1:29" collapsed="1" x14ac:dyDescent="0.25">
      <c r="A298" s="506" t="s">
        <v>1022</v>
      </c>
      <c r="B298" s="507" t="str">
        <f>+B297</f>
        <v>3.3/9</v>
      </c>
      <c r="C298" s="508"/>
      <c r="D298" s="509" t="s">
        <v>1023</v>
      </c>
      <c r="E298" s="510"/>
      <c r="F298" s="511"/>
      <c r="G298" s="511"/>
      <c r="H298" s="512">
        <f t="shared" ref="H298:H299" si="219">+SUM(F298:G298)</f>
        <v>0</v>
      </c>
      <c r="I298" s="512"/>
      <c r="J298" s="512">
        <f t="shared" si="189"/>
        <v>0</v>
      </c>
      <c r="K298" s="512"/>
      <c r="L298" s="512">
        <f t="shared" si="190"/>
        <v>0</v>
      </c>
      <c r="M298" s="512">
        <f t="shared" si="191"/>
        <v>0</v>
      </c>
      <c r="N298" s="513">
        <f>SUM(N288:N297)</f>
        <v>0</v>
      </c>
      <c r="O298" s="513">
        <f>SUM(O288:O297)</f>
        <v>0</v>
      </c>
      <c r="P298" s="512"/>
      <c r="Q298" s="512">
        <f t="shared" si="192"/>
        <v>0</v>
      </c>
      <c r="R298" s="512"/>
      <c r="S298" s="512">
        <f t="shared" si="193"/>
        <v>0</v>
      </c>
      <c r="T298" s="512">
        <f t="shared" si="188"/>
        <v>0</v>
      </c>
      <c r="U298" s="513">
        <f>SUM(U288:U297)</f>
        <v>0</v>
      </c>
      <c r="V298" s="513">
        <f>SUM(V288:V297)</f>
        <v>0</v>
      </c>
      <c r="W298" s="507"/>
      <c r="X298" s="514" t="s">
        <v>1004</v>
      </c>
      <c r="Y298" s="513">
        <f>SUM(Y288:Y297)</f>
        <v>0</v>
      </c>
      <c r="Z298" s="513">
        <f>SUM(Z288:Z297)</f>
        <v>0</v>
      </c>
      <c r="AA298" s="166"/>
      <c r="AB298" s="38"/>
      <c r="AC298" s="38"/>
    </row>
    <row r="299" spans="1:29" x14ac:dyDescent="0.25">
      <c r="A299" s="158" t="s">
        <v>1019</v>
      </c>
      <c r="B299" s="159" t="s">
        <v>306</v>
      </c>
      <c r="C299" s="160"/>
      <c r="D299" s="162"/>
      <c r="E299" s="162"/>
      <c r="F299" s="40"/>
      <c r="G299" s="40"/>
      <c r="H299" s="33">
        <f t="shared" si="219"/>
        <v>0</v>
      </c>
      <c r="I299" s="504"/>
      <c r="J299" s="504">
        <f t="shared" si="189"/>
        <v>0</v>
      </c>
      <c r="K299" s="498"/>
      <c r="L299" s="498">
        <f t="shared" si="190"/>
        <v>0</v>
      </c>
      <c r="M299" s="34">
        <f t="shared" si="191"/>
        <v>0</v>
      </c>
      <c r="N299" s="34">
        <f t="shared" ref="N299" si="220">+ROUND(M299*H299,2)</f>
        <v>0</v>
      </c>
      <c r="O299" s="172">
        <f t="shared" ref="O299:O309" si="221">N299</f>
        <v>0</v>
      </c>
      <c r="P299" s="520"/>
      <c r="Q299" s="520">
        <f t="shared" si="192"/>
        <v>0</v>
      </c>
      <c r="R299" s="525"/>
      <c r="S299" s="525">
        <f t="shared" si="193"/>
        <v>0</v>
      </c>
      <c r="T299" s="39">
        <f t="shared" si="188"/>
        <v>0</v>
      </c>
      <c r="U299" s="163">
        <f>+ROUND(T299*H299,2)</f>
        <v>0</v>
      </c>
      <c r="V299" s="173">
        <f t="shared" ref="V299:V309" si="222">U299</f>
        <v>0</v>
      </c>
      <c r="W299" s="164"/>
      <c r="X299" s="128" t="s">
        <v>1004</v>
      </c>
      <c r="Y299" s="37">
        <f>+ROUND((O299)*(1+SUMIF($Y$2:$Y$4,X299,$Z$2:$Z$4)),0)</f>
        <v>0</v>
      </c>
      <c r="Z299" s="37">
        <f t="shared" ref="Z299:Z313" si="223">+ROUND((V299)*(1+SUMIF($Y$2:$Y$4,X299,$Z$2:$Z$4)),0)</f>
        <v>0</v>
      </c>
      <c r="AA299" s="166"/>
      <c r="AB299" s="38"/>
      <c r="AC299" s="38"/>
    </row>
    <row r="300" spans="1:29" x14ac:dyDescent="0.25">
      <c r="A300" s="158" t="s">
        <v>1019</v>
      </c>
      <c r="B300" s="159" t="str">
        <f>+B299</f>
        <v>3.4/1</v>
      </c>
      <c r="C300" s="160"/>
      <c r="D300" s="161" t="s">
        <v>1598</v>
      </c>
      <c r="E300" s="162"/>
      <c r="F300" s="40"/>
      <c r="G300" s="40"/>
      <c r="H300" s="33">
        <f t="shared" si="194"/>
        <v>0</v>
      </c>
      <c r="I300" s="504"/>
      <c r="J300" s="504">
        <f t="shared" si="189"/>
        <v>0</v>
      </c>
      <c r="K300" s="498"/>
      <c r="L300" s="498">
        <f t="shared" si="190"/>
        <v>0</v>
      </c>
      <c r="M300" s="34">
        <f t="shared" si="191"/>
        <v>0</v>
      </c>
      <c r="N300" s="163">
        <f t="shared" si="195"/>
        <v>0</v>
      </c>
      <c r="O300" s="172">
        <f t="shared" si="221"/>
        <v>0</v>
      </c>
      <c r="P300" s="520"/>
      <c r="Q300" s="520">
        <f t="shared" si="192"/>
        <v>0</v>
      </c>
      <c r="R300" s="525"/>
      <c r="S300" s="525">
        <f t="shared" si="193"/>
        <v>0</v>
      </c>
      <c r="T300" s="39">
        <f t="shared" si="188"/>
        <v>0</v>
      </c>
      <c r="U300" s="163">
        <f>+ROUND(T300*H300,2)</f>
        <v>0</v>
      </c>
      <c r="V300" s="173">
        <f t="shared" si="222"/>
        <v>0</v>
      </c>
      <c r="W300" s="164"/>
      <c r="X300" s="128" t="s">
        <v>1004</v>
      </c>
      <c r="Y300" s="37">
        <f>+ROUND((O300)*(1+SUMIF($Y$2:$Y$4,X300,$Z$2:$Z$4)),0)</f>
        <v>0</v>
      </c>
      <c r="Z300" s="37">
        <f t="shared" si="223"/>
        <v>0</v>
      </c>
      <c r="AA300" s="166"/>
      <c r="AB300" s="38"/>
      <c r="AC300" s="38"/>
    </row>
    <row r="301" spans="1:29" ht="24" hidden="1" outlineLevel="2" x14ac:dyDescent="0.25">
      <c r="A301" s="158" t="s">
        <v>1019</v>
      </c>
      <c r="B301" s="159" t="str">
        <f t="shared" si="217"/>
        <v>3.4/1</v>
      </c>
      <c r="C301" s="160"/>
      <c r="D301" s="227" t="s">
        <v>1599</v>
      </c>
      <c r="E301" s="162"/>
      <c r="F301" s="40"/>
      <c r="G301" s="40"/>
      <c r="H301" s="33">
        <f t="shared" si="194"/>
        <v>0</v>
      </c>
      <c r="I301" s="504"/>
      <c r="J301" s="504">
        <f t="shared" si="189"/>
        <v>0</v>
      </c>
      <c r="K301" s="498"/>
      <c r="L301" s="498">
        <f t="shared" si="190"/>
        <v>0</v>
      </c>
      <c r="M301" s="34">
        <f t="shared" si="191"/>
        <v>0</v>
      </c>
      <c r="N301" s="163">
        <f t="shared" si="195"/>
        <v>0</v>
      </c>
      <c r="O301" s="172">
        <f t="shared" si="221"/>
        <v>0</v>
      </c>
      <c r="P301" s="520"/>
      <c r="Q301" s="520">
        <f t="shared" si="192"/>
        <v>0</v>
      </c>
      <c r="R301" s="525"/>
      <c r="S301" s="525">
        <f t="shared" si="193"/>
        <v>0</v>
      </c>
      <c r="T301" s="39">
        <f t="shared" si="188"/>
        <v>0</v>
      </c>
      <c r="U301" s="163">
        <f>+ROUND(T301*H301,2)</f>
        <v>0</v>
      </c>
      <c r="V301" s="173">
        <f t="shared" si="222"/>
        <v>0</v>
      </c>
      <c r="W301" s="164"/>
      <c r="X301" s="128" t="s">
        <v>1004</v>
      </c>
      <c r="Y301" s="37">
        <f>+ROUND((O301)*(1+SUMIF($Y$2:$Y$4,X301,$Z$2:$Z$4)),0)</f>
        <v>0</v>
      </c>
      <c r="Z301" s="37">
        <f t="shared" si="223"/>
        <v>0</v>
      </c>
      <c r="AA301" s="166"/>
      <c r="AB301" s="38"/>
      <c r="AC301" s="38"/>
    </row>
    <row r="302" spans="1:29" hidden="1" outlineLevel="2" x14ac:dyDescent="0.25">
      <c r="A302" s="158" t="s">
        <v>1019</v>
      </c>
      <c r="B302" s="187" t="str">
        <f>+B301</f>
        <v>3.4/1</v>
      </c>
      <c r="C302" s="160">
        <v>1</v>
      </c>
      <c r="D302" s="161" t="s">
        <v>1380</v>
      </c>
      <c r="E302" s="162"/>
      <c r="F302" s="40"/>
      <c r="G302" s="40"/>
      <c r="H302" s="33">
        <f t="shared" si="194"/>
        <v>0</v>
      </c>
      <c r="I302" s="504"/>
      <c r="J302" s="504">
        <f t="shared" si="189"/>
        <v>0</v>
      </c>
      <c r="K302" s="498"/>
      <c r="L302" s="498">
        <f t="shared" si="190"/>
        <v>0</v>
      </c>
      <c r="M302" s="34">
        <f t="shared" si="191"/>
        <v>0</v>
      </c>
      <c r="N302" s="163">
        <f t="shared" si="195"/>
        <v>0</v>
      </c>
      <c r="O302" s="172">
        <f t="shared" si="221"/>
        <v>0</v>
      </c>
      <c r="P302" s="520"/>
      <c r="Q302" s="520">
        <f t="shared" si="192"/>
        <v>0</v>
      </c>
      <c r="R302" s="525"/>
      <c r="S302" s="525">
        <f t="shared" si="193"/>
        <v>0</v>
      </c>
      <c r="T302" s="39">
        <f t="shared" si="188"/>
        <v>0</v>
      </c>
      <c r="U302" s="163">
        <f>+ROUND(T302*H302,2)</f>
        <v>0</v>
      </c>
      <c r="V302" s="173">
        <f t="shared" si="222"/>
        <v>0</v>
      </c>
      <c r="W302" s="164"/>
      <c r="X302" s="128" t="s">
        <v>1004</v>
      </c>
      <c r="Y302" s="37">
        <f>+ROUND((O302)*(1+SUMIF($Y$2:$Y$4,X302,$Z$2:$Z$4)),0)</f>
        <v>0</v>
      </c>
      <c r="Z302" s="37">
        <f t="shared" si="223"/>
        <v>0</v>
      </c>
      <c r="AA302" s="166"/>
      <c r="AB302" s="38"/>
      <c r="AC302" s="38"/>
    </row>
    <row r="303" spans="1:29" hidden="1" outlineLevel="2" x14ac:dyDescent="0.25">
      <c r="A303" s="158" t="s">
        <v>1019</v>
      </c>
      <c r="B303" s="187" t="str">
        <f t="shared" ref="B303:B347" si="224">+B302</f>
        <v>3.4/1</v>
      </c>
      <c r="C303" s="160">
        <v>1.1000000000000001</v>
      </c>
      <c r="D303" s="161" t="s">
        <v>1381</v>
      </c>
      <c r="E303" s="162"/>
      <c r="F303" s="40"/>
      <c r="G303" s="40"/>
      <c r="H303" s="33">
        <f t="shared" si="194"/>
        <v>0</v>
      </c>
      <c r="I303" s="504"/>
      <c r="J303" s="504">
        <f t="shared" si="189"/>
        <v>0</v>
      </c>
      <c r="K303" s="498"/>
      <c r="L303" s="498">
        <f t="shared" si="190"/>
        <v>0</v>
      </c>
      <c r="M303" s="34">
        <f t="shared" si="191"/>
        <v>0</v>
      </c>
      <c r="N303" s="163">
        <f t="shared" si="195"/>
        <v>0</v>
      </c>
      <c r="O303" s="172">
        <f t="shared" si="221"/>
        <v>0</v>
      </c>
      <c r="P303" s="520"/>
      <c r="Q303" s="520">
        <f t="shared" si="192"/>
        <v>0</v>
      </c>
      <c r="R303" s="525"/>
      <c r="S303" s="525">
        <f t="shared" si="193"/>
        <v>0</v>
      </c>
      <c r="T303" s="39">
        <f t="shared" si="188"/>
        <v>0</v>
      </c>
      <c r="U303" s="163">
        <f>+ROUND(T303*H303,2)</f>
        <v>0</v>
      </c>
      <c r="V303" s="173">
        <f t="shared" si="222"/>
        <v>0</v>
      </c>
      <c r="W303" s="164"/>
      <c r="X303" s="128" t="s">
        <v>1004</v>
      </c>
      <c r="Y303" s="37">
        <f>+ROUND((O303)*(1+SUMIF($Y$2:$Y$4,X303,$Z$2:$Z$4)),0)</f>
        <v>0</v>
      </c>
      <c r="Z303" s="37">
        <f t="shared" si="223"/>
        <v>0</v>
      </c>
      <c r="AA303" s="166"/>
      <c r="AB303" s="38"/>
      <c r="AC303" s="38"/>
    </row>
    <row r="304" spans="1:29" hidden="1" outlineLevel="2" x14ac:dyDescent="0.25">
      <c r="A304" s="158" t="s">
        <v>1264</v>
      </c>
      <c r="B304" s="187" t="str">
        <f t="shared" si="224"/>
        <v>3.4/1</v>
      </c>
      <c r="C304" s="168" t="s">
        <v>1382</v>
      </c>
      <c r="D304" s="169" t="s">
        <v>1383</v>
      </c>
      <c r="E304" s="170" t="s">
        <v>1384</v>
      </c>
      <c r="F304" s="171"/>
      <c r="G304" s="171"/>
      <c r="H304" s="33">
        <f t="shared" si="194"/>
        <v>0</v>
      </c>
      <c r="I304" s="505"/>
      <c r="J304" s="505">
        <f t="shared" si="189"/>
        <v>0</v>
      </c>
      <c r="K304" s="499"/>
      <c r="L304" s="499">
        <f t="shared" si="190"/>
        <v>0</v>
      </c>
      <c r="M304" s="39">
        <f t="shared" si="191"/>
        <v>0</v>
      </c>
      <c r="N304" s="163">
        <f t="shared" si="195"/>
        <v>0</v>
      </c>
      <c r="O304" s="172">
        <f>N304</f>
        <v>0</v>
      </c>
      <c r="P304" s="521"/>
      <c r="Q304" s="521">
        <f t="shared" si="192"/>
        <v>0</v>
      </c>
      <c r="R304" s="526"/>
      <c r="S304" s="526">
        <f t="shared" si="193"/>
        <v>0</v>
      </c>
      <c r="T304" s="39">
        <f t="shared" si="188"/>
        <v>0</v>
      </c>
      <c r="U304" s="163">
        <f>+ROUND(T304*H304,2)</f>
        <v>0</v>
      </c>
      <c r="V304" s="173">
        <f>U304</f>
        <v>0</v>
      </c>
      <c r="W304" s="164"/>
      <c r="X304" s="128" t="s">
        <v>1004</v>
      </c>
      <c r="Y304" s="37">
        <f>+ROUND((O304)*(1+SUMIF($Y$2:$Y$4,X304,$Z$2:$Z$4)),0)</f>
        <v>0</v>
      </c>
      <c r="Z304" s="37">
        <f t="shared" si="223"/>
        <v>0</v>
      </c>
      <c r="AA304" s="166"/>
      <c r="AB304" s="38"/>
      <c r="AC304" s="38"/>
    </row>
    <row r="305" spans="1:29" hidden="1" outlineLevel="2" x14ac:dyDescent="0.25">
      <c r="A305" s="158" t="s">
        <v>1093</v>
      </c>
      <c r="B305" s="187" t="str">
        <f t="shared" si="224"/>
        <v>3.4/1</v>
      </c>
      <c r="C305" s="168" t="s">
        <v>1385</v>
      </c>
      <c r="D305" s="169" t="s">
        <v>1386</v>
      </c>
      <c r="E305" s="170" t="s">
        <v>1384</v>
      </c>
      <c r="F305" s="171"/>
      <c r="G305" s="171"/>
      <c r="H305" s="33">
        <f t="shared" si="194"/>
        <v>0</v>
      </c>
      <c r="I305" s="505"/>
      <c r="J305" s="505">
        <f t="shared" si="189"/>
        <v>0</v>
      </c>
      <c r="K305" s="499"/>
      <c r="L305" s="499">
        <f t="shared" si="190"/>
        <v>0</v>
      </c>
      <c r="M305" s="39">
        <f t="shared" si="191"/>
        <v>0</v>
      </c>
      <c r="N305" s="163">
        <f t="shared" si="195"/>
        <v>0</v>
      </c>
      <c r="O305" s="172">
        <f t="shared" si="221"/>
        <v>0</v>
      </c>
      <c r="P305" s="521"/>
      <c r="Q305" s="521">
        <f t="shared" si="192"/>
        <v>0</v>
      </c>
      <c r="R305" s="526"/>
      <c r="S305" s="526">
        <f t="shared" si="193"/>
        <v>0</v>
      </c>
      <c r="T305" s="39">
        <f t="shared" si="188"/>
        <v>0</v>
      </c>
      <c r="U305" s="163">
        <f>+ROUND(T305*H305,2)</f>
        <v>0</v>
      </c>
      <c r="V305" s="173">
        <f t="shared" si="222"/>
        <v>0</v>
      </c>
      <c r="W305" s="164"/>
      <c r="X305" s="128" t="s">
        <v>1004</v>
      </c>
      <c r="Y305" s="37">
        <f>+ROUND((O305)*(1+SUMIF($Y$2:$Y$4,X305,$Z$2:$Z$4)),0)</f>
        <v>0</v>
      </c>
      <c r="Z305" s="37">
        <f t="shared" si="223"/>
        <v>0</v>
      </c>
      <c r="AA305" s="166"/>
      <c r="AB305" s="38"/>
      <c r="AC305" s="38"/>
    </row>
    <row r="306" spans="1:29" hidden="1" outlineLevel="2" x14ac:dyDescent="0.25">
      <c r="A306" s="158" t="s">
        <v>1073</v>
      </c>
      <c r="B306" s="187" t="str">
        <f t="shared" si="224"/>
        <v>3.4/1</v>
      </c>
      <c r="C306" s="168" t="s">
        <v>1387</v>
      </c>
      <c r="D306" s="169" t="s">
        <v>1388</v>
      </c>
      <c r="E306" s="170" t="s">
        <v>1384</v>
      </c>
      <c r="F306" s="171"/>
      <c r="G306" s="171"/>
      <c r="H306" s="33">
        <f t="shared" si="194"/>
        <v>0</v>
      </c>
      <c r="I306" s="505"/>
      <c r="J306" s="505">
        <f t="shared" si="189"/>
        <v>0</v>
      </c>
      <c r="K306" s="499"/>
      <c r="L306" s="499">
        <f t="shared" si="190"/>
        <v>0</v>
      </c>
      <c r="M306" s="39">
        <f t="shared" si="191"/>
        <v>0</v>
      </c>
      <c r="N306" s="163">
        <f t="shared" si="195"/>
        <v>0</v>
      </c>
      <c r="O306" s="172">
        <f t="shared" si="221"/>
        <v>0</v>
      </c>
      <c r="P306" s="521"/>
      <c r="Q306" s="521">
        <f t="shared" si="192"/>
        <v>0</v>
      </c>
      <c r="R306" s="526"/>
      <c r="S306" s="526">
        <f t="shared" si="193"/>
        <v>0</v>
      </c>
      <c r="T306" s="39">
        <f t="shared" ref="T306:T369" si="225">+Q306+S306</f>
        <v>0</v>
      </c>
      <c r="U306" s="163">
        <f>+ROUND(T306*H306,2)</f>
        <v>0</v>
      </c>
      <c r="V306" s="173">
        <f t="shared" si="222"/>
        <v>0</v>
      </c>
      <c r="W306" s="164"/>
      <c r="X306" s="128" t="s">
        <v>1004</v>
      </c>
      <c r="Y306" s="37">
        <f>+ROUND((O306)*(1+SUMIF($Y$2:$Y$4,X306,$Z$2:$Z$4)),0)</f>
        <v>0</v>
      </c>
      <c r="Z306" s="37">
        <f t="shared" si="223"/>
        <v>0</v>
      </c>
      <c r="AA306" s="166"/>
      <c r="AB306" s="38"/>
      <c r="AC306" s="38"/>
    </row>
    <row r="307" spans="1:29" hidden="1" outlineLevel="2" x14ac:dyDescent="0.25">
      <c r="A307" s="158" t="s">
        <v>1019</v>
      </c>
      <c r="B307" s="187" t="str">
        <f t="shared" si="224"/>
        <v>3.4/1</v>
      </c>
      <c r="C307" s="160">
        <v>1.2</v>
      </c>
      <c r="D307" s="161" t="s">
        <v>1389</v>
      </c>
      <c r="E307" s="162"/>
      <c r="F307" s="40"/>
      <c r="G307" s="40"/>
      <c r="H307" s="33">
        <f t="shared" si="194"/>
        <v>0</v>
      </c>
      <c r="I307" s="504"/>
      <c r="J307" s="504">
        <f t="shared" ref="J307:J370" si="226">+I307*$J$5</f>
        <v>0</v>
      </c>
      <c r="K307" s="498"/>
      <c r="L307" s="498">
        <f t="shared" ref="L307:L370" si="227">+K307*$L$5</f>
        <v>0</v>
      </c>
      <c r="M307" s="34">
        <f t="shared" ref="M307:M370" si="228">+J307+L307</f>
        <v>0</v>
      </c>
      <c r="N307" s="163">
        <f t="shared" si="195"/>
        <v>0</v>
      </c>
      <c r="O307" s="172">
        <f t="shared" si="221"/>
        <v>0</v>
      </c>
      <c r="P307" s="520"/>
      <c r="Q307" s="520">
        <f t="shared" ref="Q307:Q370" si="229">+P307*$Q$5</f>
        <v>0</v>
      </c>
      <c r="R307" s="525"/>
      <c r="S307" s="525">
        <f t="shared" ref="S307:S370" si="230">+R307*$S$5</f>
        <v>0</v>
      </c>
      <c r="T307" s="39">
        <f t="shared" si="225"/>
        <v>0</v>
      </c>
      <c r="U307" s="163">
        <f>+ROUND(T307*H307,2)</f>
        <v>0</v>
      </c>
      <c r="V307" s="173">
        <f t="shared" si="222"/>
        <v>0</v>
      </c>
      <c r="W307" s="164"/>
      <c r="X307" s="128" t="s">
        <v>1004</v>
      </c>
      <c r="Y307" s="37">
        <f>+ROUND((O307)*(1+SUMIF($Y$2:$Y$4,X307,$Z$2:$Z$4)),0)</f>
        <v>0</v>
      </c>
      <c r="Z307" s="37">
        <f t="shared" si="223"/>
        <v>0</v>
      </c>
      <c r="AA307" s="166"/>
      <c r="AB307" s="38"/>
      <c r="AC307" s="38"/>
    </row>
    <row r="308" spans="1:29" hidden="1" outlineLevel="2" x14ac:dyDescent="0.25">
      <c r="A308" s="158" t="s">
        <v>1095</v>
      </c>
      <c r="B308" s="187" t="str">
        <f t="shared" si="224"/>
        <v>3.4/1</v>
      </c>
      <c r="C308" s="168" t="s">
        <v>1390</v>
      </c>
      <c r="D308" s="169" t="s">
        <v>1391</v>
      </c>
      <c r="E308" s="170" t="s">
        <v>1384</v>
      </c>
      <c r="F308" s="171"/>
      <c r="G308" s="171"/>
      <c r="H308" s="33">
        <f t="shared" si="194"/>
        <v>0</v>
      </c>
      <c r="I308" s="505"/>
      <c r="J308" s="505">
        <f t="shared" si="226"/>
        <v>0</v>
      </c>
      <c r="K308" s="499"/>
      <c r="L308" s="499">
        <f t="shared" si="227"/>
        <v>0</v>
      </c>
      <c r="M308" s="39">
        <f t="shared" si="228"/>
        <v>0</v>
      </c>
      <c r="N308" s="163">
        <f t="shared" si="195"/>
        <v>0</v>
      </c>
      <c r="O308" s="172">
        <f t="shared" si="221"/>
        <v>0</v>
      </c>
      <c r="P308" s="521"/>
      <c r="Q308" s="521">
        <f t="shared" si="229"/>
        <v>0</v>
      </c>
      <c r="R308" s="526"/>
      <c r="S308" s="526">
        <f t="shared" si="230"/>
        <v>0</v>
      </c>
      <c r="T308" s="39">
        <f t="shared" si="225"/>
        <v>0</v>
      </c>
      <c r="U308" s="163">
        <f>+ROUND(T308*H308,2)</f>
        <v>0</v>
      </c>
      <c r="V308" s="173">
        <f t="shared" si="222"/>
        <v>0</v>
      </c>
      <c r="W308" s="164"/>
      <c r="X308" s="128" t="s">
        <v>1004</v>
      </c>
      <c r="Y308" s="37">
        <f>+ROUND((O308)*(1+SUMIF($Y$2:$Y$4,X308,$Z$2:$Z$4)),0)</f>
        <v>0</v>
      </c>
      <c r="Z308" s="37">
        <f t="shared" si="223"/>
        <v>0</v>
      </c>
      <c r="AA308" s="166"/>
      <c r="AB308" s="38"/>
      <c r="AC308" s="38"/>
    </row>
    <row r="309" spans="1:29" hidden="1" outlineLevel="2" x14ac:dyDescent="0.25">
      <c r="A309" s="158" t="s">
        <v>1095</v>
      </c>
      <c r="B309" s="187" t="str">
        <f t="shared" si="224"/>
        <v>3.4/1</v>
      </c>
      <c r="C309" s="168" t="s">
        <v>1392</v>
      </c>
      <c r="D309" s="169" t="s">
        <v>1393</v>
      </c>
      <c r="E309" s="170" t="s">
        <v>1384</v>
      </c>
      <c r="F309" s="171"/>
      <c r="G309" s="171"/>
      <c r="H309" s="33">
        <f t="shared" si="194"/>
        <v>0</v>
      </c>
      <c r="I309" s="505"/>
      <c r="J309" s="505">
        <f t="shared" si="226"/>
        <v>0</v>
      </c>
      <c r="K309" s="499"/>
      <c r="L309" s="499">
        <f t="shared" si="227"/>
        <v>0</v>
      </c>
      <c r="M309" s="39">
        <f t="shared" si="228"/>
        <v>0</v>
      </c>
      <c r="N309" s="163">
        <f t="shared" si="195"/>
        <v>0</v>
      </c>
      <c r="O309" s="172">
        <f t="shared" si="221"/>
        <v>0</v>
      </c>
      <c r="P309" s="521"/>
      <c r="Q309" s="521">
        <f t="shared" si="229"/>
        <v>0</v>
      </c>
      <c r="R309" s="526"/>
      <c r="S309" s="526">
        <f t="shared" si="230"/>
        <v>0</v>
      </c>
      <c r="T309" s="39">
        <f t="shared" si="225"/>
        <v>0</v>
      </c>
      <c r="U309" s="163">
        <f>+ROUND(T309*H309,2)</f>
        <v>0</v>
      </c>
      <c r="V309" s="173">
        <f t="shared" si="222"/>
        <v>0</v>
      </c>
      <c r="W309" s="164"/>
      <c r="X309" s="128" t="s">
        <v>1004</v>
      </c>
      <c r="Y309" s="37">
        <f>+ROUND((O309)*(1+SUMIF($Y$2:$Y$4,X309,$Z$2:$Z$4)),0)</f>
        <v>0</v>
      </c>
      <c r="Z309" s="37">
        <f t="shared" si="223"/>
        <v>0</v>
      </c>
      <c r="AA309" s="166"/>
      <c r="AB309" s="38"/>
      <c r="AC309" s="38"/>
    </row>
    <row r="310" spans="1:29" hidden="1" outlineLevel="2" x14ac:dyDescent="0.25">
      <c r="A310" s="158" t="s">
        <v>1099</v>
      </c>
      <c r="B310" s="187" t="str">
        <f t="shared" si="224"/>
        <v>3.4/1</v>
      </c>
      <c r="C310" s="168" t="s">
        <v>1394</v>
      </c>
      <c r="D310" s="169" t="s">
        <v>1395</v>
      </c>
      <c r="E310" s="170" t="s">
        <v>1384</v>
      </c>
      <c r="F310" s="171"/>
      <c r="G310" s="171"/>
      <c r="H310" s="33">
        <f t="shared" si="194"/>
        <v>0</v>
      </c>
      <c r="I310" s="505"/>
      <c r="J310" s="505">
        <f t="shared" si="226"/>
        <v>0</v>
      </c>
      <c r="K310" s="499"/>
      <c r="L310" s="499">
        <f t="shared" si="227"/>
        <v>0</v>
      </c>
      <c r="M310" s="39">
        <f t="shared" si="228"/>
        <v>0</v>
      </c>
      <c r="N310" s="163">
        <f t="shared" si="195"/>
        <v>0</v>
      </c>
      <c r="O310" s="172">
        <f t="shared" ref="O310:O313" si="231">N310</f>
        <v>0</v>
      </c>
      <c r="P310" s="521"/>
      <c r="Q310" s="521">
        <f t="shared" si="229"/>
        <v>0</v>
      </c>
      <c r="R310" s="526"/>
      <c r="S310" s="526">
        <f t="shared" si="230"/>
        <v>0</v>
      </c>
      <c r="T310" s="39">
        <f t="shared" si="225"/>
        <v>0</v>
      </c>
      <c r="U310" s="163">
        <f>+ROUND(T310*H310,2)</f>
        <v>0</v>
      </c>
      <c r="V310" s="173">
        <f t="shared" ref="V310:V313" si="232">U310</f>
        <v>0</v>
      </c>
      <c r="W310" s="164"/>
      <c r="X310" s="128" t="s">
        <v>1004</v>
      </c>
      <c r="Y310" s="37">
        <f>+ROUND((O310)*(1+SUMIF($Y$2:$Y$4,X310,$Z$2:$Z$4)),0)</f>
        <v>0</v>
      </c>
      <c r="Z310" s="37">
        <f t="shared" si="223"/>
        <v>0</v>
      </c>
      <c r="AA310" s="166"/>
      <c r="AB310" s="38"/>
      <c r="AC310" s="38"/>
    </row>
    <row r="311" spans="1:29" hidden="1" outlineLevel="2" x14ac:dyDescent="0.25">
      <c r="A311" s="158" t="s">
        <v>1103</v>
      </c>
      <c r="B311" s="187" t="str">
        <f t="shared" si="224"/>
        <v>3.4/1</v>
      </c>
      <c r="C311" s="168" t="s">
        <v>1396</v>
      </c>
      <c r="D311" s="169" t="s">
        <v>1397</v>
      </c>
      <c r="E311" s="170" t="s">
        <v>1384</v>
      </c>
      <c r="F311" s="171"/>
      <c r="G311" s="171"/>
      <c r="H311" s="33">
        <f t="shared" si="194"/>
        <v>0</v>
      </c>
      <c r="I311" s="505"/>
      <c r="J311" s="505">
        <f t="shared" si="226"/>
        <v>0</v>
      </c>
      <c r="K311" s="499"/>
      <c r="L311" s="499">
        <f t="shared" si="227"/>
        <v>0</v>
      </c>
      <c r="M311" s="39">
        <f t="shared" si="228"/>
        <v>0</v>
      </c>
      <c r="N311" s="163">
        <f t="shared" si="195"/>
        <v>0</v>
      </c>
      <c r="O311" s="172">
        <f t="shared" si="231"/>
        <v>0</v>
      </c>
      <c r="P311" s="521"/>
      <c r="Q311" s="521">
        <f t="shared" si="229"/>
        <v>0</v>
      </c>
      <c r="R311" s="526"/>
      <c r="S311" s="526">
        <f t="shared" si="230"/>
        <v>0</v>
      </c>
      <c r="T311" s="39">
        <f t="shared" si="225"/>
        <v>0</v>
      </c>
      <c r="U311" s="163">
        <f>+ROUND(T311*H311,2)</f>
        <v>0</v>
      </c>
      <c r="V311" s="173">
        <f t="shared" si="232"/>
        <v>0</v>
      </c>
      <c r="W311" s="164"/>
      <c r="X311" s="128" t="s">
        <v>1004</v>
      </c>
      <c r="Y311" s="37">
        <f>+ROUND((O311)*(1+SUMIF($Y$2:$Y$4,X311,$Z$2:$Z$4)),0)</f>
        <v>0</v>
      </c>
      <c r="Z311" s="37">
        <f t="shared" si="223"/>
        <v>0</v>
      </c>
      <c r="AA311" s="166"/>
      <c r="AB311" s="38"/>
      <c r="AC311" s="38"/>
    </row>
    <row r="312" spans="1:29" hidden="1" outlineLevel="2" x14ac:dyDescent="0.25">
      <c r="A312" s="158" t="s">
        <v>1107</v>
      </c>
      <c r="B312" s="187" t="str">
        <f t="shared" si="224"/>
        <v>3.4/1</v>
      </c>
      <c r="C312" s="168" t="s">
        <v>1398</v>
      </c>
      <c r="D312" s="169" t="s">
        <v>1399</v>
      </c>
      <c r="E312" s="170" t="s">
        <v>1384</v>
      </c>
      <c r="F312" s="171"/>
      <c r="G312" s="171"/>
      <c r="H312" s="33">
        <f t="shared" si="194"/>
        <v>0</v>
      </c>
      <c r="I312" s="505"/>
      <c r="J312" s="505">
        <f t="shared" si="226"/>
        <v>0</v>
      </c>
      <c r="K312" s="499"/>
      <c r="L312" s="499">
        <f t="shared" si="227"/>
        <v>0</v>
      </c>
      <c r="M312" s="39">
        <f t="shared" si="228"/>
        <v>0</v>
      </c>
      <c r="N312" s="163">
        <f t="shared" si="195"/>
        <v>0</v>
      </c>
      <c r="O312" s="172">
        <f t="shared" si="231"/>
        <v>0</v>
      </c>
      <c r="P312" s="521"/>
      <c r="Q312" s="521">
        <f t="shared" si="229"/>
        <v>0</v>
      </c>
      <c r="R312" s="526"/>
      <c r="S312" s="526">
        <f t="shared" si="230"/>
        <v>0</v>
      </c>
      <c r="T312" s="39">
        <f t="shared" si="225"/>
        <v>0</v>
      </c>
      <c r="U312" s="163">
        <f>+ROUND(T312*H312,2)</f>
        <v>0</v>
      </c>
      <c r="V312" s="173">
        <f t="shared" si="232"/>
        <v>0</v>
      </c>
      <c r="W312" s="164"/>
      <c r="X312" s="128" t="s">
        <v>1004</v>
      </c>
      <c r="Y312" s="37">
        <f>+ROUND((O312)*(1+SUMIF($Y$2:$Y$4,X312,$Z$2:$Z$4)),0)</f>
        <v>0</v>
      </c>
      <c r="Z312" s="37">
        <f t="shared" si="223"/>
        <v>0</v>
      </c>
      <c r="AA312" s="166"/>
      <c r="AB312" s="38"/>
      <c r="AC312" s="38"/>
    </row>
    <row r="313" spans="1:29" hidden="1" outlineLevel="2" x14ac:dyDescent="0.25">
      <c r="A313" s="158" t="s">
        <v>1073</v>
      </c>
      <c r="B313" s="187" t="str">
        <f t="shared" si="224"/>
        <v>3.4/1</v>
      </c>
      <c r="C313" s="168" t="s">
        <v>1400</v>
      </c>
      <c r="D313" s="174" t="s">
        <v>1401</v>
      </c>
      <c r="E313" s="170" t="s">
        <v>1384</v>
      </c>
      <c r="F313" s="171"/>
      <c r="G313" s="171"/>
      <c r="H313" s="33">
        <f t="shared" si="194"/>
        <v>0</v>
      </c>
      <c r="I313" s="505"/>
      <c r="J313" s="505">
        <f t="shared" si="226"/>
        <v>0</v>
      </c>
      <c r="K313" s="499"/>
      <c r="L313" s="499">
        <f t="shared" si="227"/>
        <v>0</v>
      </c>
      <c r="M313" s="39">
        <f t="shared" si="228"/>
        <v>0</v>
      </c>
      <c r="N313" s="163">
        <f t="shared" si="195"/>
        <v>0</v>
      </c>
      <c r="O313" s="172">
        <f t="shared" si="231"/>
        <v>0</v>
      </c>
      <c r="P313" s="521"/>
      <c r="Q313" s="521">
        <f t="shared" si="229"/>
        <v>0</v>
      </c>
      <c r="R313" s="526"/>
      <c r="S313" s="526">
        <f t="shared" si="230"/>
        <v>0</v>
      </c>
      <c r="T313" s="39">
        <f t="shared" si="225"/>
        <v>0</v>
      </c>
      <c r="U313" s="163">
        <f>+ROUND(T313*H313,2)</f>
        <v>0</v>
      </c>
      <c r="V313" s="173">
        <f t="shared" si="232"/>
        <v>0</v>
      </c>
      <c r="W313" s="164"/>
      <c r="X313" s="128" t="s">
        <v>1004</v>
      </c>
      <c r="Y313" s="37">
        <f>+ROUND((O313)*(1+SUMIF($Y$2:$Y$4,X313,$Z$2:$Z$4)),0)</f>
        <v>0</v>
      </c>
      <c r="Z313" s="37">
        <f t="shared" si="223"/>
        <v>0</v>
      </c>
      <c r="AA313" s="166"/>
      <c r="AB313" s="38"/>
      <c r="AC313" s="38"/>
    </row>
    <row r="314" spans="1:29" hidden="1" outlineLevel="1" x14ac:dyDescent="0.25">
      <c r="A314" s="506" t="s">
        <v>1022</v>
      </c>
      <c r="B314" s="512" t="str">
        <f t="shared" si="224"/>
        <v>3.4/1</v>
      </c>
      <c r="C314" s="508"/>
      <c r="D314" s="509" t="s">
        <v>1023</v>
      </c>
      <c r="E314" s="510"/>
      <c r="F314" s="511"/>
      <c r="G314" s="511"/>
      <c r="H314" s="512">
        <f t="shared" ref="H314:H403" si="233">+SUM(F314:G314)</f>
        <v>0</v>
      </c>
      <c r="I314" s="512"/>
      <c r="J314" s="512">
        <f t="shared" si="226"/>
        <v>0</v>
      </c>
      <c r="K314" s="512"/>
      <c r="L314" s="512">
        <f t="shared" si="227"/>
        <v>0</v>
      </c>
      <c r="M314" s="512">
        <f t="shared" si="228"/>
        <v>0</v>
      </c>
      <c r="N314" s="513">
        <f>SUM(N299:N313)</f>
        <v>0</v>
      </c>
      <c r="O314" s="513">
        <f>SUM(O299:O313)</f>
        <v>0</v>
      </c>
      <c r="P314" s="512"/>
      <c r="Q314" s="512">
        <f t="shared" si="229"/>
        <v>0</v>
      </c>
      <c r="R314" s="512"/>
      <c r="S314" s="512">
        <f t="shared" si="230"/>
        <v>0</v>
      </c>
      <c r="T314" s="512">
        <f t="shared" si="225"/>
        <v>0</v>
      </c>
      <c r="U314" s="513">
        <f>SUM(U299:U313)</f>
        <v>0</v>
      </c>
      <c r="V314" s="513">
        <f>SUM(V299:V313)</f>
        <v>0</v>
      </c>
      <c r="W314" s="507"/>
      <c r="X314" s="514" t="s">
        <v>1004</v>
      </c>
      <c r="Y314" s="513">
        <f>SUM(Y299:Y313)</f>
        <v>0</v>
      </c>
      <c r="Z314" s="513">
        <f>SUM(Z299:Z313)</f>
        <v>0</v>
      </c>
      <c r="AA314" s="166"/>
      <c r="AB314" s="38"/>
      <c r="AC314" s="38"/>
    </row>
    <row r="315" spans="1:29" hidden="1" outlineLevel="1" x14ac:dyDescent="0.25">
      <c r="A315" s="158" t="s">
        <v>1139</v>
      </c>
      <c r="B315" s="159" t="s">
        <v>313</v>
      </c>
      <c r="C315" s="250">
        <v>2</v>
      </c>
      <c r="D315" s="161" t="s">
        <v>1403</v>
      </c>
      <c r="E315" s="162"/>
      <c r="F315" s="40"/>
      <c r="G315" s="40"/>
      <c r="H315" s="33">
        <f t="shared" si="233"/>
        <v>0</v>
      </c>
      <c r="I315" s="504"/>
      <c r="J315" s="504">
        <f t="shared" si="226"/>
        <v>0</v>
      </c>
      <c r="K315" s="498"/>
      <c r="L315" s="498">
        <f t="shared" si="227"/>
        <v>0</v>
      </c>
      <c r="M315" s="34">
        <f t="shared" si="228"/>
        <v>0</v>
      </c>
      <c r="N315" s="163">
        <f t="shared" ref="N315:N316" si="234">+ROUND(M315*H315,2)</f>
        <v>0</v>
      </c>
      <c r="O315" s="172">
        <f t="shared" ref="O315:O320" si="235">N315</f>
        <v>0</v>
      </c>
      <c r="P315" s="520"/>
      <c r="Q315" s="520">
        <f t="shared" si="229"/>
        <v>0</v>
      </c>
      <c r="R315" s="525"/>
      <c r="S315" s="525">
        <f t="shared" si="230"/>
        <v>0</v>
      </c>
      <c r="T315" s="39">
        <f t="shared" si="225"/>
        <v>0</v>
      </c>
      <c r="U315" s="163">
        <f>+ROUND(T315*H315,2)</f>
        <v>0</v>
      </c>
      <c r="V315" s="173">
        <f t="shared" ref="V315:V320" si="236">U315</f>
        <v>0</v>
      </c>
      <c r="W315" s="164"/>
      <c r="X315" s="128" t="s">
        <v>1004</v>
      </c>
      <c r="Y315" s="37">
        <f>+ROUND((O315)*(1+SUMIF($Y$2:$Y$4,X315,$Z$2:$Z$4)),0)</f>
        <v>0</v>
      </c>
      <c r="Z315" s="37">
        <f t="shared" ref="Z315:Z332" si="237">+ROUND((V315)*(1+SUMIF($Y$2:$Y$4,X315,$Z$2:$Z$4)),0)</f>
        <v>0</v>
      </c>
      <c r="AA315" s="166"/>
      <c r="AB315" s="38"/>
      <c r="AC315" s="38"/>
    </row>
    <row r="316" spans="1:29" hidden="1" outlineLevel="2" x14ac:dyDescent="0.25">
      <c r="A316" s="158" t="s">
        <v>1139</v>
      </c>
      <c r="B316" s="187" t="str">
        <f>+B315</f>
        <v>3.4/2</v>
      </c>
      <c r="C316" s="249">
        <v>2.1</v>
      </c>
      <c r="D316" s="226" t="s">
        <v>1404</v>
      </c>
      <c r="E316" s="170" t="s">
        <v>1384</v>
      </c>
      <c r="F316" s="171"/>
      <c r="G316" s="171"/>
      <c r="H316" s="33">
        <f t="shared" ref="H316" si="238">+SUM(F316:G316)</f>
        <v>0</v>
      </c>
      <c r="I316" s="505"/>
      <c r="J316" s="505">
        <f t="shared" si="226"/>
        <v>0</v>
      </c>
      <c r="K316" s="499"/>
      <c r="L316" s="499">
        <f t="shared" si="227"/>
        <v>0</v>
      </c>
      <c r="M316" s="39">
        <f t="shared" si="228"/>
        <v>0</v>
      </c>
      <c r="N316" s="163">
        <f t="shared" si="234"/>
        <v>0</v>
      </c>
      <c r="O316" s="172">
        <f t="shared" si="235"/>
        <v>0</v>
      </c>
      <c r="P316" s="521"/>
      <c r="Q316" s="521">
        <f t="shared" si="229"/>
        <v>0</v>
      </c>
      <c r="R316" s="526"/>
      <c r="S316" s="526">
        <f t="shared" si="230"/>
        <v>0</v>
      </c>
      <c r="T316" s="39">
        <f t="shared" si="225"/>
        <v>0</v>
      </c>
      <c r="U316" s="163">
        <f>+ROUND(T316*H316,2)</f>
        <v>0</v>
      </c>
      <c r="V316" s="173">
        <f t="shared" si="236"/>
        <v>0</v>
      </c>
      <c r="W316" s="164"/>
      <c r="X316" s="128" t="s">
        <v>1004</v>
      </c>
      <c r="Y316" s="37">
        <f>+ROUND((O316)*(1+SUMIF($Y$2:$Y$4,X316,$Z$2:$Z$4)),0)</f>
        <v>0</v>
      </c>
      <c r="Z316" s="37">
        <f t="shared" si="237"/>
        <v>0</v>
      </c>
      <c r="AA316" s="166"/>
      <c r="AB316" s="38"/>
      <c r="AC316" s="38"/>
    </row>
    <row r="317" spans="1:29" ht="24" hidden="1" outlineLevel="2" x14ac:dyDescent="0.25">
      <c r="A317" s="158" t="s">
        <v>1139</v>
      </c>
      <c r="B317" s="187" t="str">
        <f t="shared" ref="B317" si="239">+B316</f>
        <v>3.4/2</v>
      </c>
      <c r="C317" s="168" t="s">
        <v>1405</v>
      </c>
      <c r="D317" s="169" t="s">
        <v>1604</v>
      </c>
      <c r="E317" s="170" t="s">
        <v>1384</v>
      </c>
      <c r="F317" s="171"/>
      <c r="G317" s="171"/>
      <c r="H317" s="33">
        <f t="shared" si="233"/>
        <v>0</v>
      </c>
      <c r="I317" s="505"/>
      <c r="J317" s="505">
        <f t="shared" si="226"/>
        <v>0</v>
      </c>
      <c r="K317" s="499"/>
      <c r="L317" s="499">
        <f t="shared" si="227"/>
        <v>0</v>
      </c>
      <c r="M317" s="39">
        <f t="shared" si="228"/>
        <v>0</v>
      </c>
      <c r="N317" s="163">
        <f t="shared" ref="N317:N403" si="240">+ROUND(M317*H317,2)</f>
        <v>0</v>
      </c>
      <c r="O317" s="172">
        <f t="shared" ref="O317:O332" si="241">N317</f>
        <v>0</v>
      </c>
      <c r="P317" s="521"/>
      <c r="Q317" s="521">
        <f t="shared" si="229"/>
        <v>0</v>
      </c>
      <c r="R317" s="526"/>
      <c r="S317" s="526">
        <f t="shared" si="230"/>
        <v>0</v>
      </c>
      <c r="T317" s="39">
        <f t="shared" si="225"/>
        <v>0</v>
      </c>
      <c r="U317" s="163">
        <f>+ROUND(T317*H317,2)</f>
        <v>0</v>
      </c>
      <c r="V317" s="173">
        <f t="shared" ref="V317:V332" si="242">U317</f>
        <v>0</v>
      </c>
      <c r="W317" s="164"/>
      <c r="X317" s="128" t="s">
        <v>1004</v>
      </c>
      <c r="Y317" s="37">
        <f>+ROUND((O317)*(1+SUMIF($Y$2:$Y$4,X317,$Z$2:$Z$4)),0)</f>
        <v>0</v>
      </c>
      <c r="Z317" s="37">
        <f t="shared" si="237"/>
        <v>0</v>
      </c>
      <c r="AA317" s="166"/>
      <c r="AB317" s="38"/>
      <c r="AC317" s="38"/>
    </row>
    <row r="318" spans="1:29" hidden="1" outlineLevel="2" x14ac:dyDescent="0.25">
      <c r="A318" s="158" t="s">
        <v>1117</v>
      </c>
      <c r="B318" s="187" t="str">
        <f>+B317</f>
        <v>3.4/2</v>
      </c>
      <c r="C318" s="249">
        <v>2.2000000000000002</v>
      </c>
      <c r="D318" s="226" t="s">
        <v>1407</v>
      </c>
      <c r="E318" s="170" t="s">
        <v>1384</v>
      </c>
      <c r="F318" s="171"/>
      <c r="G318" s="171"/>
      <c r="H318" s="33">
        <f t="shared" si="233"/>
        <v>0</v>
      </c>
      <c r="I318" s="505"/>
      <c r="J318" s="505">
        <f t="shared" si="226"/>
        <v>0</v>
      </c>
      <c r="K318" s="499"/>
      <c r="L318" s="499">
        <f t="shared" si="227"/>
        <v>0</v>
      </c>
      <c r="M318" s="39">
        <f t="shared" si="228"/>
        <v>0</v>
      </c>
      <c r="N318" s="163">
        <f t="shared" si="240"/>
        <v>0</v>
      </c>
      <c r="O318" s="172">
        <f t="shared" si="235"/>
        <v>0</v>
      </c>
      <c r="P318" s="521"/>
      <c r="Q318" s="521">
        <f t="shared" si="229"/>
        <v>0</v>
      </c>
      <c r="R318" s="526"/>
      <c r="S318" s="526">
        <f t="shared" si="230"/>
        <v>0</v>
      </c>
      <c r="T318" s="39">
        <f t="shared" si="225"/>
        <v>0</v>
      </c>
      <c r="U318" s="163">
        <f>+ROUND(T318*H318,2)</f>
        <v>0</v>
      </c>
      <c r="V318" s="173">
        <f t="shared" si="236"/>
        <v>0</v>
      </c>
      <c r="W318" s="164"/>
      <c r="X318" s="128" t="s">
        <v>1004</v>
      </c>
      <c r="Y318" s="37">
        <f>+ROUND((O318)*(1+SUMIF($Y$2:$Y$4,X318,$Z$2:$Z$4)),0)</f>
        <v>0</v>
      </c>
      <c r="Z318" s="37">
        <f t="shared" si="237"/>
        <v>0</v>
      </c>
      <c r="AA318" s="166"/>
      <c r="AB318" s="38"/>
      <c r="AC318" s="38"/>
    </row>
    <row r="319" spans="1:29" hidden="1" outlineLevel="2" x14ac:dyDescent="0.25">
      <c r="A319" s="158" t="s">
        <v>1117</v>
      </c>
      <c r="B319" s="187" t="str">
        <f>+B318</f>
        <v>3.4/2</v>
      </c>
      <c r="C319" s="168" t="s">
        <v>1408</v>
      </c>
      <c r="D319" s="169" t="s">
        <v>1549</v>
      </c>
      <c r="E319" s="170" t="s">
        <v>1384</v>
      </c>
      <c r="F319" s="171"/>
      <c r="G319" s="171"/>
      <c r="H319" s="33">
        <f t="shared" si="233"/>
        <v>0</v>
      </c>
      <c r="I319" s="505"/>
      <c r="J319" s="505">
        <f t="shared" si="226"/>
        <v>0</v>
      </c>
      <c r="K319" s="499"/>
      <c r="L319" s="499">
        <f t="shared" si="227"/>
        <v>0</v>
      </c>
      <c r="M319" s="39">
        <f t="shared" si="228"/>
        <v>0</v>
      </c>
      <c r="N319" s="163">
        <f t="shared" si="240"/>
        <v>0</v>
      </c>
      <c r="O319" s="172">
        <f t="shared" si="241"/>
        <v>0</v>
      </c>
      <c r="P319" s="521"/>
      <c r="Q319" s="521">
        <f t="shared" si="229"/>
        <v>0</v>
      </c>
      <c r="R319" s="526"/>
      <c r="S319" s="526">
        <f t="shared" si="230"/>
        <v>0</v>
      </c>
      <c r="T319" s="39">
        <f t="shared" si="225"/>
        <v>0</v>
      </c>
      <c r="U319" s="163">
        <f>+ROUND(T319*H319,2)</f>
        <v>0</v>
      </c>
      <c r="V319" s="173">
        <f t="shared" si="242"/>
        <v>0</v>
      </c>
      <c r="W319" s="164"/>
      <c r="X319" s="128" t="s">
        <v>1004</v>
      </c>
      <c r="Y319" s="37">
        <f>+ROUND((O319)*(1+SUMIF($Y$2:$Y$4,X319,$Z$2:$Z$4)),0)</f>
        <v>0</v>
      </c>
      <c r="Z319" s="37">
        <f t="shared" si="237"/>
        <v>0</v>
      </c>
      <c r="AA319" s="166"/>
      <c r="AB319" s="38"/>
      <c r="AC319" s="38"/>
    </row>
    <row r="320" spans="1:29" hidden="1" outlineLevel="2" x14ac:dyDescent="0.25">
      <c r="A320" s="158" t="s">
        <v>1139</v>
      </c>
      <c r="B320" s="187" t="str">
        <f>+B319</f>
        <v>3.4/2</v>
      </c>
      <c r="C320" s="168" t="s">
        <v>1410</v>
      </c>
      <c r="D320" s="174" t="s">
        <v>1864</v>
      </c>
      <c r="E320" s="170" t="s">
        <v>1384</v>
      </c>
      <c r="F320" s="171"/>
      <c r="G320" s="171"/>
      <c r="H320" s="33">
        <f t="shared" si="233"/>
        <v>0</v>
      </c>
      <c r="I320" s="505"/>
      <c r="J320" s="505">
        <f t="shared" si="226"/>
        <v>0</v>
      </c>
      <c r="K320" s="499"/>
      <c r="L320" s="499">
        <f t="shared" si="227"/>
        <v>0</v>
      </c>
      <c r="M320" s="39">
        <f t="shared" si="228"/>
        <v>0</v>
      </c>
      <c r="N320" s="163">
        <f t="shared" si="240"/>
        <v>0</v>
      </c>
      <c r="O320" s="172">
        <f t="shared" si="235"/>
        <v>0</v>
      </c>
      <c r="P320" s="521"/>
      <c r="Q320" s="521">
        <f t="shared" si="229"/>
        <v>0</v>
      </c>
      <c r="R320" s="526"/>
      <c r="S320" s="526">
        <f t="shared" si="230"/>
        <v>0</v>
      </c>
      <c r="T320" s="39">
        <f t="shared" si="225"/>
        <v>0</v>
      </c>
      <c r="U320" s="163">
        <f>+ROUND(T320*H320,2)</f>
        <v>0</v>
      </c>
      <c r="V320" s="173">
        <f t="shared" si="236"/>
        <v>0</v>
      </c>
      <c r="W320" s="164"/>
      <c r="X320" s="128" t="s">
        <v>1004</v>
      </c>
      <c r="Y320" s="37">
        <f>+ROUND((O320)*(1+SUMIF($Y$2:$Y$4,X320,$Z$2:$Z$4)),0)</f>
        <v>0</v>
      </c>
      <c r="Z320" s="37">
        <f t="shared" si="237"/>
        <v>0</v>
      </c>
      <c r="AA320" s="166"/>
      <c r="AB320" s="38"/>
      <c r="AC320" s="38"/>
    </row>
    <row r="321" spans="1:29" hidden="1" outlineLevel="2" x14ac:dyDescent="0.25">
      <c r="A321" s="158" t="s">
        <v>1149</v>
      </c>
      <c r="B321" s="187" t="str">
        <f>+B319</f>
        <v>3.4/2</v>
      </c>
      <c r="C321" s="168" t="s">
        <v>1412</v>
      </c>
      <c r="D321" s="181" t="s">
        <v>1413</v>
      </c>
      <c r="E321" s="170" t="s">
        <v>1384</v>
      </c>
      <c r="F321" s="171"/>
      <c r="G321" s="171"/>
      <c r="H321" s="33">
        <f t="shared" si="233"/>
        <v>0</v>
      </c>
      <c r="I321" s="505"/>
      <c r="J321" s="505">
        <f t="shared" si="226"/>
        <v>0</v>
      </c>
      <c r="K321" s="499"/>
      <c r="L321" s="499">
        <f t="shared" si="227"/>
        <v>0</v>
      </c>
      <c r="M321" s="39">
        <f t="shared" si="228"/>
        <v>0</v>
      </c>
      <c r="N321" s="163">
        <f t="shared" si="240"/>
        <v>0</v>
      </c>
      <c r="O321" s="172">
        <f t="shared" si="241"/>
        <v>0</v>
      </c>
      <c r="P321" s="521"/>
      <c r="Q321" s="521">
        <f t="shared" si="229"/>
        <v>0</v>
      </c>
      <c r="R321" s="526"/>
      <c r="S321" s="526">
        <f t="shared" si="230"/>
        <v>0</v>
      </c>
      <c r="T321" s="39">
        <f t="shared" si="225"/>
        <v>0</v>
      </c>
      <c r="U321" s="163">
        <f>+ROUND(T321*H321,2)</f>
        <v>0</v>
      </c>
      <c r="V321" s="173">
        <f t="shared" si="242"/>
        <v>0</v>
      </c>
      <c r="W321" s="164"/>
      <c r="X321" s="128" t="s">
        <v>1004</v>
      </c>
      <c r="Y321" s="37">
        <f>+ROUND((O321)*(1+SUMIF($Y$2:$Y$4,X321,$Z$2:$Z$4)),0)</f>
        <v>0</v>
      </c>
      <c r="Z321" s="37">
        <f t="shared" si="237"/>
        <v>0</v>
      </c>
      <c r="AA321" s="166"/>
      <c r="AB321" s="38"/>
      <c r="AC321" s="38"/>
    </row>
    <row r="322" spans="1:29" hidden="1" outlineLevel="2" x14ac:dyDescent="0.25">
      <c r="A322" s="158" t="s">
        <v>1149</v>
      </c>
      <c r="B322" s="187" t="str">
        <f t="shared" si="224"/>
        <v>3.4/2</v>
      </c>
      <c r="C322" s="168" t="s">
        <v>1414</v>
      </c>
      <c r="D322" s="181" t="s">
        <v>1415</v>
      </c>
      <c r="E322" s="170" t="s">
        <v>1384</v>
      </c>
      <c r="F322" s="171"/>
      <c r="G322" s="171"/>
      <c r="H322" s="33">
        <f t="shared" si="233"/>
        <v>0</v>
      </c>
      <c r="I322" s="505"/>
      <c r="J322" s="505">
        <f t="shared" si="226"/>
        <v>0</v>
      </c>
      <c r="K322" s="499"/>
      <c r="L322" s="499">
        <f t="shared" si="227"/>
        <v>0</v>
      </c>
      <c r="M322" s="39">
        <f t="shared" si="228"/>
        <v>0</v>
      </c>
      <c r="N322" s="163">
        <f t="shared" si="240"/>
        <v>0</v>
      </c>
      <c r="O322" s="172">
        <f t="shared" si="241"/>
        <v>0</v>
      </c>
      <c r="P322" s="521"/>
      <c r="Q322" s="521">
        <f t="shared" si="229"/>
        <v>0</v>
      </c>
      <c r="R322" s="526"/>
      <c r="S322" s="526">
        <f t="shared" si="230"/>
        <v>0</v>
      </c>
      <c r="T322" s="39">
        <f t="shared" si="225"/>
        <v>0</v>
      </c>
      <c r="U322" s="163">
        <f>+ROUND(T322*H322,2)</f>
        <v>0</v>
      </c>
      <c r="V322" s="173">
        <f t="shared" si="242"/>
        <v>0</v>
      </c>
      <c r="W322" s="164"/>
      <c r="X322" s="128" t="s">
        <v>1004</v>
      </c>
      <c r="Y322" s="37">
        <f>+ROUND((O322)*(1+SUMIF($Y$2:$Y$4,X322,$Z$2:$Z$4)),0)</f>
        <v>0</v>
      </c>
      <c r="Z322" s="37">
        <f t="shared" si="237"/>
        <v>0</v>
      </c>
      <c r="AA322" s="166"/>
      <c r="AB322" s="38"/>
      <c r="AC322" s="38"/>
    </row>
    <row r="323" spans="1:29" hidden="1" outlineLevel="2" x14ac:dyDescent="0.25">
      <c r="A323" s="158" t="s">
        <v>1145</v>
      </c>
      <c r="B323" s="187" t="str">
        <f>+B322</f>
        <v>3.4/2</v>
      </c>
      <c r="C323" s="249">
        <v>2.2999999999999998</v>
      </c>
      <c r="D323" s="226" t="s">
        <v>1865</v>
      </c>
      <c r="E323" s="170" t="s">
        <v>1384</v>
      </c>
      <c r="F323" s="171"/>
      <c r="G323" s="171"/>
      <c r="H323" s="33">
        <f t="shared" ref="H323:H324" si="243">+SUM(F323:G323)</f>
        <v>0</v>
      </c>
      <c r="I323" s="505"/>
      <c r="J323" s="505">
        <f t="shared" si="226"/>
        <v>0</v>
      </c>
      <c r="K323" s="499"/>
      <c r="L323" s="499">
        <f t="shared" si="227"/>
        <v>0</v>
      </c>
      <c r="M323" s="39">
        <f t="shared" si="228"/>
        <v>0</v>
      </c>
      <c r="N323" s="163">
        <f t="shared" ref="N323:N324" si="244">+ROUND(M323*H323,2)</f>
        <v>0</v>
      </c>
      <c r="O323" s="172">
        <f t="shared" si="241"/>
        <v>0</v>
      </c>
      <c r="P323" s="521"/>
      <c r="Q323" s="521">
        <f t="shared" si="229"/>
        <v>0</v>
      </c>
      <c r="R323" s="526"/>
      <c r="S323" s="526">
        <f t="shared" si="230"/>
        <v>0</v>
      </c>
      <c r="T323" s="39">
        <f t="shared" si="225"/>
        <v>0</v>
      </c>
      <c r="U323" s="163">
        <f>+ROUND(T323*H323,2)</f>
        <v>0</v>
      </c>
      <c r="V323" s="173">
        <f t="shared" si="242"/>
        <v>0</v>
      </c>
      <c r="W323" s="164"/>
      <c r="X323" s="128" t="s">
        <v>1004</v>
      </c>
      <c r="Y323" s="37">
        <f>+ROUND((O323)*(1+SUMIF($Y$2:$Y$4,X323,$Z$2:$Z$4)),0)</f>
        <v>0</v>
      </c>
      <c r="Z323" s="37">
        <f t="shared" si="237"/>
        <v>0</v>
      </c>
      <c r="AA323" s="166"/>
      <c r="AB323" s="38"/>
      <c r="AC323" s="38"/>
    </row>
    <row r="324" spans="1:29" hidden="1" outlineLevel="2" x14ac:dyDescent="0.25">
      <c r="A324" s="158" t="s">
        <v>1145</v>
      </c>
      <c r="B324" s="187" t="str">
        <f>+B323</f>
        <v>3.4/2</v>
      </c>
      <c r="C324" s="168" t="s">
        <v>1416</v>
      </c>
      <c r="D324" s="169" t="s">
        <v>1417</v>
      </c>
      <c r="E324" s="170" t="s">
        <v>1384</v>
      </c>
      <c r="F324" s="171"/>
      <c r="G324" s="171"/>
      <c r="H324" s="33">
        <f t="shared" si="243"/>
        <v>0</v>
      </c>
      <c r="I324" s="505"/>
      <c r="J324" s="505">
        <f t="shared" si="226"/>
        <v>0</v>
      </c>
      <c r="K324" s="499"/>
      <c r="L324" s="499">
        <f t="shared" si="227"/>
        <v>0</v>
      </c>
      <c r="M324" s="39">
        <f t="shared" si="228"/>
        <v>0</v>
      </c>
      <c r="N324" s="163">
        <f t="shared" si="244"/>
        <v>0</v>
      </c>
      <c r="O324" s="172">
        <f t="shared" ref="O324" si="245">N324</f>
        <v>0</v>
      </c>
      <c r="P324" s="521"/>
      <c r="Q324" s="521">
        <f t="shared" si="229"/>
        <v>0</v>
      </c>
      <c r="R324" s="526"/>
      <c r="S324" s="526">
        <f t="shared" si="230"/>
        <v>0</v>
      </c>
      <c r="T324" s="39">
        <f t="shared" si="225"/>
        <v>0</v>
      </c>
      <c r="U324" s="163">
        <f>+ROUND(T324*H324,2)</f>
        <v>0</v>
      </c>
      <c r="V324" s="173">
        <f t="shared" ref="V324" si="246">U324</f>
        <v>0</v>
      </c>
      <c r="W324" s="164"/>
      <c r="X324" s="128" t="s">
        <v>1004</v>
      </c>
      <c r="Y324" s="37">
        <f>+ROUND((O324)*(1+SUMIF($Y$2:$Y$4,X324,$Z$2:$Z$4)),0)</f>
        <v>0</v>
      </c>
      <c r="Z324" s="37">
        <f t="shared" si="237"/>
        <v>0</v>
      </c>
      <c r="AA324" s="166"/>
      <c r="AB324" s="38"/>
      <c r="AC324" s="38"/>
    </row>
    <row r="325" spans="1:29" hidden="1" outlineLevel="2" x14ac:dyDescent="0.25">
      <c r="A325" s="158" t="s">
        <v>1145</v>
      </c>
      <c r="B325" s="187" t="str">
        <f>+B322</f>
        <v>3.4/2</v>
      </c>
      <c r="C325" s="168" t="s">
        <v>1418</v>
      </c>
      <c r="D325" s="181" t="s">
        <v>1419</v>
      </c>
      <c r="E325" s="170" t="s">
        <v>1384</v>
      </c>
      <c r="F325" s="171"/>
      <c r="G325" s="171"/>
      <c r="H325" s="33">
        <f t="shared" si="233"/>
        <v>0</v>
      </c>
      <c r="I325" s="505"/>
      <c r="J325" s="505">
        <f t="shared" si="226"/>
        <v>0</v>
      </c>
      <c r="K325" s="499"/>
      <c r="L325" s="499">
        <f t="shared" si="227"/>
        <v>0</v>
      </c>
      <c r="M325" s="39">
        <f t="shared" si="228"/>
        <v>0</v>
      </c>
      <c r="N325" s="163">
        <f t="shared" si="240"/>
        <v>0</v>
      </c>
      <c r="O325" s="172">
        <f t="shared" si="241"/>
        <v>0</v>
      </c>
      <c r="P325" s="521"/>
      <c r="Q325" s="521">
        <f t="shared" si="229"/>
        <v>0</v>
      </c>
      <c r="R325" s="526"/>
      <c r="S325" s="526">
        <f t="shared" si="230"/>
        <v>0</v>
      </c>
      <c r="T325" s="39">
        <f t="shared" si="225"/>
        <v>0</v>
      </c>
      <c r="U325" s="163">
        <f>+ROUND(T325*H325,2)</f>
        <v>0</v>
      </c>
      <c r="V325" s="173">
        <f t="shared" si="242"/>
        <v>0</v>
      </c>
      <c r="W325" s="164"/>
      <c r="X325" s="128" t="s">
        <v>1004</v>
      </c>
      <c r="Y325" s="37">
        <f>+ROUND((O325)*(1+SUMIF($Y$2:$Y$4,X325,$Z$2:$Z$4)),0)</f>
        <v>0</v>
      </c>
      <c r="Z325" s="37">
        <f t="shared" si="237"/>
        <v>0</v>
      </c>
      <c r="AA325" s="166"/>
      <c r="AB325" s="38"/>
      <c r="AC325" s="38"/>
    </row>
    <row r="326" spans="1:29" hidden="1" outlineLevel="2" x14ac:dyDescent="0.25">
      <c r="A326" s="158" t="s">
        <v>1145</v>
      </c>
      <c r="B326" s="187" t="str">
        <f t="shared" si="224"/>
        <v>3.4/2</v>
      </c>
      <c r="C326" s="168" t="s">
        <v>1420</v>
      </c>
      <c r="D326" s="181" t="s">
        <v>1421</v>
      </c>
      <c r="E326" s="170" t="s">
        <v>1384</v>
      </c>
      <c r="F326" s="171"/>
      <c r="G326" s="171"/>
      <c r="H326" s="33">
        <f t="shared" si="233"/>
        <v>0</v>
      </c>
      <c r="I326" s="505"/>
      <c r="J326" s="505">
        <f t="shared" si="226"/>
        <v>0</v>
      </c>
      <c r="K326" s="499"/>
      <c r="L326" s="499">
        <f t="shared" si="227"/>
        <v>0</v>
      </c>
      <c r="M326" s="39">
        <f t="shared" si="228"/>
        <v>0</v>
      </c>
      <c r="N326" s="163">
        <f t="shared" si="240"/>
        <v>0</v>
      </c>
      <c r="O326" s="172">
        <f t="shared" si="241"/>
        <v>0</v>
      </c>
      <c r="P326" s="521"/>
      <c r="Q326" s="521">
        <f t="shared" si="229"/>
        <v>0</v>
      </c>
      <c r="R326" s="526"/>
      <c r="S326" s="526">
        <f t="shared" si="230"/>
        <v>0</v>
      </c>
      <c r="T326" s="39">
        <f t="shared" si="225"/>
        <v>0</v>
      </c>
      <c r="U326" s="163">
        <f>+ROUND(T326*H326,2)</f>
        <v>0</v>
      </c>
      <c r="V326" s="173">
        <f t="shared" si="242"/>
        <v>0</v>
      </c>
      <c r="W326" s="164"/>
      <c r="X326" s="128" t="s">
        <v>1004</v>
      </c>
      <c r="Y326" s="37">
        <f>+ROUND((O326)*(1+SUMIF($Y$2:$Y$4,X326,$Z$2:$Z$4)),0)</f>
        <v>0</v>
      </c>
      <c r="Z326" s="37">
        <f t="shared" si="237"/>
        <v>0</v>
      </c>
      <c r="AA326" s="166"/>
      <c r="AB326" s="38"/>
      <c r="AC326" s="38"/>
    </row>
    <row r="327" spans="1:29" hidden="1" outlineLevel="2" x14ac:dyDescent="0.25">
      <c r="A327" s="158" t="s">
        <v>1147</v>
      </c>
      <c r="B327" s="187" t="str">
        <f>+B326</f>
        <v>3.4/2</v>
      </c>
      <c r="C327" s="168" t="s">
        <v>1422</v>
      </c>
      <c r="D327" s="169" t="s">
        <v>1423</v>
      </c>
      <c r="E327" s="170" t="s">
        <v>1384</v>
      </c>
      <c r="F327" s="171"/>
      <c r="G327" s="171"/>
      <c r="H327" s="33">
        <f t="shared" si="233"/>
        <v>0</v>
      </c>
      <c r="I327" s="505"/>
      <c r="J327" s="505">
        <f t="shared" si="226"/>
        <v>0</v>
      </c>
      <c r="K327" s="499"/>
      <c r="L327" s="499">
        <f t="shared" si="227"/>
        <v>0</v>
      </c>
      <c r="M327" s="39">
        <f t="shared" si="228"/>
        <v>0</v>
      </c>
      <c r="N327" s="163">
        <f t="shared" si="240"/>
        <v>0</v>
      </c>
      <c r="O327" s="172">
        <f t="shared" si="241"/>
        <v>0</v>
      </c>
      <c r="P327" s="521"/>
      <c r="Q327" s="521">
        <f t="shared" si="229"/>
        <v>0</v>
      </c>
      <c r="R327" s="526"/>
      <c r="S327" s="526">
        <f t="shared" si="230"/>
        <v>0</v>
      </c>
      <c r="T327" s="39">
        <f t="shared" si="225"/>
        <v>0</v>
      </c>
      <c r="U327" s="163">
        <f>+ROUND(T327*H327,2)</f>
        <v>0</v>
      </c>
      <c r="V327" s="173">
        <f t="shared" si="242"/>
        <v>0</v>
      </c>
      <c r="W327" s="164"/>
      <c r="X327" s="128" t="s">
        <v>1004</v>
      </c>
      <c r="Y327" s="37">
        <f>+ROUND((O327)*(1+SUMIF($Y$2:$Y$4,X327,$Z$2:$Z$4)),0)</f>
        <v>0</v>
      </c>
      <c r="Z327" s="37">
        <f t="shared" si="237"/>
        <v>0</v>
      </c>
      <c r="AA327" s="166"/>
      <c r="AB327" s="38"/>
      <c r="AC327" s="38"/>
    </row>
    <row r="328" spans="1:29" hidden="1" outlineLevel="2" x14ac:dyDescent="0.25">
      <c r="A328" s="158" t="s">
        <v>1147</v>
      </c>
      <c r="B328" s="187" t="str">
        <f>+B326</f>
        <v>3.4/2</v>
      </c>
      <c r="C328" s="168" t="s">
        <v>1424</v>
      </c>
      <c r="D328" s="181" t="s">
        <v>1425</v>
      </c>
      <c r="E328" s="170" t="s">
        <v>1384</v>
      </c>
      <c r="F328" s="171"/>
      <c r="G328" s="171"/>
      <c r="H328" s="33">
        <f t="shared" si="233"/>
        <v>0</v>
      </c>
      <c r="I328" s="505"/>
      <c r="J328" s="505">
        <f t="shared" si="226"/>
        <v>0</v>
      </c>
      <c r="K328" s="499"/>
      <c r="L328" s="499">
        <f t="shared" si="227"/>
        <v>0</v>
      </c>
      <c r="M328" s="39">
        <f t="shared" si="228"/>
        <v>0</v>
      </c>
      <c r="N328" s="163">
        <f t="shared" si="240"/>
        <v>0</v>
      </c>
      <c r="O328" s="172">
        <f t="shared" si="241"/>
        <v>0</v>
      </c>
      <c r="P328" s="521"/>
      <c r="Q328" s="521">
        <f t="shared" si="229"/>
        <v>0</v>
      </c>
      <c r="R328" s="526"/>
      <c r="S328" s="526">
        <f t="shared" si="230"/>
        <v>0</v>
      </c>
      <c r="T328" s="39">
        <f t="shared" si="225"/>
        <v>0</v>
      </c>
      <c r="U328" s="163">
        <f>+ROUND(T328*H328,2)</f>
        <v>0</v>
      </c>
      <c r="V328" s="173">
        <f t="shared" si="242"/>
        <v>0</v>
      </c>
      <c r="W328" s="164"/>
      <c r="X328" s="128" t="s">
        <v>1004</v>
      </c>
      <c r="Y328" s="37">
        <f>+ROUND((O328)*(1+SUMIF($Y$2:$Y$4,X328,$Z$2:$Z$4)),0)</f>
        <v>0</v>
      </c>
      <c r="Z328" s="37">
        <f t="shared" si="237"/>
        <v>0</v>
      </c>
      <c r="AA328" s="166"/>
      <c r="AB328" s="38"/>
      <c r="AC328" s="38"/>
    </row>
    <row r="329" spans="1:29" hidden="1" outlineLevel="2" x14ac:dyDescent="0.25">
      <c r="A329" s="158" t="s">
        <v>1147</v>
      </c>
      <c r="B329" s="187" t="str">
        <f t="shared" si="224"/>
        <v>3.4/2</v>
      </c>
      <c r="C329" s="168" t="s">
        <v>1426</v>
      </c>
      <c r="D329" s="181" t="s">
        <v>1427</v>
      </c>
      <c r="E329" s="170" t="s">
        <v>1384</v>
      </c>
      <c r="F329" s="171"/>
      <c r="G329" s="171"/>
      <c r="H329" s="33">
        <f t="shared" si="233"/>
        <v>0</v>
      </c>
      <c r="I329" s="505"/>
      <c r="J329" s="505">
        <f t="shared" si="226"/>
        <v>0</v>
      </c>
      <c r="K329" s="499"/>
      <c r="L329" s="499">
        <f t="shared" si="227"/>
        <v>0</v>
      </c>
      <c r="M329" s="39">
        <f t="shared" si="228"/>
        <v>0</v>
      </c>
      <c r="N329" s="163">
        <f t="shared" si="240"/>
        <v>0</v>
      </c>
      <c r="O329" s="172">
        <f t="shared" si="241"/>
        <v>0</v>
      </c>
      <c r="P329" s="521"/>
      <c r="Q329" s="521">
        <f t="shared" si="229"/>
        <v>0</v>
      </c>
      <c r="R329" s="526"/>
      <c r="S329" s="526">
        <f t="shared" si="230"/>
        <v>0</v>
      </c>
      <c r="T329" s="39">
        <f t="shared" si="225"/>
        <v>0</v>
      </c>
      <c r="U329" s="163">
        <f>+ROUND(T329*H329,2)</f>
        <v>0</v>
      </c>
      <c r="V329" s="173">
        <f t="shared" si="242"/>
        <v>0</v>
      </c>
      <c r="W329" s="164"/>
      <c r="X329" s="128" t="s">
        <v>1004</v>
      </c>
      <c r="Y329" s="37">
        <f>+ROUND((O329)*(1+SUMIF($Y$2:$Y$4,X329,$Z$2:$Z$4)),0)</f>
        <v>0</v>
      </c>
      <c r="Z329" s="37">
        <f t="shared" si="237"/>
        <v>0</v>
      </c>
      <c r="AA329" s="166"/>
      <c r="AB329" s="38"/>
      <c r="AC329" s="38"/>
    </row>
    <row r="330" spans="1:29" hidden="1" outlineLevel="2" x14ac:dyDescent="0.25">
      <c r="A330" s="158" t="s">
        <v>1149</v>
      </c>
      <c r="B330" s="187" t="str">
        <f>+B329</f>
        <v>3.4/2</v>
      </c>
      <c r="C330" s="168" t="s">
        <v>1422</v>
      </c>
      <c r="D330" s="169" t="s">
        <v>1866</v>
      </c>
      <c r="E330" s="170" t="s">
        <v>1384</v>
      </c>
      <c r="F330" s="171"/>
      <c r="G330" s="171"/>
      <c r="H330" s="33">
        <f t="shared" ref="H330" si="247">+SUM(F330:G330)</f>
        <v>0</v>
      </c>
      <c r="I330" s="505"/>
      <c r="J330" s="505">
        <f t="shared" si="226"/>
        <v>0</v>
      </c>
      <c r="K330" s="499"/>
      <c r="L330" s="499">
        <f t="shared" si="227"/>
        <v>0</v>
      </c>
      <c r="M330" s="39">
        <f t="shared" si="228"/>
        <v>0</v>
      </c>
      <c r="N330" s="163">
        <f t="shared" ref="N330" si="248">+ROUND(M330*H330,2)</f>
        <v>0</v>
      </c>
      <c r="O330" s="172">
        <f t="shared" ref="O330" si="249">N330</f>
        <v>0</v>
      </c>
      <c r="P330" s="521"/>
      <c r="Q330" s="521">
        <f t="shared" si="229"/>
        <v>0</v>
      </c>
      <c r="R330" s="526"/>
      <c r="S330" s="526">
        <f t="shared" si="230"/>
        <v>0</v>
      </c>
      <c r="T330" s="39">
        <f t="shared" si="225"/>
        <v>0</v>
      </c>
      <c r="U330" s="163">
        <f>+ROUND(T330*H330,2)</f>
        <v>0</v>
      </c>
      <c r="V330" s="173">
        <f t="shared" ref="V330" si="250">U330</f>
        <v>0</v>
      </c>
      <c r="W330" s="164"/>
      <c r="X330" s="128" t="s">
        <v>1004</v>
      </c>
      <c r="Y330" s="37">
        <f>+ROUND((O330)*(1+SUMIF($Y$2:$Y$4,X330,$Z$2:$Z$4)),0)</f>
        <v>0</v>
      </c>
      <c r="Z330" s="37">
        <f t="shared" si="237"/>
        <v>0</v>
      </c>
      <c r="AA330" s="166"/>
      <c r="AB330" s="38"/>
      <c r="AC330" s="38"/>
    </row>
    <row r="331" spans="1:29" hidden="1" outlineLevel="2" x14ac:dyDescent="0.25">
      <c r="A331" s="158" t="s">
        <v>1149</v>
      </c>
      <c r="B331" s="187" t="str">
        <f>+B329</f>
        <v>3.4/2</v>
      </c>
      <c r="C331" s="168" t="s">
        <v>1430</v>
      </c>
      <c r="D331" s="181" t="s">
        <v>1431</v>
      </c>
      <c r="E331" s="170" t="s">
        <v>1384</v>
      </c>
      <c r="F331" s="171"/>
      <c r="G331" s="171"/>
      <c r="H331" s="33">
        <f t="shared" si="233"/>
        <v>0</v>
      </c>
      <c r="I331" s="505"/>
      <c r="J331" s="505">
        <f t="shared" si="226"/>
        <v>0</v>
      </c>
      <c r="K331" s="499"/>
      <c r="L331" s="499">
        <f t="shared" si="227"/>
        <v>0</v>
      </c>
      <c r="M331" s="39">
        <f t="shared" si="228"/>
        <v>0</v>
      </c>
      <c r="N331" s="163">
        <f t="shared" si="240"/>
        <v>0</v>
      </c>
      <c r="O331" s="172">
        <f t="shared" si="241"/>
        <v>0</v>
      </c>
      <c r="P331" s="521"/>
      <c r="Q331" s="521">
        <f t="shared" si="229"/>
        <v>0</v>
      </c>
      <c r="R331" s="526"/>
      <c r="S331" s="526">
        <f t="shared" si="230"/>
        <v>0</v>
      </c>
      <c r="T331" s="39">
        <f t="shared" si="225"/>
        <v>0</v>
      </c>
      <c r="U331" s="163">
        <f>+ROUND(T331*H331,2)</f>
        <v>0</v>
      </c>
      <c r="V331" s="173">
        <f t="shared" si="242"/>
        <v>0</v>
      </c>
      <c r="W331" s="164"/>
      <c r="X331" s="128" t="s">
        <v>1004</v>
      </c>
      <c r="Y331" s="37">
        <f>+ROUND((O331)*(1+SUMIF($Y$2:$Y$4,X331,$Z$2:$Z$4)),0)</f>
        <v>0</v>
      </c>
      <c r="Z331" s="37">
        <f t="shared" si="237"/>
        <v>0</v>
      </c>
      <c r="AA331" s="166"/>
      <c r="AB331" s="38"/>
      <c r="AC331" s="38"/>
    </row>
    <row r="332" spans="1:29" hidden="1" outlineLevel="2" x14ac:dyDescent="0.25">
      <c r="A332" s="158" t="s">
        <v>1149</v>
      </c>
      <c r="B332" s="187" t="str">
        <f t="shared" si="224"/>
        <v>3.4/2</v>
      </c>
      <c r="C332" s="168" t="s">
        <v>1432</v>
      </c>
      <c r="D332" s="181" t="s">
        <v>1413</v>
      </c>
      <c r="E332" s="170" t="s">
        <v>1384</v>
      </c>
      <c r="F332" s="171"/>
      <c r="G332" s="171"/>
      <c r="H332" s="33">
        <f t="shared" si="233"/>
        <v>0</v>
      </c>
      <c r="I332" s="505"/>
      <c r="J332" s="505">
        <f t="shared" si="226"/>
        <v>0</v>
      </c>
      <c r="K332" s="499"/>
      <c r="L332" s="499">
        <f t="shared" si="227"/>
        <v>0</v>
      </c>
      <c r="M332" s="39">
        <f t="shared" si="228"/>
        <v>0</v>
      </c>
      <c r="N332" s="163">
        <f t="shared" si="240"/>
        <v>0</v>
      </c>
      <c r="O332" s="172">
        <f t="shared" si="241"/>
        <v>0</v>
      </c>
      <c r="P332" s="521"/>
      <c r="Q332" s="521">
        <f t="shared" si="229"/>
        <v>0</v>
      </c>
      <c r="R332" s="526"/>
      <c r="S332" s="526">
        <f t="shared" si="230"/>
        <v>0</v>
      </c>
      <c r="T332" s="39">
        <f t="shared" si="225"/>
        <v>0</v>
      </c>
      <c r="U332" s="163">
        <f>+ROUND(T332*H332,2)</f>
        <v>0</v>
      </c>
      <c r="V332" s="173">
        <f t="shared" si="242"/>
        <v>0</v>
      </c>
      <c r="W332" s="164"/>
      <c r="X332" s="128" t="s">
        <v>1004</v>
      </c>
      <c r="Y332" s="37">
        <f>+ROUND((O332)*(1+SUMIF($Y$2:$Y$4,X332,$Z$2:$Z$4)),0)</f>
        <v>0</v>
      </c>
      <c r="Z332" s="37">
        <f t="shared" si="237"/>
        <v>0</v>
      </c>
      <c r="AA332" s="166"/>
      <c r="AB332" s="38"/>
      <c r="AC332" s="38"/>
    </row>
    <row r="333" spans="1:29" hidden="1" outlineLevel="1" x14ac:dyDescent="0.25">
      <c r="A333" s="506" t="s">
        <v>1022</v>
      </c>
      <c r="B333" s="512" t="str">
        <f t="shared" si="224"/>
        <v>3.4/2</v>
      </c>
      <c r="C333" s="508"/>
      <c r="D333" s="509" t="s">
        <v>1023</v>
      </c>
      <c r="E333" s="510"/>
      <c r="F333" s="511"/>
      <c r="G333" s="511"/>
      <c r="H333" s="512">
        <f t="shared" si="233"/>
        <v>0</v>
      </c>
      <c r="I333" s="512"/>
      <c r="J333" s="512">
        <f t="shared" si="226"/>
        <v>0</v>
      </c>
      <c r="K333" s="512"/>
      <c r="L333" s="512">
        <f t="shared" si="227"/>
        <v>0</v>
      </c>
      <c r="M333" s="512">
        <f t="shared" si="228"/>
        <v>0</v>
      </c>
      <c r="N333" s="512">
        <f>SUM(N317:N332)</f>
        <v>0</v>
      </c>
      <c r="O333" s="513">
        <f>SUM(O317:O332)</f>
        <v>0</v>
      </c>
      <c r="P333" s="512"/>
      <c r="Q333" s="512">
        <f t="shared" si="229"/>
        <v>0</v>
      </c>
      <c r="R333" s="512"/>
      <c r="S333" s="512">
        <f t="shared" si="230"/>
        <v>0</v>
      </c>
      <c r="T333" s="512">
        <f t="shared" si="225"/>
        <v>0</v>
      </c>
      <c r="U333" s="512">
        <f>SUM(U317:U332)</f>
        <v>0</v>
      </c>
      <c r="V333" s="513">
        <f>SUM(V317:V332)</f>
        <v>0</v>
      </c>
      <c r="W333" s="507"/>
      <c r="X333" s="514" t="s">
        <v>1004</v>
      </c>
      <c r="Y333" s="513">
        <f>SUM(Y317:Y332)</f>
        <v>0</v>
      </c>
      <c r="Z333" s="513">
        <f>SUM(Z317:Z332)</f>
        <v>0</v>
      </c>
      <c r="AA333" s="166"/>
      <c r="AB333" s="38"/>
      <c r="AC333" s="38"/>
    </row>
    <row r="334" spans="1:29" hidden="1" outlineLevel="1" x14ac:dyDescent="0.25">
      <c r="A334" s="158" t="s">
        <v>1182</v>
      </c>
      <c r="B334" s="159" t="s">
        <v>320</v>
      </c>
      <c r="C334" s="250">
        <v>2</v>
      </c>
      <c r="D334" s="161" t="s">
        <v>1434</v>
      </c>
      <c r="E334" s="162"/>
      <c r="F334" s="40"/>
      <c r="G334" s="40"/>
      <c r="H334" s="33">
        <f t="shared" ref="H334:H336" si="251">+SUM(F334:G334)</f>
        <v>0</v>
      </c>
      <c r="I334" s="504"/>
      <c r="J334" s="504">
        <f t="shared" si="226"/>
        <v>0</v>
      </c>
      <c r="K334" s="498"/>
      <c r="L334" s="498">
        <f t="shared" si="227"/>
        <v>0</v>
      </c>
      <c r="M334" s="34">
        <f t="shared" si="228"/>
        <v>0</v>
      </c>
      <c r="N334" s="163">
        <f t="shared" ref="N334:N336" si="252">+ROUND(M334*H334,2)</f>
        <v>0</v>
      </c>
      <c r="O334" s="172">
        <f t="shared" ref="O334:O336" si="253">N334</f>
        <v>0</v>
      </c>
      <c r="P334" s="520"/>
      <c r="Q334" s="520">
        <f t="shared" si="229"/>
        <v>0</v>
      </c>
      <c r="R334" s="525"/>
      <c r="S334" s="525">
        <f t="shared" si="230"/>
        <v>0</v>
      </c>
      <c r="T334" s="39">
        <f t="shared" si="225"/>
        <v>0</v>
      </c>
      <c r="U334" s="163">
        <f>+ROUND(T334*H334,2)</f>
        <v>0</v>
      </c>
      <c r="V334" s="173">
        <f t="shared" ref="V334:V336" si="254">U334</f>
        <v>0</v>
      </c>
      <c r="W334" s="164"/>
      <c r="X334" s="128" t="s">
        <v>1004</v>
      </c>
      <c r="Y334" s="37">
        <f>+ROUND((O334)*(1+SUMIF($Y$2:$Y$4,X334,$Z$2:$Z$4)),0)</f>
        <v>0</v>
      </c>
      <c r="Z334" s="37">
        <f t="shared" ref="Z334:Z348" si="255">+ROUND((V334)*(1+SUMIF($Y$2:$Y$4,X334,$Z$2:$Z$4)),0)</f>
        <v>0</v>
      </c>
      <c r="AA334" s="166"/>
      <c r="AB334" s="38"/>
      <c r="AC334" s="38"/>
    </row>
    <row r="335" spans="1:29" hidden="1" outlineLevel="2" x14ac:dyDescent="0.25">
      <c r="A335" s="158" t="s">
        <v>1139</v>
      </c>
      <c r="B335" s="187" t="str">
        <f>+B334</f>
        <v>3.4/3</v>
      </c>
      <c r="C335" s="249">
        <v>2.4</v>
      </c>
      <c r="D335" s="226" t="s">
        <v>1435</v>
      </c>
      <c r="E335" s="170" t="s">
        <v>1384</v>
      </c>
      <c r="F335" s="171"/>
      <c r="G335" s="171"/>
      <c r="H335" s="33">
        <f t="shared" si="251"/>
        <v>0</v>
      </c>
      <c r="I335" s="505"/>
      <c r="J335" s="505">
        <f t="shared" si="226"/>
        <v>0</v>
      </c>
      <c r="K335" s="499"/>
      <c r="L335" s="499">
        <f t="shared" si="227"/>
        <v>0</v>
      </c>
      <c r="M335" s="39">
        <f t="shared" si="228"/>
        <v>0</v>
      </c>
      <c r="N335" s="163">
        <f t="shared" si="252"/>
        <v>0</v>
      </c>
      <c r="O335" s="172">
        <f t="shared" si="253"/>
        <v>0</v>
      </c>
      <c r="P335" s="521"/>
      <c r="Q335" s="521">
        <f t="shared" si="229"/>
        <v>0</v>
      </c>
      <c r="R335" s="526"/>
      <c r="S335" s="526">
        <f t="shared" si="230"/>
        <v>0</v>
      </c>
      <c r="T335" s="39">
        <f t="shared" si="225"/>
        <v>0</v>
      </c>
      <c r="U335" s="163">
        <f>+ROUND(T335*H335,2)</f>
        <v>0</v>
      </c>
      <c r="V335" s="173">
        <f t="shared" si="254"/>
        <v>0</v>
      </c>
      <c r="W335" s="164"/>
      <c r="X335" s="128" t="s">
        <v>1004</v>
      </c>
      <c r="Y335" s="37">
        <f>+ROUND((O335)*(1+SUMIF($Y$2:$Y$4,X335,$Z$2:$Z$4)),0)</f>
        <v>0</v>
      </c>
      <c r="Z335" s="37">
        <f t="shared" si="255"/>
        <v>0</v>
      </c>
      <c r="AA335" s="166"/>
      <c r="AB335" s="38"/>
      <c r="AC335" s="38"/>
    </row>
    <row r="336" spans="1:29" hidden="1" outlineLevel="2" x14ac:dyDescent="0.25">
      <c r="A336" s="158" t="s">
        <v>1182</v>
      </c>
      <c r="B336" s="187" t="s">
        <v>320</v>
      </c>
      <c r="C336" s="168" t="s">
        <v>1436</v>
      </c>
      <c r="D336" s="174" t="s">
        <v>1437</v>
      </c>
      <c r="E336" s="170" t="s">
        <v>1384</v>
      </c>
      <c r="F336" s="171"/>
      <c r="G336" s="171"/>
      <c r="H336" s="33">
        <f t="shared" si="251"/>
        <v>0</v>
      </c>
      <c r="I336" s="505"/>
      <c r="J336" s="505">
        <f t="shared" si="226"/>
        <v>0</v>
      </c>
      <c r="K336" s="499"/>
      <c r="L336" s="499">
        <f t="shared" si="227"/>
        <v>0</v>
      </c>
      <c r="M336" s="39">
        <f t="shared" si="228"/>
        <v>0</v>
      </c>
      <c r="N336" s="163">
        <f t="shared" si="252"/>
        <v>0</v>
      </c>
      <c r="O336" s="172">
        <f t="shared" si="253"/>
        <v>0</v>
      </c>
      <c r="P336" s="521"/>
      <c r="Q336" s="521">
        <f t="shared" si="229"/>
        <v>0</v>
      </c>
      <c r="R336" s="526"/>
      <c r="S336" s="526">
        <f t="shared" si="230"/>
        <v>0</v>
      </c>
      <c r="T336" s="39">
        <f t="shared" si="225"/>
        <v>0</v>
      </c>
      <c r="U336" s="163">
        <f>+ROUND(T336*H336,2)</f>
        <v>0</v>
      </c>
      <c r="V336" s="173">
        <f t="shared" si="254"/>
        <v>0</v>
      </c>
      <c r="W336" s="164"/>
      <c r="X336" s="128" t="s">
        <v>1004</v>
      </c>
      <c r="Y336" s="37">
        <f>+ROUND((O336)*(1+SUMIF($Y$2:$Y$4,X336,$Z$2:$Z$4)),0)</f>
        <v>0</v>
      </c>
      <c r="Z336" s="37">
        <f t="shared" si="255"/>
        <v>0</v>
      </c>
      <c r="AA336" s="166"/>
      <c r="AB336" s="38"/>
      <c r="AC336" s="38"/>
    </row>
    <row r="337" spans="1:29" hidden="1" outlineLevel="2" x14ac:dyDescent="0.25">
      <c r="A337" s="158" t="s">
        <v>1182</v>
      </c>
      <c r="B337" s="187" t="s">
        <v>320</v>
      </c>
      <c r="C337" s="168" t="s">
        <v>1438</v>
      </c>
      <c r="D337" s="169" t="s">
        <v>1439</v>
      </c>
      <c r="E337" s="170" t="s">
        <v>1384</v>
      </c>
      <c r="F337" s="171"/>
      <c r="G337" s="171"/>
      <c r="H337" s="33">
        <f t="shared" si="233"/>
        <v>0</v>
      </c>
      <c r="I337" s="505"/>
      <c r="J337" s="505">
        <f t="shared" si="226"/>
        <v>0</v>
      </c>
      <c r="K337" s="499"/>
      <c r="L337" s="499">
        <f t="shared" si="227"/>
        <v>0</v>
      </c>
      <c r="M337" s="39">
        <f t="shared" si="228"/>
        <v>0</v>
      </c>
      <c r="N337" s="163">
        <f t="shared" si="240"/>
        <v>0</v>
      </c>
      <c r="O337" s="172">
        <f t="shared" ref="O337:O348" si="256">N337</f>
        <v>0</v>
      </c>
      <c r="P337" s="521"/>
      <c r="Q337" s="521">
        <f t="shared" si="229"/>
        <v>0</v>
      </c>
      <c r="R337" s="526"/>
      <c r="S337" s="526">
        <f t="shared" si="230"/>
        <v>0</v>
      </c>
      <c r="T337" s="39">
        <f t="shared" si="225"/>
        <v>0</v>
      </c>
      <c r="U337" s="163">
        <f>+ROUND(T337*H337,2)</f>
        <v>0</v>
      </c>
      <c r="V337" s="173">
        <f t="shared" ref="V337:V348" si="257">U337</f>
        <v>0</v>
      </c>
      <c r="W337" s="164"/>
      <c r="X337" s="128" t="s">
        <v>1004</v>
      </c>
      <c r="Y337" s="37">
        <f>+ROUND((O337)*(1+SUMIF($Y$2:$Y$4,X337,$Z$2:$Z$4)),0)</f>
        <v>0</v>
      </c>
      <c r="Z337" s="37">
        <f t="shared" si="255"/>
        <v>0</v>
      </c>
      <c r="AA337" s="166"/>
      <c r="AB337" s="38"/>
      <c r="AC337" s="38"/>
    </row>
    <row r="338" spans="1:29" hidden="1" outlineLevel="2" x14ac:dyDescent="0.25">
      <c r="A338" s="158" t="s">
        <v>1141</v>
      </c>
      <c r="B338" s="187" t="str">
        <f t="shared" si="224"/>
        <v>3.4/3</v>
      </c>
      <c r="C338" s="168" t="s">
        <v>1440</v>
      </c>
      <c r="D338" s="169" t="s">
        <v>1441</v>
      </c>
      <c r="E338" s="170" t="s">
        <v>1384</v>
      </c>
      <c r="F338" s="171"/>
      <c r="G338" s="171"/>
      <c r="H338" s="33">
        <f t="shared" si="233"/>
        <v>0</v>
      </c>
      <c r="I338" s="505"/>
      <c r="J338" s="505">
        <f t="shared" si="226"/>
        <v>0</v>
      </c>
      <c r="K338" s="499"/>
      <c r="L338" s="499">
        <f t="shared" si="227"/>
        <v>0</v>
      </c>
      <c r="M338" s="39">
        <f t="shared" si="228"/>
        <v>0</v>
      </c>
      <c r="N338" s="163">
        <f t="shared" si="240"/>
        <v>0</v>
      </c>
      <c r="O338" s="172">
        <f t="shared" si="256"/>
        <v>0</v>
      </c>
      <c r="P338" s="521"/>
      <c r="Q338" s="521">
        <f t="shared" si="229"/>
        <v>0</v>
      </c>
      <c r="R338" s="526"/>
      <c r="S338" s="526">
        <f t="shared" si="230"/>
        <v>0</v>
      </c>
      <c r="T338" s="39">
        <f t="shared" si="225"/>
        <v>0</v>
      </c>
      <c r="U338" s="163">
        <f>+ROUND(T338*H338,2)</f>
        <v>0</v>
      </c>
      <c r="V338" s="173">
        <f t="shared" si="257"/>
        <v>0</v>
      </c>
      <c r="W338" s="164"/>
      <c r="X338" s="128" t="s">
        <v>1004</v>
      </c>
      <c r="Y338" s="37">
        <f>+ROUND((O338)*(1+SUMIF($Y$2:$Y$4,X338,$Z$2:$Z$4)),0)</f>
        <v>0</v>
      </c>
      <c r="Z338" s="37">
        <f t="shared" si="255"/>
        <v>0</v>
      </c>
      <c r="AA338" s="166"/>
      <c r="AB338" s="38"/>
      <c r="AC338" s="38"/>
    </row>
    <row r="339" spans="1:29" hidden="1" outlineLevel="2" x14ac:dyDescent="0.25">
      <c r="A339" s="158" t="s">
        <v>1182</v>
      </c>
      <c r="B339" s="187" t="s">
        <v>320</v>
      </c>
      <c r="C339" s="168" t="s">
        <v>1442</v>
      </c>
      <c r="D339" s="174" t="s">
        <v>1443</v>
      </c>
      <c r="E339" s="170" t="s">
        <v>1384</v>
      </c>
      <c r="F339" s="171"/>
      <c r="G339" s="171"/>
      <c r="H339" s="33">
        <f t="shared" si="233"/>
        <v>0</v>
      </c>
      <c r="I339" s="505"/>
      <c r="J339" s="505">
        <f t="shared" si="226"/>
        <v>0</v>
      </c>
      <c r="K339" s="499"/>
      <c r="L339" s="499">
        <f t="shared" si="227"/>
        <v>0</v>
      </c>
      <c r="M339" s="39">
        <f t="shared" si="228"/>
        <v>0</v>
      </c>
      <c r="N339" s="163">
        <f t="shared" si="240"/>
        <v>0</v>
      </c>
      <c r="O339" s="172">
        <f t="shared" si="256"/>
        <v>0</v>
      </c>
      <c r="P339" s="521"/>
      <c r="Q339" s="521">
        <f t="shared" si="229"/>
        <v>0</v>
      </c>
      <c r="R339" s="526"/>
      <c r="S339" s="526">
        <f t="shared" si="230"/>
        <v>0</v>
      </c>
      <c r="T339" s="39">
        <f t="shared" si="225"/>
        <v>0</v>
      </c>
      <c r="U339" s="163">
        <f>+ROUND(T339*H339,2)</f>
        <v>0</v>
      </c>
      <c r="V339" s="173">
        <f t="shared" si="257"/>
        <v>0</v>
      </c>
      <c r="W339" s="164"/>
      <c r="X339" s="128" t="s">
        <v>1004</v>
      </c>
      <c r="Y339" s="37">
        <f>+ROUND((O339)*(1+SUMIF($Y$2:$Y$4,X339,$Z$2:$Z$4)),0)</f>
        <v>0</v>
      </c>
      <c r="Z339" s="37">
        <f t="shared" si="255"/>
        <v>0</v>
      </c>
      <c r="AA339" s="166"/>
      <c r="AB339" s="38"/>
      <c r="AC339" s="38"/>
    </row>
    <row r="340" spans="1:29" hidden="1" outlineLevel="2" x14ac:dyDescent="0.25">
      <c r="A340" s="158" t="s">
        <v>1182</v>
      </c>
      <c r="B340" s="187" t="str">
        <f>+B338</f>
        <v>3.4/3</v>
      </c>
      <c r="C340" s="168" t="s">
        <v>1444</v>
      </c>
      <c r="D340" s="169" t="s">
        <v>1445</v>
      </c>
      <c r="E340" s="170" t="s">
        <v>1384</v>
      </c>
      <c r="F340" s="171"/>
      <c r="G340" s="171"/>
      <c r="H340" s="33">
        <f t="shared" si="233"/>
        <v>0</v>
      </c>
      <c r="I340" s="505"/>
      <c r="J340" s="505">
        <f t="shared" si="226"/>
        <v>0</v>
      </c>
      <c r="K340" s="499"/>
      <c r="L340" s="499">
        <f t="shared" si="227"/>
        <v>0</v>
      </c>
      <c r="M340" s="39">
        <f t="shared" si="228"/>
        <v>0</v>
      </c>
      <c r="N340" s="163">
        <f t="shared" si="240"/>
        <v>0</v>
      </c>
      <c r="O340" s="172">
        <f t="shared" si="256"/>
        <v>0</v>
      </c>
      <c r="P340" s="521"/>
      <c r="Q340" s="521">
        <f t="shared" si="229"/>
        <v>0</v>
      </c>
      <c r="R340" s="526"/>
      <c r="S340" s="526">
        <f t="shared" si="230"/>
        <v>0</v>
      </c>
      <c r="T340" s="39">
        <f t="shared" si="225"/>
        <v>0</v>
      </c>
      <c r="U340" s="163">
        <f>+ROUND(T340*H340,2)</f>
        <v>0</v>
      </c>
      <c r="V340" s="173">
        <f t="shared" si="257"/>
        <v>0</v>
      </c>
      <c r="W340" s="164"/>
      <c r="X340" s="128" t="s">
        <v>1004</v>
      </c>
      <c r="Y340" s="37">
        <f>+ROUND((O340)*(1+SUMIF($Y$2:$Y$4,X340,$Z$2:$Z$4)),0)</f>
        <v>0</v>
      </c>
      <c r="Z340" s="37">
        <f t="shared" si="255"/>
        <v>0</v>
      </c>
      <c r="AA340" s="166"/>
      <c r="AB340" s="38"/>
      <c r="AC340" s="38"/>
    </row>
    <row r="341" spans="1:29" hidden="1" outlineLevel="2" x14ac:dyDescent="0.25">
      <c r="A341" s="158" t="s">
        <v>1182</v>
      </c>
      <c r="B341" s="187" t="str">
        <f t="shared" si="224"/>
        <v>3.4/3</v>
      </c>
      <c r="C341" s="168" t="s">
        <v>1446</v>
      </c>
      <c r="D341" s="169" t="s">
        <v>1447</v>
      </c>
      <c r="E341" s="170" t="s">
        <v>1384</v>
      </c>
      <c r="F341" s="171"/>
      <c r="G341" s="171"/>
      <c r="H341" s="33">
        <f t="shared" si="233"/>
        <v>0</v>
      </c>
      <c r="I341" s="505"/>
      <c r="J341" s="505">
        <f t="shared" si="226"/>
        <v>0</v>
      </c>
      <c r="K341" s="499"/>
      <c r="L341" s="499">
        <f t="shared" si="227"/>
        <v>0</v>
      </c>
      <c r="M341" s="39">
        <f t="shared" si="228"/>
        <v>0</v>
      </c>
      <c r="N341" s="163">
        <f t="shared" si="240"/>
        <v>0</v>
      </c>
      <c r="O341" s="172">
        <f t="shared" si="256"/>
        <v>0</v>
      </c>
      <c r="P341" s="521"/>
      <c r="Q341" s="521">
        <f t="shared" si="229"/>
        <v>0</v>
      </c>
      <c r="R341" s="526"/>
      <c r="S341" s="526">
        <f t="shared" si="230"/>
        <v>0</v>
      </c>
      <c r="T341" s="39">
        <f t="shared" si="225"/>
        <v>0</v>
      </c>
      <c r="U341" s="163">
        <f>+ROUND(T341*H341,2)</f>
        <v>0</v>
      </c>
      <c r="V341" s="173">
        <f t="shared" si="257"/>
        <v>0</v>
      </c>
      <c r="W341" s="164"/>
      <c r="X341" s="128" t="s">
        <v>1004</v>
      </c>
      <c r="Y341" s="37">
        <f>+ROUND((O341)*(1+SUMIF($Y$2:$Y$4,X341,$Z$2:$Z$4)),0)</f>
        <v>0</v>
      </c>
      <c r="Z341" s="37">
        <f t="shared" si="255"/>
        <v>0</v>
      </c>
      <c r="AA341" s="166"/>
      <c r="AB341" s="38"/>
      <c r="AC341" s="38"/>
    </row>
    <row r="342" spans="1:29" hidden="1" outlineLevel="2" x14ac:dyDescent="0.25">
      <c r="A342" s="158" t="s">
        <v>1255</v>
      </c>
      <c r="B342" s="187" t="s">
        <v>320</v>
      </c>
      <c r="C342" s="168" t="s">
        <v>1448</v>
      </c>
      <c r="D342" s="174" t="s">
        <v>1449</v>
      </c>
      <c r="E342" s="170" t="s">
        <v>1384</v>
      </c>
      <c r="F342" s="171"/>
      <c r="G342" s="171"/>
      <c r="H342" s="33">
        <f t="shared" ref="H342" si="258">+SUM(F342:G342)</f>
        <v>0</v>
      </c>
      <c r="I342" s="505"/>
      <c r="J342" s="505">
        <f t="shared" si="226"/>
        <v>0</v>
      </c>
      <c r="K342" s="499"/>
      <c r="L342" s="499">
        <f t="shared" si="227"/>
        <v>0</v>
      </c>
      <c r="M342" s="39">
        <f t="shared" si="228"/>
        <v>0</v>
      </c>
      <c r="N342" s="163">
        <f t="shared" ref="N342" si="259">+ROUND(M342*H342,2)</f>
        <v>0</v>
      </c>
      <c r="O342" s="172">
        <f t="shared" ref="O342" si="260">N342</f>
        <v>0</v>
      </c>
      <c r="P342" s="521"/>
      <c r="Q342" s="521">
        <f t="shared" si="229"/>
        <v>0</v>
      </c>
      <c r="R342" s="526"/>
      <c r="S342" s="526">
        <f t="shared" si="230"/>
        <v>0</v>
      </c>
      <c r="T342" s="39">
        <f t="shared" si="225"/>
        <v>0</v>
      </c>
      <c r="U342" s="163">
        <f>+ROUND(T342*H342,2)</f>
        <v>0</v>
      </c>
      <c r="V342" s="173">
        <f t="shared" ref="V342" si="261">U342</f>
        <v>0</v>
      </c>
      <c r="W342" s="164"/>
      <c r="X342" s="128" t="s">
        <v>1004</v>
      </c>
      <c r="Y342" s="37">
        <f>+ROUND((O342)*(1+SUMIF($Y$2:$Y$4,X342,$Z$2:$Z$4)),0)</f>
        <v>0</v>
      </c>
      <c r="Z342" s="37">
        <f t="shared" si="255"/>
        <v>0</v>
      </c>
      <c r="AA342" s="166"/>
      <c r="AB342" s="38"/>
      <c r="AC342" s="38"/>
    </row>
    <row r="343" spans="1:29" hidden="1" outlineLevel="2" x14ac:dyDescent="0.25">
      <c r="A343" s="158" t="s">
        <v>1255</v>
      </c>
      <c r="B343" s="187" t="str">
        <f>+B341</f>
        <v>3.4/3</v>
      </c>
      <c r="C343" s="168" t="s">
        <v>1450</v>
      </c>
      <c r="D343" s="169" t="s">
        <v>1451</v>
      </c>
      <c r="E343" s="170" t="s">
        <v>1384</v>
      </c>
      <c r="F343" s="171"/>
      <c r="G343" s="171"/>
      <c r="H343" s="33">
        <f t="shared" si="233"/>
        <v>0</v>
      </c>
      <c r="I343" s="505"/>
      <c r="J343" s="505">
        <f t="shared" si="226"/>
        <v>0</v>
      </c>
      <c r="K343" s="499"/>
      <c r="L343" s="499">
        <f t="shared" si="227"/>
        <v>0</v>
      </c>
      <c r="M343" s="39">
        <f t="shared" si="228"/>
        <v>0</v>
      </c>
      <c r="N343" s="163">
        <f t="shared" si="240"/>
        <v>0</v>
      </c>
      <c r="O343" s="172">
        <f t="shared" si="256"/>
        <v>0</v>
      </c>
      <c r="P343" s="521"/>
      <c r="Q343" s="521">
        <f t="shared" si="229"/>
        <v>0</v>
      </c>
      <c r="R343" s="526"/>
      <c r="S343" s="526">
        <f t="shared" si="230"/>
        <v>0</v>
      </c>
      <c r="T343" s="39">
        <f t="shared" si="225"/>
        <v>0</v>
      </c>
      <c r="U343" s="163">
        <f>+ROUND(T343*H343,2)</f>
        <v>0</v>
      </c>
      <c r="V343" s="173">
        <f t="shared" si="257"/>
        <v>0</v>
      </c>
      <c r="W343" s="164"/>
      <c r="X343" s="128" t="s">
        <v>1004</v>
      </c>
      <c r="Y343" s="37">
        <f>+ROUND((O343)*(1+SUMIF($Y$2:$Y$4,X343,$Z$2:$Z$4)),0)</f>
        <v>0</v>
      </c>
      <c r="Z343" s="37">
        <f t="shared" si="255"/>
        <v>0</v>
      </c>
      <c r="AA343" s="166"/>
      <c r="AB343" s="38"/>
      <c r="AC343" s="38"/>
    </row>
    <row r="344" spans="1:29" hidden="1" outlineLevel="2" x14ac:dyDescent="0.25">
      <c r="A344" s="158" t="s">
        <v>1255</v>
      </c>
      <c r="B344" s="187" t="str">
        <f t="shared" si="224"/>
        <v>3.4/3</v>
      </c>
      <c r="C344" s="168" t="s">
        <v>1452</v>
      </c>
      <c r="D344" s="169" t="s">
        <v>1453</v>
      </c>
      <c r="E344" s="170" t="s">
        <v>1384</v>
      </c>
      <c r="F344" s="171"/>
      <c r="G344" s="171"/>
      <c r="H344" s="33">
        <f t="shared" si="233"/>
        <v>0</v>
      </c>
      <c r="I344" s="505"/>
      <c r="J344" s="505">
        <f t="shared" si="226"/>
        <v>0</v>
      </c>
      <c r="K344" s="499"/>
      <c r="L344" s="499">
        <f t="shared" si="227"/>
        <v>0</v>
      </c>
      <c r="M344" s="39">
        <f t="shared" si="228"/>
        <v>0</v>
      </c>
      <c r="N344" s="163">
        <f t="shared" si="240"/>
        <v>0</v>
      </c>
      <c r="O344" s="172">
        <f t="shared" si="256"/>
        <v>0</v>
      </c>
      <c r="P344" s="521"/>
      <c r="Q344" s="521">
        <f t="shared" si="229"/>
        <v>0</v>
      </c>
      <c r="R344" s="526"/>
      <c r="S344" s="526">
        <f t="shared" si="230"/>
        <v>0</v>
      </c>
      <c r="T344" s="39">
        <f t="shared" si="225"/>
        <v>0</v>
      </c>
      <c r="U344" s="163">
        <f>+ROUND(T344*H344,2)</f>
        <v>0</v>
      </c>
      <c r="V344" s="173">
        <f t="shared" si="257"/>
        <v>0</v>
      </c>
      <c r="W344" s="164"/>
      <c r="X344" s="128" t="s">
        <v>1004</v>
      </c>
      <c r="Y344" s="37">
        <f>+ROUND((O344)*(1+SUMIF($Y$2:$Y$4,X344,$Z$2:$Z$4)),0)</f>
        <v>0</v>
      </c>
      <c r="Z344" s="37">
        <f t="shared" si="255"/>
        <v>0</v>
      </c>
      <c r="AA344" s="166"/>
      <c r="AB344" s="38"/>
      <c r="AC344" s="38"/>
    </row>
    <row r="345" spans="1:29" hidden="1" outlineLevel="2" x14ac:dyDescent="0.25">
      <c r="A345" s="158" t="s">
        <v>1171</v>
      </c>
      <c r="B345" s="187" t="str">
        <f>+B344</f>
        <v>3.4/3</v>
      </c>
      <c r="C345" s="249">
        <v>2.5</v>
      </c>
      <c r="D345" s="226" t="s">
        <v>1867</v>
      </c>
      <c r="E345" s="170" t="s">
        <v>1384</v>
      </c>
      <c r="F345" s="171"/>
      <c r="G345" s="171"/>
      <c r="H345" s="33">
        <f t="shared" si="233"/>
        <v>0</v>
      </c>
      <c r="I345" s="505"/>
      <c r="J345" s="505">
        <f t="shared" si="226"/>
        <v>0</v>
      </c>
      <c r="K345" s="499"/>
      <c r="L345" s="499">
        <f t="shared" si="227"/>
        <v>0</v>
      </c>
      <c r="M345" s="39">
        <f t="shared" si="228"/>
        <v>0</v>
      </c>
      <c r="N345" s="163">
        <f t="shared" si="240"/>
        <v>0</v>
      </c>
      <c r="O345" s="172">
        <f t="shared" si="256"/>
        <v>0</v>
      </c>
      <c r="P345" s="521"/>
      <c r="Q345" s="521">
        <f t="shared" si="229"/>
        <v>0</v>
      </c>
      <c r="R345" s="526"/>
      <c r="S345" s="526">
        <f t="shared" si="230"/>
        <v>0</v>
      </c>
      <c r="T345" s="39">
        <f t="shared" si="225"/>
        <v>0</v>
      </c>
      <c r="U345" s="163">
        <f>+ROUND(T345*H345,2)</f>
        <v>0</v>
      </c>
      <c r="V345" s="173">
        <f t="shared" si="257"/>
        <v>0</v>
      </c>
      <c r="W345" s="164"/>
      <c r="X345" s="128" t="s">
        <v>1004</v>
      </c>
      <c r="Y345" s="37">
        <f>+ROUND((O345)*(1+SUMIF($Y$2:$Y$4,X345,$Z$2:$Z$4)),0)</f>
        <v>0</v>
      </c>
      <c r="Z345" s="37">
        <f t="shared" si="255"/>
        <v>0</v>
      </c>
      <c r="AA345" s="166"/>
      <c r="AB345" s="38"/>
      <c r="AC345" s="38"/>
    </row>
    <row r="346" spans="1:29" ht="24" hidden="1" outlineLevel="2" x14ac:dyDescent="0.25">
      <c r="A346" s="158" t="s">
        <v>1171</v>
      </c>
      <c r="B346" s="187" t="str">
        <f>+B344</f>
        <v>3.4/3</v>
      </c>
      <c r="C346" s="168" t="s">
        <v>1457</v>
      </c>
      <c r="D346" s="174" t="s">
        <v>1458</v>
      </c>
      <c r="E346" s="170" t="s">
        <v>1384</v>
      </c>
      <c r="F346" s="171"/>
      <c r="G346" s="171"/>
      <c r="H346" s="33">
        <f t="shared" si="233"/>
        <v>0</v>
      </c>
      <c r="I346" s="505"/>
      <c r="J346" s="505">
        <f t="shared" si="226"/>
        <v>0</v>
      </c>
      <c r="K346" s="499"/>
      <c r="L346" s="499">
        <f t="shared" si="227"/>
        <v>0</v>
      </c>
      <c r="M346" s="39">
        <f t="shared" si="228"/>
        <v>0</v>
      </c>
      <c r="N346" s="163">
        <f t="shared" si="240"/>
        <v>0</v>
      </c>
      <c r="O346" s="172">
        <f t="shared" si="256"/>
        <v>0</v>
      </c>
      <c r="P346" s="521"/>
      <c r="Q346" s="521">
        <f t="shared" si="229"/>
        <v>0</v>
      </c>
      <c r="R346" s="526"/>
      <c r="S346" s="526">
        <f t="shared" si="230"/>
        <v>0</v>
      </c>
      <c r="T346" s="39">
        <f t="shared" si="225"/>
        <v>0</v>
      </c>
      <c r="U346" s="163">
        <f>+ROUND(T346*H346,2)</f>
        <v>0</v>
      </c>
      <c r="V346" s="173">
        <f t="shared" si="257"/>
        <v>0</v>
      </c>
      <c r="W346" s="164"/>
      <c r="X346" s="128" t="s">
        <v>1004</v>
      </c>
      <c r="Y346" s="37">
        <f>+ROUND((O346)*(1+SUMIF($Y$2:$Y$4,X346,$Z$2:$Z$4)),0)</f>
        <v>0</v>
      </c>
      <c r="Z346" s="37">
        <f t="shared" si="255"/>
        <v>0</v>
      </c>
      <c r="AA346" s="166"/>
      <c r="AB346" s="38"/>
      <c r="AC346" s="38"/>
    </row>
    <row r="347" spans="1:29" hidden="1" outlineLevel="2" x14ac:dyDescent="0.25">
      <c r="A347" s="158" t="s">
        <v>1213</v>
      </c>
      <c r="B347" s="187" t="str">
        <f t="shared" si="224"/>
        <v>3.4/3</v>
      </c>
      <c r="C347" s="168" t="s">
        <v>1459</v>
      </c>
      <c r="D347" s="174" t="s">
        <v>1460</v>
      </c>
      <c r="E347" s="170" t="s">
        <v>1384</v>
      </c>
      <c r="F347" s="171"/>
      <c r="G347" s="171"/>
      <c r="H347" s="33">
        <f t="shared" si="233"/>
        <v>0</v>
      </c>
      <c r="I347" s="505"/>
      <c r="J347" s="505">
        <f t="shared" si="226"/>
        <v>0</v>
      </c>
      <c r="K347" s="499"/>
      <c r="L347" s="499">
        <f t="shared" si="227"/>
        <v>0</v>
      </c>
      <c r="M347" s="39">
        <f t="shared" si="228"/>
        <v>0</v>
      </c>
      <c r="N347" s="163">
        <f t="shared" si="240"/>
        <v>0</v>
      </c>
      <c r="O347" s="172">
        <f t="shared" si="256"/>
        <v>0</v>
      </c>
      <c r="P347" s="521"/>
      <c r="Q347" s="521">
        <f t="shared" si="229"/>
        <v>0</v>
      </c>
      <c r="R347" s="526"/>
      <c r="S347" s="526">
        <f t="shared" si="230"/>
        <v>0</v>
      </c>
      <c r="T347" s="39">
        <f t="shared" si="225"/>
        <v>0</v>
      </c>
      <c r="U347" s="163">
        <f>+ROUND(T347*H347,2)</f>
        <v>0</v>
      </c>
      <c r="V347" s="173">
        <f t="shared" si="257"/>
        <v>0</v>
      </c>
      <c r="W347" s="164"/>
      <c r="X347" s="128" t="s">
        <v>1004</v>
      </c>
      <c r="Y347" s="37">
        <f>+ROUND((O347)*(1+SUMIF($Y$2:$Y$4,X347,$Z$2:$Z$4)),0)</f>
        <v>0</v>
      </c>
      <c r="Z347" s="37">
        <f t="shared" si="255"/>
        <v>0</v>
      </c>
      <c r="AA347" s="166"/>
      <c r="AB347" s="38"/>
      <c r="AC347" s="38"/>
    </row>
    <row r="348" spans="1:29" hidden="1" outlineLevel="2" x14ac:dyDescent="0.25">
      <c r="A348" s="158" t="s">
        <v>1213</v>
      </c>
      <c r="B348" s="187" t="str">
        <f t="shared" ref="B348:B375" si="262">+B347</f>
        <v>3.4/3</v>
      </c>
      <c r="C348" s="168" t="s">
        <v>1461</v>
      </c>
      <c r="D348" s="174" t="s">
        <v>1462</v>
      </c>
      <c r="E348" s="170" t="s">
        <v>1384</v>
      </c>
      <c r="F348" s="171"/>
      <c r="G348" s="171"/>
      <c r="H348" s="33">
        <f t="shared" si="233"/>
        <v>0</v>
      </c>
      <c r="I348" s="505"/>
      <c r="J348" s="505">
        <f t="shared" si="226"/>
        <v>0</v>
      </c>
      <c r="K348" s="499"/>
      <c r="L348" s="499">
        <f t="shared" si="227"/>
        <v>0</v>
      </c>
      <c r="M348" s="39">
        <f t="shared" si="228"/>
        <v>0</v>
      </c>
      <c r="N348" s="163">
        <f t="shared" si="240"/>
        <v>0</v>
      </c>
      <c r="O348" s="172">
        <f t="shared" si="256"/>
        <v>0</v>
      </c>
      <c r="P348" s="521"/>
      <c r="Q348" s="521">
        <f t="shared" si="229"/>
        <v>0</v>
      </c>
      <c r="R348" s="526"/>
      <c r="S348" s="526">
        <f t="shared" si="230"/>
        <v>0</v>
      </c>
      <c r="T348" s="39">
        <f t="shared" si="225"/>
        <v>0</v>
      </c>
      <c r="U348" s="163">
        <f>+ROUND(T348*H348,2)</f>
        <v>0</v>
      </c>
      <c r="V348" s="173">
        <f t="shared" si="257"/>
        <v>0</v>
      </c>
      <c r="W348" s="164"/>
      <c r="X348" s="128" t="s">
        <v>1004</v>
      </c>
      <c r="Y348" s="37">
        <f>+ROUND((O348)*(1+SUMIF($Y$2:$Y$4,X348,$Z$2:$Z$4)),0)</f>
        <v>0</v>
      </c>
      <c r="Z348" s="37">
        <f t="shared" si="255"/>
        <v>0</v>
      </c>
      <c r="AA348" s="166"/>
      <c r="AB348" s="38"/>
      <c r="AC348" s="38"/>
    </row>
    <row r="349" spans="1:29" hidden="1" outlineLevel="1" x14ac:dyDescent="0.25">
      <c r="A349" s="506" t="s">
        <v>1022</v>
      </c>
      <c r="B349" s="512" t="str">
        <f t="shared" si="262"/>
        <v>3.4/3</v>
      </c>
      <c r="C349" s="508"/>
      <c r="D349" s="509" t="s">
        <v>1023</v>
      </c>
      <c r="E349" s="510"/>
      <c r="F349" s="511"/>
      <c r="G349" s="511"/>
      <c r="H349" s="512">
        <f t="shared" si="233"/>
        <v>0</v>
      </c>
      <c r="I349" s="512"/>
      <c r="J349" s="512">
        <f t="shared" si="226"/>
        <v>0</v>
      </c>
      <c r="K349" s="512"/>
      <c r="L349" s="512">
        <f t="shared" si="227"/>
        <v>0</v>
      </c>
      <c r="M349" s="512">
        <f t="shared" si="228"/>
        <v>0</v>
      </c>
      <c r="N349" s="513">
        <f>SUM(N334:N348)</f>
        <v>0</v>
      </c>
      <c r="O349" s="513">
        <f>SUM(O334:O348)</f>
        <v>0</v>
      </c>
      <c r="P349" s="512"/>
      <c r="Q349" s="512">
        <f t="shared" si="229"/>
        <v>0</v>
      </c>
      <c r="R349" s="512"/>
      <c r="S349" s="512">
        <f t="shared" si="230"/>
        <v>0</v>
      </c>
      <c r="T349" s="512">
        <f t="shared" si="225"/>
        <v>0</v>
      </c>
      <c r="U349" s="512">
        <f>SUM(U337:U348)</f>
        <v>0</v>
      </c>
      <c r="V349" s="513">
        <f>SUM(V334:V348)</f>
        <v>0</v>
      </c>
      <c r="W349" s="507"/>
      <c r="X349" s="514" t="s">
        <v>1004</v>
      </c>
      <c r="Y349" s="513">
        <f>SUM(Y334:Y348)</f>
        <v>0</v>
      </c>
      <c r="Z349" s="513">
        <f>SUM(Z334:Z348)</f>
        <v>0</v>
      </c>
      <c r="AA349" s="166"/>
      <c r="AB349" s="38"/>
      <c r="AC349" s="38"/>
    </row>
    <row r="350" spans="1:29" hidden="1" outlineLevel="1" x14ac:dyDescent="0.25">
      <c r="A350" s="158" t="s">
        <v>1207</v>
      </c>
      <c r="B350" s="159" t="s">
        <v>323</v>
      </c>
      <c r="C350" s="250">
        <v>2</v>
      </c>
      <c r="D350" s="161" t="s">
        <v>1434</v>
      </c>
      <c r="E350" s="162"/>
      <c r="F350" s="40"/>
      <c r="G350" s="40"/>
      <c r="H350" s="33">
        <f t="shared" si="233"/>
        <v>0</v>
      </c>
      <c r="I350" s="504"/>
      <c r="J350" s="504">
        <f t="shared" si="226"/>
        <v>0</v>
      </c>
      <c r="K350" s="498"/>
      <c r="L350" s="498">
        <f t="shared" si="227"/>
        <v>0</v>
      </c>
      <c r="M350" s="34">
        <f t="shared" si="228"/>
        <v>0</v>
      </c>
      <c r="N350" s="163">
        <f t="shared" ref="N350" si="263">+ROUND(M350*H350,2)</f>
        <v>0</v>
      </c>
      <c r="O350" s="172">
        <f t="shared" ref="O350" si="264">N350</f>
        <v>0</v>
      </c>
      <c r="P350" s="520"/>
      <c r="Q350" s="520">
        <f t="shared" si="229"/>
        <v>0</v>
      </c>
      <c r="R350" s="525"/>
      <c r="S350" s="525">
        <f t="shared" si="230"/>
        <v>0</v>
      </c>
      <c r="T350" s="39">
        <f t="shared" si="225"/>
        <v>0</v>
      </c>
      <c r="U350" s="163">
        <f>+ROUND(T350*H350,2)</f>
        <v>0</v>
      </c>
      <c r="V350" s="173">
        <f t="shared" ref="V350" si="265">U350</f>
        <v>0</v>
      </c>
      <c r="W350" s="164"/>
      <c r="X350" s="128" t="s">
        <v>1004</v>
      </c>
      <c r="Y350" s="37">
        <f>+ROUND((O350)*(1+SUMIF($Y$2:$Y$4,X350,$Z$2:$Z$4)),0)</f>
        <v>0</v>
      </c>
      <c r="Z350" s="37">
        <f t="shared" ref="Z350:Z362" si="266">+ROUND((V350)*(1+SUMIF($Y$2:$Y$4,X350,$Z$2:$Z$4)),0)</f>
        <v>0</v>
      </c>
      <c r="AA350" s="166"/>
      <c r="AB350" s="38"/>
      <c r="AC350" s="38"/>
    </row>
    <row r="351" spans="1:29" hidden="1" outlineLevel="2" x14ac:dyDescent="0.25">
      <c r="A351" s="158" t="s">
        <v>1207</v>
      </c>
      <c r="B351" s="187" t="str">
        <f>+B350</f>
        <v>3.4/4</v>
      </c>
      <c r="C351" s="249">
        <v>2.6</v>
      </c>
      <c r="D351" s="226" t="s">
        <v>1464</v>
      </c>
      <c r="E351" s="170" t="s">
        <v>1384</v>
      </c>
      <c r="F351" s="171"/>
      <c r="G351" s="171"/>
      <c r="H351" s="33">
        <f t="shared" si="233"/>
        <v>0</v>
      </c>
      <c r="I351" s="505"/>
      <c r="J351" s="505">
        <f t="shared" si="226"/>
        <v>0</v>
      </c>
      <c r="K351" s="499"/>
      <c r="L351" s="499">
        <f t="shared" si="227"/>
        <v>0</v>
      </c>
      <c r="M351" s="39">
        <f t="shared" si="228"/>
        <v>0</v>
      </c>
      <c r="N351" s="163">
        <f t="shared" ref="N351:N352" si="267">+ROUND(M351*H351,2)</f>
        <v>0</v>
      </c>
      <c r="O351" s="172">
        <f t="shared" ref="O351:O352" si="268">N351</f>
        <v>0</v>
      </c>
      <c r="P351" s="521"/>
      <c r="Q351" s="521">
        <f t="shared" si="229"/>
        <v>0</v>
      </c>
      <c r="R351" s="526"/>
      <c r="S351" s="526">
        <f t="shared" si="230"/>
        <v>0</v>
      </c>
      <c r="T351" s="39">
        <f t="shared" si="225"/>
        <v>0</v>
      </c>
      <c r="U351" s="163">
        <f>+ROUND(T351*H351,2)</f>
        <v>0</v>
      </c>
      <c r="V351" s="173">
        <f t="shared" ref="V351:V352" si="269">U351</f>
        <v>0</v>
      </c>
      <c r="W351" s="164"/>
      <c r="X351" s="128" t="s">
        <v>1004</v>
      </c>
      <c r="Y351" s="37">
        <f>+ROUND((O351)*(1+SUMIF($Y$2:$Y$4,X351,$Z$2:$Z$4)),0)</f>
        <v>0</v>
      </c>
      <c r="Z351" s="37">
        <f t="shared" si="266"/>
        <v>0</v>
      </c>
      <c r="AA351" s="166"/>
      <c r="AB351" s="38"/>
      <c r="AC351" s="38"/>
    </row>
    <row r="352" spans="1:29" hidden="1" outlineLevel="2" x14ac:dyDescent="0.25">
      <c r="A352" s="158" t="s">
        <v>1207</v>
      </c>
      <c r="B352" s="187" t="str">
        <f t="shared" ref="B352:B357" si="270">+B351</f>
        <v>3.4/4</v>
      </c>
      <c r="C352" s="168" t="s">
        <v>1465</v>
      </c>
      <c r="D352" s="174" t="s">
        <v>1466</v>
      </c>
      <c r="E352" s="170" t="s">
        <v>1384</v>
      </c>
      <c r="F352" s="171"/>
      <c r="G352" s="171"/>
      <c r="H352" s="33">
        <f t="shared" si="233"/>
        <v>0</v>
      </c>
      <c r="I352" s="505"/>
      <c r="J352" s="505">
        <f t="shared" si="226"/>
        <v>0</v>
      </c>
      <c r="K352" s="499"/>
      <c r="L352" s="499">
        <f t="shared" si="227"/>
        <v>0</v>
      </c>
      <c r="M352" s="39">
        <f t="shared" si="228"/>
        <v>0</v>
      </c>
      <c r="N352" s="163">
        <f t="shared" si="267"/>
        <v>0</v>
      </c>
      <c r="O352" s="172">
        <f t="shared" si="268"/>
        <v>0</v>
      </c>
      <c r="P352" s="521"/>
      <c r="Q352" s="521">
        <f t="shared" si="229"/>
        <v>0</v>
      </c>
      <c r="R352" s="526"/>
      <c r="S352" s="526">
        <f t="shared" si="230"/>
        <v>0</v>
      </c>
      <c r="T352" s="39">
        <f t="shared" si="225"/>
        <v>0</v>
      </c>
      <c r="U352" s="163">
        <f>+ROUND(T352*H352,2)</f>
        <v>0</v>
      </c>
      <c r="V352" s="173">
        <f t="shared" si="269"/>
        <v>0</v>
      </c>
      <c r="W352" s="164"/>
      <c r="X352" s="128" t="s">
        <v>1004</v>
      </c>
      <c r="Y352" s="37">
        <f>+ROUND((O352)*(1+SUMIF($Y$2:$Y$4,X352,$Z$2:$Z$4)),0)</f>
        <v>0</v>
      </c>
      <c r="Z352" s="37">
        <f t="shared" si="266"/>
        <v>0</v>
      </c>
      <c r="AA352" s="166"/>
      <c r="AB352" s="38"/>
      <c r="AC352" s="38"/>
    </row>
    <row r="353" spans="1:29" hidden="1" outlineLevel="2" x14ac:dyDescent="0.25">
      <c r="A353" s="158" t="s">
        <v>1207</v>
      </c>
      <c r="B353" s="187" t="str">
        <f t="shared" si="270"/>
        <v>3.4/4</v>
      </c>
      <c r="C353" s="168" t="s">
        <v>1467</v>
      </c>
      <c r="D353" s="169" t="s">
        <v>1468</v>
      </c>
      <c r="E353" s="170" t="s">
        <v>1384</v>
      </c>
      <c r="F353" s="171"/>
      <c r="G353" s="171"/>
      <c r="H353" s="33">
        <f t="shared" si="233"/>
        <v>0</v>
      </c>
      <c r="I353" s="505"/>
      <c r="J353" s="505">
        <f t="shared" si="226"/>
        <v>0</v>
      </c>
      <c r="K353" s="499"/>
      <c r="L353" s="499">
        <f t="shared" si="227"/>
        <v>0</v>
      </c>
      <c r="M353" s="39">
        <f t="shared" si="228"/>
        <v>0</v>
      </c>
      <c r="N353" s="163">
        <f t="shared" si="240"/>
        <v>0</v>
      </c>
      <c r="O353" s="172">
        <f t="shared" ref="O353:O362" si="271">N353</f>
        <v>0</v>
      </c>
      <c r="P353" s="521"/>
      <c r="Q353" s="521">
        <f t="shared" si="229"/>
        <v>0</v>
      </c>
      <c r="R353" s="526"/>
      <c r="S353" s="526">
        <f t="shared" si="230"/>
        <v>0</v>
      </c>
      <c r="T353" s="39">
        <f t="shared" si="225"/>
        <v>0</v>
      </c>
      <c r="U353" s="163">
        <f>+ROUND(T353*H353,2)</f>
        <v>0</v>
      </c>
      <c r="V353" s="173">
        <f t="shared" ref="V353:V362" si="272">U353</f>
        <v>0</v>
      </c>
      <c r="W353" s="164"/>
      <c r="X353" s="128" t="s">
        <v>1004</v>
      </c>
      <c r="Y353" s="37">
        <f>+ROUND((O353)*(1+SUMIF($Y$2:$Y$4,X353,$Z$2:$Z$4)),0)</f>
        <v>0</v>
      </c>
      <c r="Z353" s="37">
        <f t="shared" si="266"/>
        <v>0</v>
      </c>
      <c r="AA353" s="166"/>
      <c r="AB353" s="38"/>
      <c r="AC353" s="38"/>
    </row>
    <row r="354" spans="1:29" hidden="1" outlineLevel="2" x14ac:dyDescent="0.25">
      <c r="A354" s="158" t="s">
        <v>1207</v>
      </c>
      <c r="B354" s="187" t="str">
        <f t="shared" si="270"/>
        <v>3.4/4</v>
      </c>
      <c r="C354" s="168" t="s">
        <v>1469</v>
      </c>
      <c r="D354" s="169" t="s">
        <v>1470</v>
      </c>
      <c r="E354" s="170" t="s">
        <v>1384</v>
      </c>
      <c r="F354" s="171"/>
      <c r="G354" s="171"/>
      <c r="H354" s="33">
        <f t="shared" si="233"/>
        <v>0</v>
      </c>
      <c r="I354" s="505"/>
      <c r="J354" s="505">
        <f t="shared" si="226"/>
        <v>0</v>
      </c>
      <c r="K354" s="499"/>
      <c r="L354" s="499">
        <f t="shared" si="227"/>
        <v>0</v>
      </c>
      <c r="M354" s="39">
        <f t="shared" si="228"/>
        <v>0</v>
      </c>
      <c r="N354" s="163">
        <f t="shared" si="240"/>
        <v>0</v>
      </c>
      <c r="O354" s="172">
        <f t="shared" si="271"/>
        <v>0</v>
      </c>
      <c r="P354" s="521"/>
      <c r="Q354" s="521">
        <f t="shared" si="229"/>
        <v>0</v>
      </c>
      <c r="R354" s="526"/>
      <c r="S354" s="526">
        <f t="shared" si="230"/>
        <v>0</v>
      </c>
      <c r="T354" s="39">
        <f t="shared" si="225"/>
        <v>0</v>
      </c>
      <c r="U354" s="163">
        <f>+ROUND(T354*H354,2)</f>
        <v>0</v>
      </c>
      <c r="V354" s="173">
        <f t="shared" si="272"/>
        <v>0</v>
      </c>
      <c r="W354" s="164"/>
      <c r="X354" s="128" t="s">
        <v>1004</v>
      </c>
      <c r="Y354" s="37">
        <f>+ROUND((O354)*(1+SUMIF($Y$2:$Y$4,X354,$Z$2:$Z$4)),0)</f>
        <v>0</v>
      </c>
      <c r="Z354" s="37">
        <f t="shared" si="266"/>
        <v>0</v>
      </c>
      <c r="AA354" s="166"/>
      <c r="AB354" s="38"/>
      <c r="AC354" s="38"/>
    </row>
    <row r="355" spans="1:29" hidden="1" outlineLevel="2" x14ac:dyDescent="0.25">
      <c r="A355" s="158" t="s">
        <v>1197</v>
      </c>
      <c r="B355" s="187" t="str">
        <f t="shared" ref="B355" si="273">+B354</f>
        <v>3.4/4</v>
      </c>
      <c r="C355" s="168" t="s">
        <v>1551</v>
      </c>
      <c r="D355" s="174" t="s">
        <v>1472</v>
      </c>
      <c r="E355" s="170" t="s">
        <v>1384</v>
      </c>
      <c r="F355" s="171"/>
      <c r="G355" s="171"/>
      <c r="H355" s="33">
        <f t="shared" ref="H355" si="274">+SUM(F355:G355)</f>
        <v>0</v>
      </c>
      <c r="I355" s="505"/>
      <c r="J355" s="505">
        <f t="shared" si="226"/>
        <v>0</v>
      </c>
      <c r="K355" s="499"/>
      <c r="L355" s="499">
        <f t="shared" si="227"/>
        <v>0</v>
      </c>
      <c r="M355" s="39">
        <f t="shared" si="228"/>
        <v>0</v>
      </c>
      <c r="N355" s="163">
        <f t="shared" si="240"/>
        <v>0</v>
      </c>
      <c r="O355" s="172">
        <f t="shared" si="271"/>
        <v>0</v>
      </c>
      <c r="P355" s="521"/>
      <c r="Q355" s="521">
        <f t="shared" si="229"/>
        <v>0</v>
      </c>
      <c r="R355" s="526"/>
      <c r="S355" s="526">
        <f t="shared" si="230"/>
        <v>0</v>
      </c>
      <c r="T355" s="39">
        <f t="shared" si="225"/>
        <v>0</v>
      </c>
      <c r="U355" s="163">
        <f>+ROUND(T355*H355,2)</f>
        <v>0</v>
      </c>
      <c r="V355" s="173">
        <f t="shared" si="272"/>
        <v>0</v>
      </c>
      <c r="W355" s="164"/>
      <c r="X355" s="128" t="s">
        <v>1004</v>
      </c>
      <c r="Y355" s="37">
        <f>+ROUND((O355)*(1+SUMIF($Y$2:$Y$4,X355,$Z$2:$Z$4)),0)</f>
        <v>0</v>
      </c>
      <c r="Z355" s="37">
        <f t="shared" si="266"/>
        <v>0</v>
      </c>
      <c r="AA355" s="166"/>
      <c r="AB355" s="38"/>
      <c r="AC355" s="38"/>
    </row>
    <row r="356" spans="1:29" hidden="1" outlineLevel="2" x14ac:dyDescent="0.25">
      <c r="A356" s="158" t="s">
        <v>1197</v>
      </c>
      <c r="B356" s="187" t="str">
        <f>+B354</f>
        <v>3.4/4</v>
      </c>
      <c r="C356" s="168" t="s">
        <v>1471</v>
      </c>
      <c r="D356" s="169" t="s">
        <v>1472</v>
      </c>
      <c r="E356" s="170" t="s">
        <v>1384</v>
      </c>
      <c r="F356" s="171"/>
      <c r="G356" s="171"/>
      <c r="H356" s="33">
        <f t="shared" si="233"/>
        <v>0</v>
      </c>
      <c r="I356" s="505"/>
      <c r="J356" s="505">
        <f t="shared" si="226"/>
        <v>0</v>
      </c>
      <c r="K356" s="499"/>
      <c r="L356" s="499">
        <f t="shared" si="227"/>
        <v>0</v>
      </c>
      <c r="M356" s="39">
        <f t="shared" si="228"/>
        <v>0</v>
      </c>
      <c r="N356" s="163">
        <f t="shared" si="240"/>
        <v>0</v>
      </c>
      <c r="O356" s="172">
        <f t="shared" si="271"/>
        <v>0</v>
      </c>
      <c r="P356" s="521"/>
      <c r="Q356" s="521">
        <f t="shared" si="229"/>
        <v>0</v>
      </c>
      <c r="R356" s="526"/>
      <c r="S356" s="526">
        <f t="shared" si="230"/>
        <v>0</v>
      </c>
      <c r="T356" s="39">
        <f t="shared" si="225"/>
        <v>0</v>
      </c>
      <c r="U356" s="163">
        <f>+ROUND(T356*H356,2)</f>
        <v>0</v>
      </c>
      <c r="V356" s="173">
        <f t="shared" si="272"/>
        <v>0</v>
      </c>
      <c r="W356" s="164"/>
      <c r="X356" s="128" t="s">
        <v>1004</v>
      </c>
      <c r="Y356" s="37">
        <f>+ROUND((O356)*(1+SUMIF($Y$2:$Y$4,X356,$Z$2:$Z$4)),0)</f>
        <v>0</v>
      </c>
      <c r="Z356" s="37">
        <f t="shared" si="266"/>
        <v>0</v>
      </c>
      <c r="AA356" s="166"/>
      <c r="AB356" s="38"/>
      <c r="AC356" s="38"/>
    </row>
    <row r="357" spans="1:29" ht="24" hidden="1" outlineLevel="2" x14ac:dyDescent="0.25">
      <c r="A357" s="158" t="s">
        <v>1199</v>
      </c>
      <c r="B357" s="187" t="str">
        <f t="shared" si="270"/>
        <v>3.4/4</v>
      </c>
      <c r="C357" s="168" t="s">
        <v>1473</v>
      </c>
      <c r="D357" s="169" t="s">
        <v>1474</v>
      </c>
      <c r="E357" s="170" t="s">
        <v>1384</v>
      </c>
      <c r="F357" s="171"/>
      <c r="G357" s="171"/>
      <c r="H357" s="33">
        <f t="shared" si="233"/>
        <v>0</v>
      </c>
      <c r="I357" s="505"/>
      <c r="J357" s="505">
        <f t="shared" si="226"/>
        <v>0</v>
      </c>
      <c r="K357" s="499"/>
      <c r="L357" s="499">
        <f t="shared" si="227"/>
        <v>0</v>
      </c>
      <c r="M357" s="39">
        <f t="shared" si="228"/>
        <v>0</v>
      </c>
      <c r="N357" s="163">
        <f t="shared" si="240"/>
        <v>0</v>
      </c>
      <c r="O357" s="172">
        <f t="shared" si="271"/>
        <v>0</v>
      </c>
      <c r="P357" s="521"/>
      <c r="Q357" s="521">
        <f t="shared" si="229"/>
        <v>0</v>
      </c>
      <c r="R357" s="526"/>
      <c r="S357" s="526">
        <f t="shared" si="230"/>
        <v>0</v>
      </c>
      <c r="T357" s="39">
        <f t="shared" si="225"/>
        <v>0</v>
      </c>
      <c r="U357" s="163">
        <f>+ROUND(T357*H357,2)</f>
        <v>0</v>
      </c>
      <c r="V357" s="173">
        <f t="shared" si="272"/>
        <v>0</v>
      </c>
      <c r="W357" s="164"/>
      <c r="X357" s="128" t="s">
        <v>1004</v>
      </c>
      <c r="Y357" s="37">
        <f>+ROUND((O357)*(1+SUMIF($Y$2:$Y$4,X357,$Z$2:$Z$4)),0)</f>
        <v>0</v>
      </c>
      <c r="Z357" s="37">
        <f t="shared" si="266"/>
        <v>0</v>
      </c>
      <c r="AA357" s="166"/>
      <c r="AB357" s="38"/>
      <c r="AC357" s="38"/>
    </row>
    <row r="358" spans="1:29" hidden="1" outlineLevel="2" x14ac:dyDescent="0.25">
      <c r="A358" s="158" t="s">
        <v>1173</v>
      </c>
      <c r="B358" s="187" t="str">
        <f>+B357</f>
        <v>3.4/4</v>
      </c>
      <c r="C358" s="249">
        <v>2.7</v>
      </c>
      <c r="D358" s="226" t="s">
        <v>1475</v>
      </c>
      <c r="E358" s="170" t="s">
        <v>1384</v>
      </c>
      <c r="F358" s="171"/>
      <c r="G358" s="171"/>
      <c r="H358" s="33">
        <f t="shared" ref="H358" si="275">+SUM(F358:G358)</f>
        <v>0</v>
      </c>
      <c r="I358" s="505"/>
      <c r="J358" s="505">
        <f t="shared" si="226"/>
        <v>0</v>
      </c>
      <c r="K358" s="499"/>
      <c r="L358" s="499">
        <f t="shared" si="227"/>
        <v>0</v>
      </c>
      <c r="M358" s="39">
        <f t="shared" si="228"/>
        <v>0</v>
      </c>
      <c r="N358" s="163">
        <f t="shared" si="240"/>
        <v>0</v>
      </c>
      <c r="O358" s="172">
        <f t="shared" si="271"/>
        <v>0</v>
      </c>
      <c r="P358" s="521"/>
      <c r="Q358" s="521">
        <f t="shared" si="229"/>
        <v>0</v>
      </c>
      <c r="R358" s="526"/>
      <c r="S358" s="526">
        <f t="shared" si="230"/>
        <v>0</v>
      </c>
      <c r="T358" s="39">
        <f t="shared" si="225"/>
        <v>0</v>
      </c>
      <c r="U358" s="163">
        <f>+ROUND(T358*H358,2)</f>
        <v>0</v>
      </c>
      <c r="V358" s="173">
        <f t="shared" si="272"/>
        <v>0</v>
      </c>
      <c r="W358" s="164"/>
      <c r="X358" s="128" t="s">
        <v>1004</v>
      </c>
      <c r="Y358" s="37">
        <f>+ROUND((O358)*(1+SUMIF($Y$2:$Y$4,X358,$Z$2:$Z$4)),0)</f>
        <v>0</v>
      </c>
      <c r="Z358" s="37">
        <f t="shared" si="266"/>
        <v>0</v>
      </c>
      <c r="AA358" s="166"/>
      <c r="AB358" s="38"/>
      <c r="AC358" s="38"/>
    </row>
    <row r="359" spans="1:29" hidden="1" outlineLevel="2" x14ac:dyDescent="0.25">
      <c r="A359" s="158" t="s">
        <v>1173</v>
      </c>
      <c r="B359" s="187" t="str">
        <f>+B357</f>
        <v>3.4/4</v>
      </c>
      <c r="C359" s="168" t="s">
        <v>1476</v>
      </c>
      <c r="D359" s="169" t="s">
        <v>1477</v>
      </c>
      <c r="E359" s="170" t="s">
        <v>1384</v>
      </c>
      <c r="F359" s="171"/>
      <c r="G359" s="171"/>
      <c r="H359" s="33">
        <f t="shared" si="233"/>
        <v>0</v>
      </c>
      <c r="I359" s="505"/>
      <c r="J359" s="505">
        <f t="shared" si="226"/>
        <v>0</v>
      </c>
      <c r="K359" s="499"/>
      <c r="L359" s="499">
        <f t="shared" si="227"/>
        <v>0</v>
      </c>
      <c r="M359" s="39">
        <f t="shared" si="228"/>
        <v>0</v>
      </c>
      <c r="N359" s="163">
        <f t="shared" si="240"/>
        <v>0</v>
      </c>
      <c r="O359" s="172">
        <f t="shared" si="271"/>
        <v>0</v>
      </c>
      <c r="P359" s="521"/>
      <c r="Q359" s="521">
        <f t="shared" si="229"/>
        <v>0</v>
      </c>
      <c r="R359" s="526"/>
      <c r="S359" s="526">
        <f t="shared" si="230"/>
        <v>0</v>
      </c>
      <c r="T359" s="39">
        <f t="shared" si="225"/>
        <v>0</v>
      </c>
      <c r="U359" s="163">
        <f>+ROUND(T359*H359,2)</f>
        <v>0</v>
      </c>
      <c r="V359" s="173">
        <f t="shared" si="272"/>
        <v>0</v>
      </c>
      <c r="W359" s="164"/>
      <c r="X359" s="128" t="s">
        <v>1004</v>
      </c>
      <c r="Y359" s="37">
        <f>+ROUND((O359)*(1+SUMIF($Y$2:$Y$4,X359,$Z$2:$Z$4)),0)</f>
        <v>0</v>
      </c>
      <c r="Z359" s="37">
        <f t="shared" si="266"/>
        <v>0</v>
      </c>
      <c r="AA359" s="166"/>
      <c r="AB359" s="38"/>
      <c r="AC359" s="38"/>
    </row>
    <row r="360" spans="1:29" hidden="1" outlineLevel="2" x14ac:dyDescent="0.25">
      <c r="A360" s="158" t="s">
        <v>1173</v>
      </c>
      <c r="B360" s="187" t="str">
        <f t="shared" si="262"/>
        <v>3.4/4</v>
      </c>
      <c r="C360" s="168" t="s">
        <v>1478</v>
      </c>
      <c r="D360" s="169" t="s">
        <v>1479</v>
      </c>
      <c r="E360" s="170" t="s">
        <v>1384</v>
      </c>
      <c r="F360" s="171"/>
      <c r="G360" s="171"/>
      <c r="H360" s="33">
        <f t="shared" si="233"/>
        <v>0</v>
      </c>
      <c r="I360" s="505"/>
      <c r="J360" s="505">
        <f t="shared" si="226"/>
        <v>0</v>
      </c>
      <c r="K360" s="499"/>
      <c r="L360" s="499">
        <f t="shared" si="227"/>
        <v>0</v>
      </c>
      <c r="M360" s="39">
        <f t="shared" si="228"/>
        <v>0</v>
      </c>
      <c r="N360" s="163">
        <f t="shared" si="240"/>
        <v>0</v>
      </c>
      <c r="O360" s="172">
        <f t="shared" si="271"/>
        <v>0</v>
      </c>
      <c r="P360" s="521"/>
      <c r="Q360" s="521">
        <f t="shared" si="229"/>
        <v>0</v>
      </c>
      <c r="R360" s="526"/>
      <c r="S360" s="526">
        <f t="shared" si="230"/>
        <v>0</v>
      </c>
      <c r="T360" s="39">
        <f t="shared" si="225"/>
        <v>0</v>
      </c>
      <c r="U360" s="163">
        <f>+ROUND(T360*H360,2)</f>
        <v>0</v>
      </c>
      <c r="V360" s="173">
        <f t="shared" si="272"/>
        <v>0</v>
      </c>
      <c r="W360" s="164"/>
      <c r="X360" s="128" t="s">
        <v>1004</v>
      </c>
      <c r="Y360" s="37">
        <f>+ROUND((O360)*(1+SUMIF($Y$2:$Y$4,X360,$Z$2:$Z$4)),0)</f>
        <v>0</v>
      </c>
      <c r="Z360" s="37">
        <f t="shared" si="266"/>
        <v>0</v>
      </c>
      <c r="AA360" s="166"/>
      <c r="AB360" s="38"/>
      <c r="AC360" s="38"/>
    </row>
    <row r="361" spans="1:29" hidden="1" outlineLevel="2" x14ac:dyDescent="0.25">
      <c r="A361" s="158" t="s">
        <v>1197</v>
      </c>
      <c r="B361" s="187" t="str">
        <f>+B360</f>
        <v>3.4/4</v>
      </c>
      <c r="C361" s="249">
        <v>2.8</v>
      </c>
      <c r="D361" s="226" t="s">
        <v>1480</v>
      </c>
      <c r="E361" s="170" t="s">
        <v>1384</v>
      </c>
      <c r="F361" s="171"/>
      <c r="G361" s="171"/>
      <c r="H361" s="33">
        <f t="shared" si="233"/>
        <v>0</v>
      </c>
      <c r="I361" s="505"/>
      <c r="J361" s="505">
        <f t="shared" si="226"/>
        <v>0</v>
      </c>
      <c r="K361" s="499"/>
      <c r="L361" s="499">
        <f t="shared" si="227"/>
        <v>0</v>
      </c>
      <c r="M361" s="39">
        <f t="shared" si="228"/>
        <v>0</v>
      </c>
      <c r="N361" s="163">
        <f t="shared" ref="N361" si="276">+ROUND(M361*H361,2)</f>
        <v>0</v>
      </c>
      <c r="O361" s="172">
        <f t="shared" ref="O361" si="277">N361</f>
        <v>0</v>
      </c>
      <c r="P361" s="521"/>
      <c r="Q361" s="521">
        <f t="shared" si="229"/>
        <v>0</v>
      </c>
      <c r="R361" s="526"/>
      <c r="S361" s="526">
        <f t="shared" si="230"/>
        <v>0</v>
      </c>
      <c r="T361" s="39">
        <f t="shared" si="225"/>
        <v>0</v>
      </c>
      <c r="U361" s="163">
        <f>+ROUND(T361*H361,2)</f>
        <v>0</v>
      </c>
      <c r="V361" s="173">
        <f t="shared" ref="V361" si="278">U361</f>
        <v>0</v>
      </c>
      <c r="W361" s="164"/>
      <c r="X361" s="128" t="s">
        <v>1004</v>
      </c>
      <c r="Y361" s="37">
        <f>+ROUND((O361)*(1+SUMIF($Y$2:$Y$4,X361,$Z$2:$Z$4)),0)</f>
        <v>0</v>
      </c>
      <c r="Z361" s="37">
        <f t="shared" si="266"/>
        <v>0</v>
      </c>
      <c r="AA361" s="166"/>
      <c r="AB361" s="38"/>
      <c r="AC361" s="38"/>
    </row>
    <row r="362" spans="1:29" hidden="1" outlineLevel="2" x14ac:dyDescent="0.25">
      <c r="A362" s="158" t="s">
        <v>1197</v>
      </c>
      <c r="B362" s="187" t="str">
        <f>+B360</f>
        <v>3.4/4</v>
      </c>
      <c r="C362" s="168" t="s">
        <v>1481</v>
      </c>
      <c r="D362" s="169" t="s">
        <v>1480</v>
      </c>
      <c r="E362" s="170" t="s">
        <v>1384</v>
      </c>
      <c r="F362" s="171"/>
      <c r="G362" s="171"/>
      <c r="H362" s="33">
        <f t="shared" si="233"/>
        <v>0</v>
      </c>
      <c r="I362" s="505"/>
      <c r="J362" s="505">
        <f t="shared" si="226"/>
        <v>0</v>
      </c>
      <c r="K362" s="499"/>
      <c r="L362" s="499">
        <f t="shared" si="227"/>
        <v>0</v>
      </c>
      <c r="M362" s="39">
        <f t="shared" si="228"/>
        <v>0</v>
      </c>
      <c r="N362" s="163">
        <f t="shared" si="240"/>
        <v>0</v>
      </c>
      <c r="O362" s="172">
        <f t="shared" si="271"/>
        <v>0</v>
      </c>
      <c r="P362" s="521"/>
      <c r="Q362" s="521">
        <f t="shared" si="229"/>
        <v>0</v>
      </c>
      <c r="R362" s="526"/>
      <c r="S362" s="526">
        <f t="shared" si="230"/>
        <v>0</v>
      </c>
      <c r="T362" s="39">
        <f t="shared" si="225"/>
        <v>0</v>
      </c>
      <c r="U362" s="163">
        <f>+ROUND(T362*H362,2)</f>
        <v>0</v>
      </c>
      <c r="V362" s="173">
        <f t="shared" si="272"/>
        <v>0</v>
      </c>
      <c r="W362" s="164"/>
      <c r="X362" s="128" t="s">
        <v>1004</v>
      </c>
      <c r="Y362" s="37">
        <f>+ROUND((O362)*(1+SUMIF($Y$2:$Y$4,X362,$Z$2:$Z$4)),0)</f>
        <v>0</v>
      </c>
      <c r="Z362" s="37">
        <f t="shared" si="266"/>
        <v>0</v>
      </c>
      <c r="AA362" s="166"/>
      <c r="AB362" s="38"/>
      <c r="AC362" s="38"/>
    </row>
    <row r="363" spans="1:29" hidden="1" outlineLevel="1" x14ac:dyDescent="0.25">
      <c r="A363" s="506" t="s">
        <v>1022</v>
      </c>
      <c r="B363" s="512" t="str">
        <f t="shared" si="262"/>
        <v>3.4/4</v>
      </c>
      <c r="C363" s="508"/>
      <c r="D363" s="509" t="s">
        <v>1023</v>
      </c>
      <c r="E363" s="510"/>
      <c r="F363" s="511"/>
      <c r="G363" s="511"/>
      <c r="H363" s="512">
        <f t="shared" si="233"/>
        <v>0</v>
      </c>
      <c r="I363" s="512"/>
      <c r="J363" s="512">
        <f t="shared" si="226"/>
        <v>0</v>
      </c>
      <c r="K363" s="512"/>
      <c r="L363" s="512">
        <f t="shared" si="227"/>
        <v>0</v>
      </c>
      <c r="M363" s="512">
        <f t="shared" si="228"/>
        <v>0</v>
      </c>
      <c r="N363" s="513">
        <f>SUM(N350:N362)</f>
        <v>0</v>
      </c>
      <c r="O363" s="513">
        <f>SUM(O350:O362)</f>
        <v>0</v>
      </c>
      <c r="P363" s="512"/>
      <c r="Q363" s="512">
        <f t="shared" si="229"/>
        <v>0</v>
      </c>
      <c r="R363" s="512"/>
      <c r="S363" s="512">
        <f t="shared" si="230"/>
        <v>0</v>
      </c>
      <c r="T363" s="512">
        <f t="shared" si="225"/>
        <v>0</v>
      </c>
      <c r="U363" s="512">
        <f>SUM(U353:U362)</f>
        <v>0</v>
      </c>
      <c r="V363" s="513">
        <f>SUM(V350:V362)</f>
        <v>0</v>
      </c>
      <c r="W363" s="507"/>
      <c r="X363" s="514" t="s">
        <v>1004</v>
      </c>
      <c r="Y363" s="513">
        <f>SUM(Y350:Y362)</f>
        <v>0</v>
      </c>
      <c r="Z363" s="513">
        <f>SUM(Z350:Z362)</f>
        <v>0</v>
      </c>
      <c r="AA363" s="166"/>
      <c r="AB363" s="38"/>
      <c r="AC363" s="38"/>
    </row>
    <row r="364" spans="1:29" hidden="1" outlineLevel="1" x14ac:dyDescent="0.25">
      <c r="A364" s="158" t="s">
        <v>1151</v>
      </c>
      <c r="B364" s="159" t="s">
        <v>329</v>
      </c>
      <c r="C364" s="250">
        <v>3</v>
      </c>
      <c r="D364" s="161" t="s">
        <v>1482</v>
      </c>
      <c r="E364" s="162"/>
      <c r="F364" s="40"/>
      <c r="G364" s="40"/>
      <c r="H364" s="33">
        <f t="shared" ref="H364:H365" si="279">+SUM(F364:G364)</f>
        <v>0</v>
      </c>
      <c r="I364" s="504"/>
      <c r="J364" s="504">
        <f t="shared" si="226"/>
        <v>0</v>
      </c>
      <c r="K364" s="498"/>
      <c r="L364" s="498">
        <f t="shared" si="227"/>
        <v>0</v>
      </c>
      <c r="M364" s="34">
        <f t="shared" si="228"/>
        <v>0</v>
      </c>
      <c r="N364" s="163">
        <f t="shared" ref="N364:N365" si="280">+ROUND(M364*H364,2)</f>
        <v>0</v>
      </c>
      <c r="O364" s="172">
        <f t="shared" ref="O364:O365" si="281">N364</f>
        <v>0</v>
      </c>
      <c r="P364" s="520"/>
      <c r="Q364" s="520">
        <f t="shared" si="229"/>
        <v>0</v>
      </c>
      <c r="R364" s="525"/>
      <c r="S364" s="525">
        <f t="shared" si="230"/>
        <v>0</v>
      </c>
      <c r="T364" s="39">
        <f t="shared" si="225"/>
        <v>0</v>
      </c>
      <c r="U364" s="163">
        <f>+ROUND(T364*H364,2)</f>
        <v>0</v>
      </c>
      <c r="V364" s="173">
        <f t="shared" ref="V364:V365" si="282">U364</f>
        <v>0</v>
      </c>
      <c r="W364" s="164"/>
      <c r="X364" s="128" t="s">
        <v>1004</v>
      </c>
      <c r="Y364" s="37">
        <f>+ROUND((O364)*(1+SUMIF($Y$2:$Y$4,X364,$Z$2:$Z$4)),0)</f>
        <v>0</v>
      </c>
      <c r="Z364" s="37">
        <f t="shared" ref="Z364:Z374" si="283">+ROUND((V364)*(1+SUMIF($Y$2:$Y$4,X364,$Z$2:$Z$4)),0)</f>
        <v>0</v>
      </c>
      <c r="AA364" s="166"/>
      <c r="AB364" s="38"/>
      <c r="AC364" s="38"/>
    </row>
    <row r="365" spans="1:29" hidden="1" outlineLevel="2" x14ac:dyDescent="0.25">
      <c r="A365" s="158" t="s">
        <v>1151</v>
      </c>
      <c r="B365" s="187" t="str">
        <f>+B364</f>
        <v>3.4/5</v>
      </c>
      <c r="C365" s="249">
        <v>3.1</v>
      </c>
      <c r="D365" s="226" t="s">
        <v>146</v>
      </c>
      <c r="E365" s="170" t="s">
        <v>1384</v>
      </c>
      <c r="F365" s="171"/>
      <c r="G365" s="171"/>
      <c r="H365" s="33">
        <f t="shared" si="279"/>
        <v>0</v>
      </c>
      <c r="I365" s="505"/>
      <c r="J365" s="505">
        <f t="shared" si="226"/>
        <v>0</v>
      </c>
      <c r="K365" s="499"/>
      <c r="L365" s="499">
        <f t="shared" si="227"/>
        <v>0</v>
      </c>
      <c r="M365" s="39">
        <f t="shared" si="228"/>
        <v>0</v>
      </c>
      <c r="N365" s="163">
        <f t="shared" si="280"/>
        <v>0</v>
      </c>
      <c r="O365" s="172">
        <f t="shared" si="281"/>
        <v>0</v>
      </c>
      <c r="P365" s="521"/>
      <c r="Q365" s="521">
        <f t="shared" si="229"/>
        <v>0</v>
      </c>
      <c r="R365" s="526"/>
      <c r="S365" s="526">
        <f t="shared" si="230"/>
        <v>0</v>
      </c>
      <c r="T365" s="39">
        <f t="shared" si="225"/>
        <v>0</v>
      </c>
      <c r="U365" s="163">
        <f>+ROUND(T365*H365,2)</f>
        <v>0</v>
      </c>
      <c r="V365" s="173">
        <f t="shared" si="282"/>
        <v>0</v>
      </c>
      <c r="W365" s="164"/>
      <c r="X365" s="128" t="s">
        <v>1004</v>
      </c>
      <c r="Y365" s="37">
        <f>+ROUND((O365)*(1+SUMIF($Y$2:$Y$4,X365,$Z$2:$Z$4)),0)</f>
        <v>0</v>
      </c>
      <c r="Z365" s="37">
        <f t="shared" si="283"/>
        <v>0</v>
      </c>
      <c r="AA365" s="166"/>
      <c r="AB365" s="38"/>
      <c r="AC365" s="38"/>
    </row>
    <row r="366" spans="1:29" hidden="1" outlineLevel="2" x14ac:dyDescent="0.25">
      <c r="A366" s="158" t="s">
        <v>1151</v>
      </c>
      <c r="B366" s="187" t="str">
        <f t="shared" ref="B366:B374" si="284">+B365</f>
        <v>3.4/5</v>
      </c>
      <c r="C366" s="168" t="s">
        <v>1483</v>
      </c>
      <c r="D366" s="174" t="s">
        <v>1600</v>
      </c>
      <c r="E366" s="170" t="s">
        <v>1384</v>
      </c>
      <c r="F366" s="171"/>
      <c r="G366" s="171"/>
      <c r="H366" s="33">
        <f t="shared" si="233"/>
        <v>0</v>
      </c>
      <c r="I366" s="505"/>
      <c r="J366" s="505">
        <f t="shared" si="226"/>
        <v>0</v>
      </c>
      <c r="K366" s="499"/>
      <c r="L366" s="499">
        <f t="shared" si="227"/>
        <v>0</v>
      </c>
      <c r="M366" s="39">
        <f t="shared" si="228"/>
        <v>0</v>
      </c>
      <c r="N366" s="163">
        <f t="shared" si="240"/>
        <v>0</v>
      </c>
      <c r="O366" s="172">
        <f t="shared" ref="O366:O374" si="285">N366</f>
        <v>0</v>
      </c>
      <c r="P366" s="521"/>
      <c r="Q366" s="521">
        <f t="shared" si="229"/>
        <v>0</v>
      </c>
      <c r="R366" s="526"/>
      <c r="S366" s="526">
        <f t="shared" si="230"/>
        <v>0</v>
      </c>
      <c r="T366" s="39">
        <f t="shared" si="225"/>
        <v>0</v>
      </c>
      <c r="U366" s="163">
        <f>+ROUND(T366*H366,2)</f>
        <v>0</v>
      </c>
      <c r="V366" s="173">
        <f t="shared" ref="V366:V374" si="286">U366</f>
        <v>0</v>
      </c>
      <c r="W366" s="164"/>
      <c r="X366" s="128" t="s">
        <v>1004</v>
      </c>
      <c r="Y366" s="37">
        <f>+ROUND((O366)*(1+SUMIF($Y$2:$Y$4,X366,$Z$2:$Z$4)),0)</f>
        <v>0</v>
      </c>
      <c r="Z366" s="37">
        <f t="shared" si="283"/>
        <v>0</v>
      </c>
      <c r="AA366" s="166"/>
      <c r="AB366" s="38"/>
      <c r="AC366" s="38"/>
    </row>
    <row r="367" spans="1:29" hidden="1" outlineLevel="2" x14ac:dyDescent="0.25">
      <c r="A367" s="158" t="s">
        <v>1163</v>
      </c>
      <c r="B367" s="187" t="str">
        <f t="shared" si="284"/>
        <v>3.4/5</v>
      </c>
      <c r="C367" s="168" t="s">
        <v>1485</v>
      </c>
      <c r="D367" s="174" t="s">
        <v>1554</v>
      </c>
      <c r="E367" s="170" t="s">
        <v>1384</v>
      </c>
      <c r="F367" s="171"/>
      <c r="G367" s="171"/>
      <c r="H367" s="33">
        <f t="shared" si="233"/>
        <v>0</v>
      </c>
      <c r="I367" s="505"/>
      <c r="J367" s="505">
        <f t="shared" si="226"/>
        <v>0</v>
      </c>
      <c r="K367" s="499"/>
      <c r="L367" s="499">
        <f t="shared" si="227"/>
        <v>0</v>
      </c>
      <c r="M367" s="39">
        <f t="shared" si="228"/>
        <v>0</v>
      </c>
      <c r="N367" s="163">
        <f t="shared" si="240"/>
        <v>0</v>
      </c>
      <c r="O367" s="172">
        <f t="shared" si="285"/>
        <v>0</v>
      </c>
      <c r="P367" s="521"/>
      <c r="Q367" s="521">
        <f t="shared" si="229"/>
        <v>0</v>
      </c>
      <c r="R367" s="526"/>
      <c r="S367" s="526">
        <f t="shared" si="230"/>
        <v>0</v>
      </c>
      <c r="T367" s="39">
        <f t="shared" si="225"/>
        <v>0</v>
      </c>
      <c r="U367" s="163">
        <f>+ROUND(T367*H367,2)</f>
        <v>0</v>
      </c>
      <c r="V367" s="173">
        <f t="shared" si="286"/>
        <v>0</v>
      </c>
      <c r="W367" s="164"/>
      <c r="X367" s="128" t="s">
        <v>1004</v>
      </c>
      <c r="Y367" s="37">
        <f>+ROUND((O367)*(1+SUMIF($Y$2:$Y$4,X367,$Z$2:$Z$4)),0)</f>
        <v>0</v>
      </c>
      <c r="Z367" s="37">
        <f t="shared" si="283"/>
        <v>0</v>
      </c>
      <c r="AA367" s="166"/>
      <c r="AB367" s="38"/>
      <c r="AC367" s="38"/>
    </row>
    <row r="368" spans="1:29" hidden="1" outlineLevel="2" x14ac:dyDescent="0.25">
      <c r="A368" s="158" t="s">
        <v>1165</v>
      </c>
      <c r="B368" s="187" t="str">
        <f t="shared" si="284"/>
        <v>3.4/5</v>
      </c>
      <c r="C368" s="168" t="s">
        <v>1487</v>
      </c>
      <c r="D368" s="174" t="s">
        <v>1490</v>
      </c>
      <c r="E368" s="170" t="s">
        <v>1384</v>
      </c>
      <c r="F368" s="171"/>
      <c r="G368" s="171"/>
      <c r="H368" s="33">
        <f t="shared" si="233"/>
        <v>0</v>
      </c>
      <c r="I368" s="505"/>
      <c r="J368" s="505">
        <f t="shared" si="226"/>
        <v>0</v>
      </c>
      <c r="K368" s="499"/>
      <c r="L368" s="499">
        <f t="shared" si="227"/>
        <v>0</v>
      </c>
      <c r="M368" s="39">
        <f t="shared" si="228"/>
        <v>0</v>
      </c>
      <c r="N368" s="163">
        <f t="shared" si="240"/>
        <v>0</v>
      </c>
      <c r="O368" s="172">
        <f t="shared" si="285"/>
        <v>0</v>
      </c>
      <c r="P368" s="521"/>
      <c r="Q368" s="521">
        <f t="shared" si="229"/>
        <v>0</v>
      </c>
      <c r="R368" s="526"/>
      <c r="S368" s="526">
        <f t="shared" si="230"/>
        <v>0</v>
      </c>
      <c r="T368" s="39">
        <f t="shared" si="225"/>
        <v>0</v>
      </c>
      <c r="U368" s="163">
        <f>+ROUND(T368*H368,2)</f>
        <v>0</v>
      </c>
      <c r="V368" s="173">
        <f t="shared" si="286"/>
        <v>0</v>
      </c>
      <c r="W368" s="164"/>
      <c r="X368" s="128" t="s">
        <v>1004</v>
      </c>
      <c r="Y368" s="37">
        <f>+ROUND((O368)*(1+SUMIF($Y$2:$Y$4,X368,$Z$2:$Z$4)),0)</f>
        <v>0</v>
      </c>
      <c r="Z368" s="37">
        <f t="shared" si="283"/>
        <v>0</v>
      </c>
      <c r="AA368" s="166"/>
      <c r="AB368" s="38"/>
      <c r="AC368" s="38"/>
    </row>
    <row r="369" spans="1:29" hidden="1" outlineLevel="2" x14ac:dyDescent="0.25">
      <c r="A369" s="158" t="s">
        <v>1184</v>
      </c>
      <c r="B369" s="187" t="str">
        <f t="shared" si="284"/>
        <v>3.4/5</v>
      </c>
      <c r="C369" s="249">
        <v>3.2</v>
      </c>
      <c r="D369" s="226" t="s">
        <v>157</v>
      </c>
      <c r="E369" s="170" t="s">
        <v>1384</v>
      </c>
      <c r="F369" s="171"/>
      <c r="G369" s="171"/>
      <c r="H369" s="33">
        <f t="shared" si="233"/>
        <v>0</v>
      </c>
      <c r="I369" s="505"/>
      <c r="J369" s="505">
        <f t="shared" si="226"/>
        <v>0</v>
      </c>
      <c r="K369" s="499"/>
      <c r="L369" s="499">
        <f t="shared" si="227"/>
        <v>0</v>
      </c>
      <c r="M369" s="39">
        <f t="shared" si="228"/>
        <v>0</v>
      </c>
      <c r="N369" s="163">
        <f t="shared" si="240"/>
        <v>0</v>
      </c>
      <c r="O369" s="172">
        <f t="shared" si="285"/>
        <v>0</v>
      </c>
      <c r="P369" s="521"/>
      <c r="Q369" s="521">
        <f t="shared" si="229"/>
        <v>0</v>
      </c>
      <c r="R369" s="526"/>
      <c r="S369" s="526">
        <f t="shared" si="230"/>
        <v>0</v>
      </c>
      <c r="T369" s="39">
        <f t="shared" si="225"/>
        <v>0</v>
      </c>
      <c r="U369" s="163">
        <f>+ROUND(T369*H369,2)</f>
        <v>0</v>
      </c>
      <c r="V369" s="173">
        <f t="shared" si="286"/>
        <v>0</v>
      </c>
      <c r="W369" s="164"/>
      <c r="X369" s="128" t="s">
        <v>1004</v>
      </c>
      <c r="Y369" s="37">
        <f>+ROUND((O369)*(1+SUMIF($Y$2:$Y$4,X369,$Z$2:$Z$4)),0)</f>
        <v>0</v>
      </c>
      <c r="Z369" s="37">
        <f t="shared" si="283"/>
        <v>0</v>
      </c>
      <c r="AA369" s="166"/>
      <c r="AB369" s="38"/>
      <c r="AC369" s="38"/>
    </row>
    <row r="370" spans="1:29" hidden="1" outlineLevel="2" x14ac:dyDescent="0.25">
      <c r="A370" s="158" t="s">
        <v>1184</v>
      </c>
      <c r="B370" s="187" t="str">
        <f t="shared" si="284"/>
        <v>3.4/5</v>
      </c>
      <c r="C370" s="168" t="s">
        <v>1491</v>
      </c>
      <c r="D370" s="174" t="s">
        <v>1555</v>
      </c>
      <c r="E370" s="170" t="s">
        <v>1384</v>
      </c>
      <c r="F370" s="171"/>
      <c r="G370" s="171"/>
      <c r="H370" s="33">
        <f t="shared" si="233"/>
        <v>0</v>
      </c>
      <c r="I370" s="505"/>
      <c r="J370" s="505">
        <f t="shared" si="226"/>
        <v>0</v>
      </c>
      <c r="K370" s="499"/>
      <c r="L370" s="499">
        <f t="shared" si="227"/>
        <v>0</v>
      </c>
      <c r="M370" s="39">
        <f t="shared" si="228"/>
        <v>0</v>
      </c>
      <c r="N370" s="163">
        <f t="shared" si="240"/>
        <v>0</v>
      </c>
      <c r="O370" s="172">
        <f t="shared" si="285"/>
        <v>0</v>
      </c>
      <c r="P370" s="521"/>
      <c r="Q370" s="521">
        <f t="shared" si="229"/>
        <v>0</v>
      </c>
      <c r="R370" s="526"/>
      <c r="S370" s="526">
        <f t="shared" si="230"/>
        <v>0</v>
      </c>
      <c r="T370" s="39">
        <f t="shared" ref="T370:T433" si="287">+Q370+S370</f>
        <v>0</v>
      </c>
      <c r="U370" s="163">
        <f>+ROUND(T370*H370,2)</f>
        <v>0</v>
      </c>
      <c r="V370" s="173">
        <f t="shared" si="286"/>
        <v>0</v>
      </c>
      <c r="W370" s="164"/>
      <c r="X370" s="128" t="s">
        <v>1004</v>
      </c>
      <c r="Y370" s="37">
        <f>+ROUND((O370)*(1+SUMIF($Y$2:$Y$4,X370,$Z$2:$Z$4)),0)</f>
        <v>0</v>
      </c>
      <c r="Z370" s="37">
        <f t="shared" si="283"/>
        <v>0</v>
      </c>
      <c r="AA370" s="166"/>
      <c r="AB370" s="38"/>
      <c r="AC370" s="38"/>
    </row>
    <row r="371" spans="1:29" hidden="1" outlineLevel="2" x14ac:dyDescent="0.25">
      <c r="A371" s="158" t="s">
        <v>1189</v>
      </c>
      <c r="B371" s="187" t="str">
        <f t="shared" si="284"/>
        <v>3.4/5</v>
      </c>
      <c r="C371" s="249">
        <v>3.3</v>
      </c>
      <c r="D371" s="226" t="s">
        <v>166</v>
      </c>
      <c r="E371" s="170" t="s">
        <v>1384</v>
      </c>
      <c r="F371" s="171"/>
      <c r="G371" s="171"/>
      <c r="H371" s="33">
        <f t="shared" ref="H371" si="288">+SUM(F371:G371)</f>
        <v>0</v>
      </c>
      <c r="I371" s="505"/>
      <c r="J371" s="505">
        <f t="shared" ref="J371:J434" si="289">+I371*$J$5</f>
        <v>0</v>
      </c>
      <c r="K371" s="499"/>
      <c r="L371" s="499">
        <f t="shared" ref="L371:L434" si="290">+K371*$L$5</f>
        <v>0</v>
      </c>
      <c r="M371" s="39">
        <f t="shared" ref="M371:M434" si="291">+J371+L371</f>
        <v>0</v>
      </c>
      <c r="N371" s="163">
        <f t="shared" ref="N371" si="292">+ROUND(M371*H371,2)</f>
        <v>0</v>
      </c>
      <c r="O371" s="172">
        <f t="shared" ref="O371" si="293">N371</f>
        <v>0</v>
      </c>
      <c r="P371" s="521"/>
      <c r="Q371" s="521">
        <f t="shared" ref="Q371:Q434" si="294">+P371*$Q$5</f>
        <v>0</v>
      </c>
      <c r="R371" s="526"/>
      <c r="S371" s="526">
        <f t="shared" ref="S371:S434" si="295">+R371*$S$5</f>
        <v>0</v>
      </c>
      <c r="T371" s="39">
        <f t="shared" si="287"/>
        <v>0</v>
      </c>
      <c r="U371" s="163">
        <f>+ROUND(T371*H371,2)</f>
        <v>0</v>
      </c>
      <c r="V371" s="173">
        <f t="shared" ref="V371" si="296">U371</f>
        <v>0</v>
      </c>
      <c r="W371" s="164"/>
      <c r="X371" s="128" t="s">
        <v>1004</v>
      </c>
      <c r="Y371" s="37">
        <f>+ROUND((O371)*(1+SUMIF($Y$2:$Y$4,X371,$Z$2:$Z$4)),0)</f>
        <v>0</v>
      </c>
      <c r="Z371" s="37">
        <f t="shared" si="283"/>
        <v>0</v>
      </c>
      <c r="AA371" s="166"/>
      <c r="AB371" s="38"/>
      <c r="AC371" s="38"/>
    </row>
    <row r="372" spans="1:29" hidden="1" outlineLevel="2" x14ac:dyDescent="0.25">
      <c r="A372" s="158" t="s">
        <v>1189</v>
      </c>
      <c r="B372" s="187" t="str">
        <f t="shared" si="284"/>
        <v>3.4/5</v>
      </c>
      <c r="C372" s="168" t="s">
        <v>1497</v>
      </c>
      <c r="D372" s="174" t="s">
        <v>1601</v>
      </c>
      <c r="E372" s="170" t="s">
        <v>1384</v>
      </c>
      <c r="F372" s="171"/>
      <c r="G372" s="171"/>
      <c r="H372" s="33">
        <f t="shared" si="233"/>
        <v>0</v>
      </c>
      <c r="I372" s="505"/>
      <c r="J372" s="505">
        <f t="shared" si="289"/>
        <v>0</v>
      </c>
      <c r="K372" s="499"/>
      <c r="L372" s="499">
        <f t="shared" si="290"/>
        <v>0</v>
      </c>
      <c r="M372" s="39">
        <f t="shared" si="291"/>
        <v>0</v>
      </c>
      <c r="N372" s="163">
        <f t="shared" si="240"/>
        <v>0</v>
      </c>
      <c r="O372" s="172">
        <f t="shared" si="285"/>
        <v>0</v>
      </c>
      <c r="P372" s="521"/>
      <c r="Q372" s="521">
        <f t="shared" si="294"/>
        <v>0</v>
      </c>
      <c r="R372" s="526"/>
      <c r="S372" s="526">
        <f t="shared" si="295"/>
        <v>0</v>
      </c>
      <c r="T372" s="39">
        <f t="shared" si="287"/>
        <v>0</v>
      </c>
      <c r="U372" s="163">
        <f>+ROUND(T372*H372,2)</f>
        <v>0</v>
      </c>
      <c r="V372" s="173">
        <f t="shared" si="286"/>
        <v>0</v>
      </c>
      <c r="W372" s="164"/>
      <c r="X372" s="128" t="s">
        <v>1004</v>
      </c>
      <c r="Y372" s="37">
        <f>+ROUND((O372)*(1+SUMIF($Y$2:$Y$4,X372,$Z$2:$Z$4)),0)</f>
        <v>0</v>
      </c>
      <c r="Z372" s="37">
        <f t="shared" si="283"/>
        <v>0</v>
      </c>
      <c r="AA372" s="166"/>
      <c r="AB372" s="38"/>
      <c r="AC372" s="38"/>
    </row>
    <row r="373" spans="1:29" hidden="1" outlineLevel="2" x14ac:dyDescent="0.25">
      <c r="A373" s="158" t="s">
        <v>1189</v>
      </c>
      <c r="B373" s="187" t="str">
        <f t="shared" si="284"/>
        <v>3.4/5</v>
      </c>
      <c r="C373" s="168" t="s">
        <v>1499</v>
      </c>
      <c r="D373" s="174" t="s">
        <v>1602</v>
      </c>
      <c r="E373" s="170" t="s">
        <v>1384</v>
      </c>
      <c r="F373" s="171"/>
      <c r="G373" s="171"/>
      <c r="H373" s="33">
        <f t="shared" si="233"/>
        <v>0</v>
      </c>
      <c r="I373" s="505"/>
      <c r="J373" s="505">
        <f t="shared" si="289"/>
        <v>0</v>
      </c>
      <c r="K373" s="499"/>
      <c r="L373" s="499">
        <f t="shared" si="290"/>
        <v>0</v>
      </c>
      <c r="M373" s="39">
        <f t="shared" si="291"/>
        <v>0</v>
      </c>
      <c r="N373" s="163">
        <f t="shared" si="240"/>
        <v>0</v>
      </c>
      <c r="O373" s="172">
        <f t="shared" si="285"/>
        <v>0</v>
      </c>
      <c r="P373" s="521"/>
      <c r="Q373" s="521">
        <f t="shared" si="294"/>
        <v>0</v>
      </c>
      <c r="R373" s="526"/>
      <c r="S373" s="526">
        <f t="shared" si="295"/>
        <v>0</v>
      </c>
      <c r="T373" s="39">
        <f t="shared" si="287"/>
        <v>0</v>
      </c>
      <c r="U373" s="163">
        <f>+ROUND(T373*H373,2)</f>
        <v>0</v>
      </c>
      <c r="V373" s="173">
        <f t="shared" si="286"/>
        <v>0</v>
      </c>
      <c r="W373" s="164"/>
      <c r="X373" s="128" t="s">
        <v>1004</v>
      </c>
      <c r="Y373" s="37">
        <f>+ROUND((O373)*(1+SUMIF($Y$2:$Y$4,X373,$Z$2:$Z$4)),0)</f>
        <v>0</v>
      </c>
      <c r="Z373" s="37">
        <f t="shared" si="283"/>
        <v>0</v>
      </c>
      <c r="AA373" s="166"/>
      <c r="AB373" s="38"/>
      <c r="AC373" s="38"/>
    </row>
    <row r="374" spans="1:29" hidden="1" outlineLevel="2" x14ac:dyDescent="0.25">
      <c r="A374" s="158" t="s">
        <v>1253</v>
      </c>
      <c r="B374" s="187" t="str">
        <f t="shared" si="284"/>
        <v>3.4/5</v>
      </c>
      <c r="C374" s="168" t="s">
        <v>1501</v>
      </c>
      <c r="D374" s="174" t="s">
        <v>1502</v>
      </c>
      <c r="E374" s="170" t="s">
        <v>1384</v>
      </c>
      <c r="F374" s="171"/>
      <c r="G374" s="171"/>
      <c r="H374" s="33">
        <f t="shared" si="233"/>
        <v>0</v>
      </c>
      <c r="I374" s="505"/>
      <c r="J374" s="505">
        <f t="shared" si="289"/>
        <v>0</v>
      </c>
      <c r="K374" s="499"/>
      <c r="L374" s="499">
        <f t="shared" si="290"/>
        <v>0</v>
      </c>
      <c r="M374" s="39">
        <f t="shared" si="291"/>
        <v>0</v>
      </c>
      <c r="N374" s="163">
        <f t="shared" si="240"/>
        <v>0</v>
      </c>
      <c r="O374" s="172">
        <f t="shared" si="285"/>
        <v>0</v>
      </c>
      <c r="P374" s="521"/>
      <c r="Q374" s="521">
        <f t="shared" si="294"/>
        <v>0</v>
      </c>
      <c r="R374" s="526"/>
      <c r="S374" s="526">
        <f t="shared" si="295"/>
        <v>0</v>
      </c>
      <c r="T374" s="39">
        <f t="shared" si="287"/>
        <v>0</v>
      </c>
      <c r="U374" s="163">
        <f>+ROUND(T374*H374,2)</f>
        <v>0</v>
      </c>
      <c r="V374" s="173">
        <f t="shared" si="286"/>
        <v>0</v>
      </c>
      <c r="W374" s="164"/>
      <c r="X374" s="128" t="s">
        <v>1004</v>
      </c>
      <c r="Y374" s="37">
        <f>+ROUND((O374)*(1+SUMIF($Y$2:$Y$4,X374,$Z$2:$Z$4)),0)</f>
        <v>0</v>
      </c>
      <c r="Z374" s="37">
        <f t="shared" si="283"/>
        <v>0</v>
      </c>
      <c r="AA374" s="166"/>
      <c r="AB374" s="38"/>
      <c r="AC374" s="38"/>
    </row>
    <row r="375" spans="1:29" hidden="1" outlineLevel="1" x14ac:dyDescent="0.25">
      <c r="A375" s="506" t="s">
        <v>1022</v>
      </c>
      <c r="B375" s="512" t="str">
        <f t="shared" si="262"/>
        <v>3.4/5</v>
      </c>
      <c r="C375" s="508"/>
      <c r="D375" s="509" t="s">
        <v>1023</v>
      </c>
      <c r="E375" s="510"/>
      <c r="F375" s="511"/>
      <c r="G375" s="511"/>
      <c r="H375" s="512">
        <f t="shared" si="233"/>
        <v>0</v>
      </c>
      <c r="I375" s="512"/>
      <c r="J375" s="512">
        <f t="shared" si="289"/>
        <v>0</v>
      </c>
      <c r="K375" s="512"/>
      <c r="L375" s="512">
        <f t="shared" si="290"/>
        <v>0</v>
      </c>
      <c r="M375" s="512">
        <f t="shared" si="291"/>
        <v>0</v>
      </c>
      <c r="N375" s="513">
        <f>SUM(N366:N374)</f>
        <v>0</v>
      </c>
      <c r="O375" s="513">
        <f>SUM(O366:O374)</f>
        <v>0</v>
      </c>
      <c r="P375" s="512"/>
      <c r="Q375" s="512">
        <f t="shared" si="294"/>
        <v>0</v>
      </c>
      <c r="R375" s="512"/>
      <c r="S375" s="512">
        <f t="shared" si="295"/>
        <v>0</v>
      </c>
      <c r="T375" s="512">
        <f t="shared" si="287"/>
        <v>0</v>
      </c>
      <c r="U375" s="512">
        <f>SUM(U366:U374)</f>
        <v>0</v>
      </c>
      <c r="V375" s="513">
        <f>SUM(V366:V374)</f>
        <v>0</v>
      </c>
      <c r="W375" s="507"/>
      <c r="X375" s="514" t="s">
        <v>1004</v>
      </c>
      <c r="Y375" s="513">
        <f>SUM(Y366:Y374)</f>
        <v>0</v>
      </c>
      <c r="Z375" s="513">
        <f>SUM(Z366:Z374)</f>
        <v>0</v>
      </c>
      <c r="AA375" s="166"/>
      <c r="AB375" s="38"/>
      <c r="AC375" s="38"/>
    </row>
    <row r="376" spans="1:29" hidden="1" outlineLevel="1" x14ac:dyDescent="0.25">
      <c r="A376" s="158" t="s">
        <v>1151</v>
      </c>
      <c r="B376" s="159" t="s">
        <v>332</v>
      </c>
      <c r="C376" s="250">
        <v>4</v>
      </c>
      <c r="D376" s="161" t="s">
        <v>1504</v>
      </c>
      <c r="E376" s="162"/>
      <c r="F376" s="40"/>
      <c r="G376" s="40"/>
      <c r="H376" s="33">
        <f t="shared" si="233"/>
        <v>0</v>
      </c>
      <c r="I376" s="504"/>
      <c r="J376" s="504">
        <f t="shared" si="289"/>
        <v>0</v>
      </c>
      <c r="K376" s="498"/>
      <c r="L376" s="498">
        <f t="shared" si="290"/>
        <v>0</v>
      </c>
      <c r="M376" s="34">
        <f t="shared" si="291"/>
        <v>0</v>
      </c>
      <c r="N376" s="163">
        <f t="shared" ref="N376:N377" si="297">+ROUND(M376*H376,2)</f>
        <v>0</v>
      </c>
      <c r="O376" s="172">
        <f t="shared" ref="O376:O377" si="298">N376</f>
        <v>0</v>
      </c>
      <c r="P376" s="520"/>
      <c r="Q376" s="520">
        <f t="shared" si="294"/>
        <v>0</v>
      </c>
      <c r="R376" s="525"/>
      <c r="S376" s="525">
        <f t="shared" si="295"/>
        <v>0</v>
      </c>
      <c r="T376" s="39">
        <f t="shared" si="287"/>
        <v>0</v>
      </c>
      <c r="U376" s="163">
        <f>+ROUND(T376*H376,2)</f>
        <v>0</v>
      </c>
      <c r="V376" s="173">
        <f t="shared" ref="V376:V377" si="299">U376</f>
        <v>0</v>
      </c>
      <c r="W376" s="164"/>
      <c r="X376" s="128" t="s">
        <v>1004</v>
      </c>
      <c r="Y376" s="37">
        <f>+ROUND((O376)*(1+SUMIF($Y$2:$Y$4,X376,$Z$2:$Z$4)),0)</f>
        <v>0</v>
      </c>
      <c r="Z376" s="37">
        <f t="shared" ref="Z376:Z387" si="300">+ROUND((V376)*(1+SUMIF($Y$2:$Y$4,X376,$Z$2:$Z$4)),0)</f>
        <v>0</v>
      </c>
      <c r="AA376" s="166"/>
      <c r="AB376" s="38"/>
      <c r="AC376" s="38"/>
    </row>
    <row r="377" spans="1:29" hidden="1" outlineLevel="2" x14ac:dyDescent="0.25">
      <c r="A377" s="158" t="s">
        <v>1151</v>
      </c>
      <c r="B377" s="187" t="str">
        <f>+B376</f>
        <v>3.4/6</v>
      </c>
      <c r="C377" s="249">
        <v>4.0999999999999996</v>
      </c>
      <c r="D377" s="226" t="s">
        <v>1575</v>
      </c>
      <c r="E377" s="170" t="s">
        <v>1384</v>
      </c>
      <c r="F377" s="171"/>
      <c r="G377" s="171"/>
      <c r="H377" s="33">
        <f t="shared" si="233"/>
        <v>0</v>
      </c>
      <c r="I377" s="505"/>
      <c r="J377" s="505">
        <f t="shared" si="289"/>
        <v>0</v>
      </c>
      <c r="K377" s="499"/>
      <c r="L377" s="499">
        <f t="shared" si="290"/>
        <v>0</v>
      </c>
      <c r="M377" s="39">
        <f t="shared" si="291"/>
        <v>0</v>
      </c>
      <c r="N377" s="163">
        <f t="shared" si="297"/>
        <v>0</v>
      </c>
      <c r="O377" s="172">
        <f t="shared" si="298"/>
        <v>0</v>
      </c>
      <c r="P377" s="521"/>
      <c r="Q377" s="521">
        <f t="shared" si="294"/>
        <v>0</v>
      </c>
      <c r="R377" s="526"/>
      <c r="S377" s="526">
        <f t="shared" si="295"/>
        <v>0</v>
      </c>
      <c r="T377" s="39">
        <f t="shared" si="287"/>
        <v>0</v>
      </c>
      <c r="U377" s="163">
        <f>+ROUND(T377*H377,2)</f>
        <v>0</v>
      </c>
      <c r="V377" s="173">
        <f t="shared" si="299"/>
        <v>0</v>
      </c>
      <c r="W377" s="164"/>
      <c r="X377" s="128" t="s">
        <v>1004</v>
      </c>
      <c r="Y377" s="37">
        <f>+ROUND((O377)*(1+SUMIF($Y$2:$Y$4,X377,$Z$2:$Z$4)),0)</f>
        <v>0</v>
      </c>
      <c r="Z377" s="37">
        <f t="shared" si="300"/>
        <v>0</v>
      </c>
      <c r="AA377" s="166"/>
      <c r="AB377" s="38"/>
      <c r="AC377" s="38"/>
    </row>
    <row r="378" spans="1:29" hidden="1" outlineLevel="2" x14ac:dyDescent="0.25">
      <c r="A378" s="158" t="s">
        <v>1238</v>
      </c>
      <c r="B378" s="187" t="str">
        <f t="shared" ref="B378:B386" si="301">+B377</f>
        <v>3.4/6</v>
      </c>
      <c r="C378" s="168" t="s">
        <v>1506</v>
      </c>
      <c r="D378" s="174" t="s">
        <v>1853</v>
      </c>
      <c r="E378" s="170" t="s">
        <v>1384</v>
      </c>
      <c r="F378" s="171"/>
      <c r="G378" s="171"/>
      <c r="H378" s="33">
        <f t="shared" si="233"/>
        <v>0</v>
      </c>
      <c r="I378" s="505"/>
      <c r="J378" s="505">
        <f t="shared" si="289"/>
        <v>0</v>
      </c>
      <c r="K378" s="499"/>
      <c r="L378" s="499">
        <f t="shared" si="290"/>
        <v>0</v>
      </c>
      <c r="M378" s="39">
        <f t="shared" si="291"/>
        <v>0</v>
      </c>
      <c r="N378" s="163">
        <f t="shared" si="240"/>
        <v>0</v>
      </c>
      <c r="O378" s="172">
        <f t="shared" ref="O378:O387" si="302">N378</f>
        <v>0</v>
      </c>
      <c r="P378" s="521"/>
      <c r="Q378" s="521">
        <f t="shared" si="294"/>
        <v>0</v>
      </c>
      <c r="R378" s="526"/>
      <c r="S378" s="526">
        <f t="shared" si="295"/>
        <v>0</v>
      </c>
      <c r="T378" s="39">
        <f t="shared" si="287"/>
        <v>0</v>
      </c>
      <c r="U378" s="163">
        <f>+ROUND(T378*H378,2)</f>
        <v>0</v>
      </c>
      <c r="V378" s="173">
        <f t="shared" ref="V378:V387" si="303">U378</f>
        <v>0</v>
      </c>
      <c r="W378" s="164"/>
      <c r="X378" s="128" t="s">
        <v>1004</v>
      </c>
      <c r="Y378" s="37">
        <f>+ROUND((O378)*(1+SUMIF($Y$2:$Y$4,X378,$Z$2:$Z$4)),0)</f>
        <v>0</v>
      </c>
      <c r="Z378" s="37">
        <f t="shared" si="300"/>
        <v>0</v>
      </c>
      <c r="AA378" s="166"/>
      <c r="AB378" s="38"/>
      <c r="AC378" s="38"/>
    </row>
    <row r="379" spans="1:29" hidden="1" outlineLevel="2" x14ac:dyDescent="0.25">
      <c r="A379" s="158" t="s">
        <v>1328</v>
      </c>
      <c r="B379" s="187" t="str">
        <f t="shared" si="301"/>
        <v>3.4/6</v>
      </c>
      <c r="C379" s="168" t="s">
        <v>1508</v>
      </c>
      <c r="D379" s="174" t="s">
        <v>1577</v>
      </c>
      <c r="E379" s="170" t="s">
        <v>1384</v>
      </c>
      <c r="F379" s="171"/>
      <c r="G379" s="171"/>
      <c r="H379" s="33">
        <f t="shared" si="233"/>
        <v>0</v>
      </c>
      <c r="I379" s="505"/>
      <c r="J379" s="505">
        <f t="shared" si="289"/>
        <v>0</v>
      </c>
      <c r="K379" s="499"/>
      <c r="L379" s="499">
        <f t="shared" si="290"/>
        <v>0</v>
      </c>
      <c r="M379" s="39">
        <f t="shared" si="291"/>
        <v>0</v>
      </c>
      <c r="N379" s="163">
        <f t="shared" si="240"/>
        <v>0</v>
      </c>
      <c r="O379" s="172">
        <f t="shared" si="302"/>
        <v>0</v>
      </c>
      <c r="P379" s="521"/>
      <c r="Q379" s="521">
        <f t="shared" si="294"/>
        <v>0</v>
      </c>
      <c r="R379" s="526"/>
      <c r="S379" s="526">
        <f t="shared" si="295"/>
        <v>0</v>
      </c>
      <c r="T379" s="39">
        <f t="shared" si="287"/>
        <v>0</v>
      </c>
      <c r="U379" s="163">
        <f>+ROUND(T379*H379,2)</f>
        <v>0</v>
      </c>
      <c r="V379" s="173">
        <f t="shared" si="303"/>
        <v>0</v>
      </c>
      <c r="W379" s="164"/>
      <c r="X379" s="128" t="s">
        <v>1004</v>
      </c>
      <c r="Y379" s="37">
        <f>+ROUND((O379)*(1+SUMIF($Y$2:$Y$4,X379,$Z$2:$Z$4)),0)</f>
        <v>0</v>
      </c>
      <c r="Z379" s="37">
        <f t="shared" si="300"/>
        <v>0</v>
      </c>
      <c r="AA379" s="166"/>
      <c r="AB379" s="38"/>
      <c r="AC379" s="38"/>
    </row>
    <row r="380" spans="1:29" hidden="1" outlineLevel="2" x14ac:dyDescent="0.25">
      <c r="A380" s="158" t="s">
        <v>1238</v>
      </c>
      <c r="B380" s="187" t="str">
        <f t="shared" si="301"/>
        <v>3.4/6</v>
      </c>
      <c r="C380" s="168" t="s">
        <v>1510</v>
      </c>
      <c r="D380" s="174" t="s">
        <v>1573</v>
      </c>
      <c r="E380" s="170" t="s">
        <v>1384</v>
      </c>
      <c r="F380" s="171"/>
      <c r="G380" s="171"/>
      <c r="H380" s="33">
        <f t="shared" si="233"/>
        <v>0</v>
      </c>
      <c r="I380" s="505"/>
      <c r="J380" s="505">
        <f t="shared" si="289"/>
        <v>0</v>
      </c>
      <c r="K380" s="499"/>
      <c r="L380" s="499">
        <f t="shared" si="290"/>
        <v>0</v>
      </c>
      <c r="M380" s="39">
        <f t="shared" si="291"/>
        <v>0</v>
      </c>
      <c r="N380" s="163">
        <f t="shared" si="240"/>
        <v>0</v>
      </c>
      <c r="O380" s="172">
        <f t="shared" si="302"/>
        <v>0</v>
      </c>
      <c r="P380" s="521"/>
      <c r="Q380" s="521">
        <f t="shared" si="294"/>
        <v>0</v>
      </c>
      <c r="R380" s="526"/>
      <c r="S380" s="526">
        <f t="shared" si="295"/>
        <v>0</v>
      </c>
      <c r="T380" s="39">
        <f t="shared" si="287"/>
        <v>0</v>
      </c>
      <c r="U380" s="163">
        <f>+ROUND(T380*H380,2)</f>
        <v>0</v>
      </c>
      <c r="V380" s="173">
        <f t="shared" si="303"/>
        <v>0</v>
      </c>
      <c r="W380" s="164"/>
      <c r="X380" s="128" t="s">
        <v>1004</v>
      </c>
      <c r="Y380" s="37">
        <f>+ROUND((O380)*(1+SUMIF($Y$2:$Y$4,X380,$Z$2:$Z$4)),0)</f>
        <v>0</v>
      </c>
      <c r="Z380" s="37">
        <f t="shared" si="300"/>
        <v>0</v>
      </c>
      <c r="AA380" s="166"/>
      <c r="AB380" s="38"/>
      <c r="AC380" s="38"/>
    </row>
    <row r="381" spans="1:29" hidden="1" outlineLevel="2" x14ac:dyDescent="0.25">
      <c r="A381" s="158" t="s">
        <v>1272</v>
      </c>
      <c r="B381" s="187" t="str">
        <f t="shared" si="301"/>
        <v>3.4/6</v>
      </c>
      <c r="C381" s="247">
        <v>5</v>
      </c>
      <c r="D381" s="161" t="s">
        <v>1530</v>
      </c>
      <c r="E381" s="170" t="s">
        <v>1384</v>
      </c>
      <c r="F381" s="40"/>
      <c r="G381" s="40"/>
      <c r="H381" s="33">
        <f t="shared" si="233"/>
        <v>0</v>
      </c>
      <c r="I381" s="504"/>
      <c r="J381" s="504">
        <f t="shared" si="289"/>
        <v>0</v>
      </c>
      <c r="K381" s="498"/>
      <c r="L381" s="498">
        <f t="shared" si="290"/>
        <v>0</v>
      </c>
      <c r="M381" s="34">
        <f t="shared" si="291"/>
        <v>0</v>
      </c>
      <c r="N381" s="163">
        <f t="shared" si="240"/>
        <v>0</v>
      </c>
      <c r="O381" s="172">
        <f t="shared" si="302"/>
        <v>0</v>
      </c>
      <c r="P381" s="520"/>
      <c r="Q381" s="520">
        <f t="shared" si="294"/>
        <v>0</v>
      </c>
      <c r="R381" s="525"/>
      <c r="S381" s="525">
        <f t="shared" si="295"/>
        <v>0</v>
      </c>
      <c r="T381" s="34">
        <f t="shared" si="287"/>
        <v>0</v>
      </c>
      <c r="U381" s="163">
        <f>+ROUND(T381*H381,2)</f>
        <v>0</v>
      </c>
      <c r="V381" s="173">
        <f t="shared" si="303"/>
        <v>0</v>
      </c>
      <c r="W381" s="164"/>
      <c r="X381" s="128" t="s">
        <v>1004</v>
      </c>
      <c r="Y381" s="37">
        <f>+ROUND((O381)*(1+SUMIF($Y$2:$Y$4,X381,$Z$2:$Z$4)),0)</f>
        <v>0</v>
      </c>
      <c r="Z381" s="37">
        <f t="shared" si="300"/>
        <v>0</v>
      </c>
      <c r="AA381" s="166"/>
      <c r="AB381" s="38"/>
      <c r="AC381" s="38"/>
    </row>
    <row r="382" spans="1:29" hidden="1" outlineLevel="2" x14ac:dyDescent="0.25">
      <c r="A382" s="158" t="s">
        <v>1272</v>
      </c>
      <c r="B382" s="187" t="str">
        <f t="shared" si="301"/>
        <v>3.4/6</v>
      </c>
      <c r="C382" s="246">
        <v>5.0999999999999996</v>
      </c>
      <c r="D382" s="161" t="s">
        <v>1868</v>
      </c>
      <c r="E382" s="170" t="s">
        <v>1384</v>
      </c>
      <c r="F382" s="40"/>
      <c r="G382" s="40"/>
      <c r="H382" s="33">
        <f t="shared" si="233"/>
        <v>0</v>
      </c>
      <c r="I382" s="504"/>
      <c r="J382" s="504">
        <f t="shared" si="289"/>
        <v>0</v>
      </c>
      <c r="K382" s="498"/>
      <c r="L382" s="498">
        <f t="shared" si="290"/>
        <v>0</v>
      </c>
      <c r="M382" s="34">
        <f t="shared" si="291"/>
        <v>0</v>
      </c>
      <c r="N382" s="163">
        <f t="shared" si="240"/>
        <v>0</v>
      </c>
      <c r="O382" s="172">
        <f t="shared" si="302"/>
        <v>0</v>
      </c>
      <c r="P382" s="520"/>
      <c r="Q382" s="520">
        <f t="shared" si="294"/>
        <v>0</v>
      </c>
      <c r="R382" s="525"/>
      <c r="S382" s="525">
        <f t="shared" si="295"/>
        <v>0</v>
      </c>
      <c r="T382" s="34">
        <f t="shared" si="287"/>
        <v>0</v>
      </c>
      <c r="U382" s="163">
        <f>+ROUND(T382*H382,2)</f>
        <v>0</v>
      </c>
      <c r="V382" s="173">
        <f t="shared" si="303"/>
        <v>0</v>
      </c>
      <c r="W382" s="164"/>
      <c r="X382" s="128" t="s">
        <v>1004</v>
      </c>
      <c r="Y382" s="37">
        <f>+ROUND((O382)*(1+SUMIF($Y$2:$Y$4,X382,$Z$2:$Z$4)),0)</f>
        <v>0</v>
      </c>
      <c r="Z382" s="37">
        <f t="shared" si="300"/>
        <v>0</v>
      </c>
      <c r="AA382" s="166"/>
      <c r="AB382" s="38"/>
      <c r="AC382" s="38"/>
    </row>
    <row r="383" spans="1:29" ht="24" hidden="1" outlineLevel="2" x14ac:dyDescent="0.25">
      <c r="A383" s="158" t="s">
        <v>1272</v>
      </c>
      <c r="B383" s="187" t="str">
        <f t="shared" si="301"/>
        <v>3.4/6</v>
      </c>
      <c r="C383" s="168" t="s">
        <v>1531</v>
      </c>
      <c r="D383" s="174" t="s">
        <v>1532</v>
      </c>
      <c r="E383" s="170" t="s">
        <v>1384</v>
      </c>
      <c r="F383" s="171"/>
      <c r="G383" s="171"/>
      <c r="H383" s="33">
        <f t="shared" si="233"/>
        <v>0</v>
      </c>
      <c r="I383" s="505"/>
      <c r="J383" s="505">
        <f t="shared" si="289"/>
        <v>0</v>
      </c>
      <c r="K383" s="499"/>
      <c r="L383" s="499">
        <f t="shared" si="290"/>
        <v>0</v>
      </c>
      <c r="M383" s="39">
        <f t="shared" si="291"/>
        <v>0</v>
      </c>
      <c r="N383" s="163">
        <f t="shared" si="240"/>
        <v>0</v>
      </c>
      <c r="O383" s="172">
        <f t="shared" si="302"/>
        <v>0</v>
      </c>
      <c r="P383" s="521"/>
      <c r="Q383" s="521">
        <f t="shared" si="294"/>
        <v>0</v>
      </c>
      <c r="R383" s="526"/>
      <c r="S383" s="526">
        <f t="shared" si="295"/>
        <v>0</v>
      </c>
      <c r="T383" s="39">
        <f t="shared" si="287"/>
        <v>0</v>
      </c>
      <c r="U383" s="163">
        <f>+ROUND(T383*H383,2)</f>
        <v>0</v>
      </c>
      <c r="V383" s="173">
        <f t="shared" si="303"/>
        <v>0</v>
      </c>
      <c r="W383" s="164"/>
      <c r="X383" s="128" t="s">
        <v>1004</v>
      </c>
      <c r="Y383" s="37">
        <f>+ROUND((O383)*(1+SUMIF($Y$2:$Y$4,X383,$Z$2:$Z$4)),0)</f>
        <v>0</v>
      </c>
      <c r="Z383" s="37">
        <f t="shared" si="300"/>
        <v>0</v>
      </c>
      <c r="AA383" s="166"/>
      <c r="AB383" s="38"/>
      <c r="AC383" s="38"/>
    </row>
    <row r="384" spans="1:29" hidden="1" outlineLevel="2" x14ac:dyDescent="0.25">
      <c r="A384" s="158" t="s">
        <v>1019</v>
      </c>
      <c r="B384" s="187" t="str">
        <f t="shared" si="301"/>
        <v>3.4/6</v>
      </c>
      <c r="C384" s="247">
        <v>6</v>
      </c>
      <c r="D384" s="161" t="s">
        <v>1533</v>
      </c>
      <c r="E384" s="170" t="s">
        <v>1384</v>
      </c>
      <c r="F384" s="40"/>
      <c r="G384" s="40"/>
      <c r="H384" s="33">
        <f t="shared" si="233"/>
        <v>0</v>
      </c>
      <c r="I384" s="504"/>
      <c r="J384" s="504">
        <f t="shared" si="289"/>
        <v>0</v>
      </c>
      <c r="K384" s="498"/>
      <c r="L384" s="498">
        <f t="shared" si="290"/>
        <v>0</v>
      </c>
      <c r="M384" s="34">
        <f t="shared" si="291"/>
        <v>0</v>
      </c>
      <c r="N384" s="163">
        <f t="shared" si="240"/>
        <v>0</v>
      </c>
      <c r="O384" s="172">
        <f t="shared" si="302"/>
        <v>0</v>
      </c>
      <c r="P384" s="520"/>
      <c r="Q384" s="520">
        <f t="shared" si="294"/>
        <v>0</v>
      </c>
      <c r="R384" s="525"/>
      <c r="S384" s="525">
        <f t="shared" si="295"/>
        <v>0</v>
      </c>
      <c r="T384" s="34">
        <f t="shared" si="287"/>
        <v>0</v>
      </c>
      <c r="U384" s="163">
        <f>+ROUND(T384*H384,2)</f>
        <v>0</v>
      </c>
      <c r="V384" s="173">
        <f t="shared" si="303"/>
        <v>0</v>
      </c>
      <c r="W384" s="164"/>
      <c r="X384" s="128" t="s">
        <v>1004</v>
      </c>
      <c r="Y384" s="37">
        <f>+ROUND((O384)*(1+SUMIF($Y$2:$Y$4,X384,$Z$2:$Z$4)),0)</f>
        <v>0</v>
      </c>
      <c r="Z384" s="37">
        <f t="shared" si="300"/>
        <v>0</v>
      </c>
      <c r="AA384" s="166"/>
      <c r="AB384" s="38"/>
      <c r="AC384" s="38"/>
    </row>
    <row r="385" spans="1:29" ht="24" hidden="1" outlineLevel="2" x14ac:dyDescent="0.25">
      <c r="A385" s="158" t="s">
        <v>1019</v>
      </c>
      <c r="B385" s="187" t="str">
        <f t="shared" si="301"/>
        <v>3.4/6</v>
      </c>
      <c r="C385" s="168">
        <v>6.1</v>
      </c>
      <c r="D385" s="174" t="s">
        <v>1596</v>
      </c>
      <c r="E385" s="170" t="s">
        <v>1384</v>
      </c>
      <c r="F385" s="171"/>
      <c r="G385" s="171"/>
      <c r="H385" s="33">
        <f t="shared" si="233"/>
        <v>0</v>
      </c>
      <c r="I385" s="505"/>
      <c r="J385" s="505">
        <f t="shared" si="289"/>
        <v>0</v>
      </c>
      <c r="K385" s="499"/>
      <c r="L385" s="499">
        <f t="shared" si="290"/>
        <v>0</v>
      </c>
      <c r="M385" s="39">
        <f t="shared" si="291"/>
        <v>0</v>
      </c>
      <c r="N385" s="163">
        <f t="shared" si="240"/>
        <v>0</v>
      </c>
      <c r="O385" s="172">
        <f t="shared" si="302"/>
        <v>0</v>
      </c>
      <c r="P385" s="521"/>
      <c r="Q385" s="521">
        <f t="shared" si="294"/>
        <v>0</v>
      </c>
      <c r="R385" s="526"/>
      <c r="S385" s="526">
        <f t="shared" si="295"/>
        <v>0</v>
      </c>
      <c r="T385" s="39">
        <f t="shared" si="287"/>
        <v>0</v>
      </c>
      <c r="U385" s="163">
        <f>+ROUND(T385*H385,2)</f>
        <v>0</v>
      </c>
      <c r="V385" s="173">
        <f t="shared" si="303"/>
        <v>0</v>
      </c>
      <c r="W385" s="164"/>
      <c r="X385" s="128" t="s">
        <v>1004</v>
      </c>
      <c r="Y385" s="37">
        <f>+ROUND((O385)*(1+SUMIF($Y$2:$Y$4,X385,$Z$2:$Z$4)),0)</f>
        <v>0</v>
      </c>
      <c r="Z385" s="37">
        <f t="shared" si="300"/>
        <v>0</v>
      </c>
      <c r="AA385" s="166"/>
      <c r="AB385" s="38"/>
      <c r="AC385" s="38"/>
    </row>
    <row r="386" spans="1:29" hidden="1" outlineLevel="2" x14ac:dyDescent="0.25">
      <c r="A386" s="158" t="s">
        <v>1019</v>
      </c>
      <c r="B386" s="187" t="str">
        <f t="shared" si="301"/>
        <v>3.4/6</v>
      </c>
      <c r="C386" s="248" t="s">
        <v>1535</v>
      </c>
      <c r="D386" s="174" t="s">
        <v>1597</v>
      </c>
      <c r="E386" s="170" t="s">
        <v>1384</v>
      </c>
      <c r="F386" s="40"/>
      <c r="G386" s="40"/>
      <c r="H386" s="33">
        <f t="shared" si="233"/>
        <v>0</v>
      </c>
      <c r="I386" s="504"/>
      <c r="J386" s="504">
        <f t="shared" si="289"/>
        <v>0</v>
      </c>
      <c r="K386" s="498"/>
      <c r="L386" s="498">
        <f t="shared" si="290"/>
        <v>0</v>
      </c>
      <c r="M386" s="34">
        <f t="shared" si="291"/>
        <v>0</v>
      </c>
      <c r="N386" s="163">
        <f t="shared" si="240"/>
        <v>0</v>
      </c>
      <c r="O386" s="172">
        <f t="shared" si="302"/>
        <v>0</v>
      </c>
      <c r="P386" s="520"/>
      <c r="Q386" s="520">
        <f t="shared" si="294"/>
        <v>0</v>
      </c>
      <c r="R386" s="525"/>
      <c r="S386" s="525">
        <f t="shared" si="295"/>
        <v>0</v>
      </c>
      <c r="T386" s="34">
        <f t="shared" si="287"/>
        <v>0</v>
      </c>
      <c r="U386" s="163">
        <f>+ROUND(T386*H386,2)</f>
        <v>0</v>
      </c>
      <c r="V386" s="173">
        <f t="shared" si="303"/>
        <v>0</v>
      </c>
      <c r="W386" s="164"/>
      <c r="X386" s="128" t="s">
        <v>1004</v>
      </c>
      <c r="Y386" s="37">
        <f>+ROUND((O386)*(1+SUMIF($Y$2:$Y$4,X386,$Z$2:$Z$4)),0)</f>
        <v>0</v>
      </c>
      <c r="Z386" s="37">
        <f t="shared" si="300"/>
        <v>0</v>
      </c>
      <c r="AA386" s="166"/>
      <c r="AB386" s="38"/>
      <c r="AC386" s="38"/>
    </row>
    <row r="387" spans="1:29" hidden="1" outlineLevel="2" x14ac:dyDescent="0.25">
      <c r="A387" s="158" t="s">
        <v>1019</v>
      </c>
      <c r="B387" s="159" t="str">
        <f>+B386</f>
        <v>3.4/6</v>
      </c>
      <c r="C387" s="248" t="s">
        <v>1536</v>
      </c>
      <c r="D387" s="174" t="s">
        <v>1597</v>
      </c>
      <c r="E387" s="170" t="s">
        <v>1384</v>
      </c>
      <c r="F387" s="40"/>
      <c r="G387" s="40"/>
      <c r="H387" s="33">
        <f t="shared" si="233"/>
        <v>0</v>
      </c>
      <c r="I387" s="504"/>
      <c r="J387" s="504">
        <f t="shared" si="289"/>
        <v>0</v>
      </c>
      <c r="K387" s="498"/>
      <c r="L387" s="498">
        <f t="shared" si="290"/>
        <v>0</v>
      </c>
      <c r="M387" s="34">
        <f t="shared" si="291"/>
        <v>0</v>
      </c>
      <c r="N387" s="163">
        <f t="shared" si="240"/>
        <v>0</v>
      </c>
      <c r="O387" s="172">
        <f t="shared" si="302"/>
        <v>0</v>
      </c>
      <c r="P387" s="520"/>
      <c r="Q387" s="520">
        <f t="shared" si="294"/>
        <v>0</v>
      </c>
      <c r="R387" s="525"/>
      <c r="S387" s="525">
        <f t="shared" si="295"/>
        <v>0</v>
      </c>
      <c r="T387" s="34">
        <f t="shared" si="287"/>
        <v>0</v>
      </c>
      <c r="U387" s="163">
        <f>+ROUND(T387*H387,2)</f>
        <v>0</v>
      </c>
      <c r="V387" s="173">
        <f t="shared" si="303"/>
        <v>0</v>
      </c>
      <c r="W387" s="164"/>
      <c r="X387" s="128" t="s">
        <v>1004</v>
      </c>
      <c r="Y387" s="37">
        <f>+ROUND((O387)*(1+SUMIF($Y$2:$Y$4,X387,$Z$2:$Z$4)),0)</f>
        <v>0</v>
      </c>
      <c r="Z387" s="37">
        <f t="shared" si="300"/>
        <v>0</v>
      </c>
      <c r="AA387" s="166"/>
      <c r="AB387" s="38"/>
      <c r="AC387" s="38"/>
    </row>
    <row r="388" spans="1:29" hidden="1" outlineLevel="1" x14ac:dyDescent="0.25">
      <c r="A388" s="506" t="s">
        <v>1022</v>
      </c>
      <c r="B388" s="512" t="str">
        <f>+B387</f>
        <v>3.4/6</v>
      </c>
      <c r="C388" s="508"/>
      <c r="D388" s="509" t="s">
        <v>1023</v>
      </c>
      <c r="E388" s="510"/>
      <c r="F388" s="511"/>
      <c r="G388" s="511"/>
      <c r="H388" s="512">
        <f t="shared" si="233"/>
        <v>0</v>
      </c>
      <c r="I388" s="512"/>
      <c r="J388" s="512">
        <f t="shared" si="289"/>
        <v>0</v>
      </c>
      <c r="K388" s="512"/>
      <c r="L388" s="512">
        <f t="shared" si="290"/>
        <v>0</v>
      </c>
      <c r="M388" s="512">
        <f t="shared" si="291"/>
        <v>0</v>
      </c>
      <c r="N388" s="513">
        <f>SUM(N376:N387)</f>
        <v>0</v>
      </c>
      <c r="O388" s="513">
        <f>SUM(O376:O387)</f>
        <v>0</v>
      </c>
      <c r="P388" s="512"/>
      <c r="Q388" s="512">
        <f t="shared" si="294"/>
        <v>0</v>
      </c>
      <c r="R388" s="512"/>
      <c r="S388" s="512">
        <f t="shared" si="295"/>
        <v>0</v>
      </c>
      <c r="T388" s="512">
        <f t="shared" si="287"/>
        <v>0</v>
      </c>
      <c r="U388" s="513">
        <f>SUM(U376:U387)</f>
        <v>0</v>
      </c>
      <c r="V388" s="513">
        <f>SUM(V376:V387)</f>
        <v>0</v>
      </c>
      <c r="W388" s="507"/>
      <c r="X388" s="514" t="s">
        <v>1004</v>
      </c>
      <c r="Y388" s="513">
        <f>SUM(Y376:Y387)</f>
        <v>0</v>
      </c>
      <c r="Z388" s="513">
        <f>SUM(Z376:Z387)</f>
        <v>0</v>
      </c>
      <c r="AA388" s="166"/>
      <c r="AB388" s="38"/>
      <c r="AC388" s="38"/>
    </row>
    <row r="389" spans="1:29" hidden="1" outlineLevel="1" x14ac:dyDescent="0.25">
      <c r="A389" s="551" t="s">
        <v>1022</v>
      </c>
      <c r="B389" s="560" t="s">
        <v>339</v>
      </c>
      <c r="C389" s="553"/>
      <c r="D389" s="564" t="s">
        <v>1024</v>
      </c>
      <c r="E389" s="555"/>
      <c r="F389" s="556"/>
      <c r="G389" s="556"/>
      <c r="H389" s="558">
        <f t="shared" si="233"/>
        <v>0</v>
      </c>
      <c r="I389" s="558"/>
      <c r="J389" s="558">
        <f t="shared" si="289"/>
        <v>0</v>
      </c>
      <c r="K389" s="558"/>
      <c r="L389" s="558">
        <f t="shared" si="290"/>
        <v>0</v>
      </c>
      <c r="M389" s="558">
        <f t="shared" si="291"/>
        <v>0</v>
      </c>
      <c r="N389" s="558">
        <f t="shared" si="240"/>
        <v>0</v>
      </c>
      <c r="O389" s="559"/>
      <c r="P389" s="558"/>
      <c r="Q389" s="558">
        <f t="shared" si="294"/>
        <v>0</v>
      </c>
      <c r="R389" s="558"/>
      <c r="S389" s="558">
        <f t="shared" si="295"/>
        <v>0</v>
      </c>
      <c r="T389" s="558">
        <f t="shared" si="287"/>
        <v>0</v>
      </c>
      <c r="U389" s="558">
        <f>+ROUND(T389*H389,2)</f>
        <v>0</v>
      </c>
      <c r="V389" s="559"/>
      <c r="W389" s="560"/>
      <c r="X389" s="458" t="s">
        <v>1004</v>
      </c>
      <c r="Y389" s="561">
        <f>+ROUND((O389)*(1+SUMIF($Y$2:$Y$4,X389,$Z$2:$Z$4)),0)</f>
        <v>0</v>
      </c>
      <c r="Z389" s="561">
        <f t="shared" ref="Z389:Z395" si="304">+ROUND((V389)*(1+SUMIF($Y$2:$Y$4,X389,$Z$2:$Z$4)),0)</f>
        <v>0</v>
      </c>
      <c r="AA389" s="166"/>
      <c r="AB389" s="38"/>
      <c r="AC389" s="38"/>
    </row>
    <row r="390" spans="1:29" hidden="1" outlineLevel="1" x14ac:dyDescent="0.25">
      <c r="A390" s="562" t="s">
        <v>1022</v>
      </c>
      <c r="B390" s="560" t="str">
        <f t="shared" ref="B390:B398" si="305">+B389</f>
        <v>3.4/7</v>
      </c>
      <c r="C390" s="553"/>
      <c r="D390" s="555"/>
      <c r="E390" s="555"/>
      <c r="F390" s="556"/>
      <c r="G390" s="556"/>
      <c r="H390" s="558">
        <f t="shared" si="233"/>
        <v>0</v>
      </c>
      <c r="I390" s="558"/>
      <c r="J390" s="558">
        <f t="shared" si="289"/>
        <v>0</v>
      </c>
      <c r="K390" s="558"/>
      <c r="L390" s="558">
        <f t="shared" si="290"/>
        <v>0</v>
      </c>
      <c r="M390" s="558">
        <f t="shared" si="291"/>
        <v>0</v>
      </c>
      <c r="N390" s="558">
        <f t="shared" si="240"/>
        <v>0</v>
      </c>
      <c r="O390" s="559"/>
      <c r="P390" s="558"/>
      <c r="Q390" s="558">
        <f t="shared" si="294"/>
        <v>0</v>
      </c>
      <c r="R390" s="558"/>
      <c r="S390" s="558">
        <f t="shared" si="295"/>
        <v>0</v>
      </c>
      <c r="T390" s="558">
        <f t="shared" si="287"/>
        <v>0</v>
      </c>
      <c r="U390" s="558">
        <f>+ROUND(T390*H390,2)</f>
        <v>0</v>
      </c>
      <c r="V390" s="559"/>
      <c r="W390" s="560"/>
      <c r="X390" s="458" t="s">
        <v>1004</v>
      </c>
      <c r="Y390" s="561">
        <f>+ROUND((O390)*(1+SUMIF($Y$2:$Y$4,X390,$Z$2:$Z$4)),0)</f>
        <v>0</v>
      </c>
      <c r="Z390" s="561">
        <f t="shared" si="304"/>
        <v>0</v>
      </c>
      <c r="AA390" s="166"/>
      <c r="AB390" s="38"/>
      <c r="AC390" s="38"/>
    </row>
    <row r="391" spans="1:29" hidden="1" outlineLevel="1" x14ac:dyDescent="0.25">
      <c r="A391" s="551" t="s">
        <v>1022</v>
      </c>
      <c r="B391" s="560" t="str">
        <f t="shared" si="305"/>
        <v>3.4/7</v>
      </c>
      <c r="C391" s="553"/>
      <c r="D391" s="555" t="s">
        <v>1869</v>
      </c>
      <c r="E391" s="555"/>
      <c r="F391" s="556"/>
      <c r="G391" s="556"/>
      <c r="H391" s="558">
        <f t="shared" si="233"/>
        <v>0</v>
      </c>
      <c r="I391" s="558"/>
      <c r="J391" s="558">
        <f t="shared" si="289"/>
        <v>0</v>
      </c>
      <c r="K391" s="558"/>
      <c r="L391" s="558">
        <f t="shared" si="290"/>
        <v>0</v>
      </c>
      <c r="M391" s="558">
        <f t="shared" si="291"/>
        <v>0</v>
      </c>
      <c r="N391" s="558">
        <f>N314</f>
        <v>0</v>
      </c>
      <c r="O391" s="563">
        <f>O314</f>
        <v>0</v>
      </c>
      <c r="P391" s="558"/>
      <c r="Q391" s="558">
        <f t="shared" si="294"/>
        <v>0</v>
      </c>
      <c r="R391" s="558"/>
      <c r="S391" s="558">
        <f t="shared" si="295"/>
        <v>0</v>
      </c>
      <c r="T391" s="558">
        <f t="shared" si="287"/>
        <v>0</v>
      </c>
      <c r="U391" s="558">
        <f>U314</f>
        <v>0</v>
      </c>
      <c r="V391" s="563">
        <f>V314</f>
        <v>0</v>
      </c>
      <c r="W391" s="560"/>
      <c r="X391" s="458" t="s">
        <v>1004</v>
      </c>
      <c r="Y391" s="561">
        <f>+ROUND((O391)*(1+SUMIF($Y$2:$Y$4,X391,$Z$2:$Z$4)),0)</f>
        <v>0</v>
      </c>
      <c r="Z391" s="561">
        <f t="shared" si="304"/>
        <v>0</v>
      </c>
      <c r="AA391" s="166"/>
      <c r="AB391" s="38"/>
      <c r="AC391" s="38"/>
    </row>
    <row r="392" spans="1:29" hidden="1" outlineLevel="1" x14ac:dyDescent="0.25">
      <c r="A392" s="551" t="s">
        <v>1022</v>
      </c>
      <c r="B392" s="560" t="str">
        <f t="shared" si="305"/>
        <v>3.4/7</v>
      </c>
      <c r="C392" s="553"/>
      <c r="D392" s="555" t="s">
        <v>1870</v>
      </c>
      <c r="E392" s="555"/>
      <c r="F392" s="556"/>
      <c r="G392" s="556"/>
      <c r="H392" s="558">
        <f t="shared" si="233"/>
        <v>0</v>
      </c>
      <c r="I392" s="558"/>
      <c r="J392" s="558">
        <f t="shared" si="289"/>
        <v>0</v>
      </c>
      <c r="K392" s="558"/>
      <c r="L392" s="558">
        <f t="shared" si="290"/>
        <v>0</v>
      </c>
      <c r="M392" s="558">
        <f t="shared" si="291"/>
        <v>0</v>
      </c>
      <c r="N392" s="558">
        <f>N333</f>
        <v>0</v>
      </c>
      <c r="O392" s="563">
        <f>O333</f>
        <v>0</v>
      </c>
      <c r="P392" s="558"/>
      <c r="Q392" s="558">
        <f t="shared" si="294"/>
        <v>0</v>
      </c>
      <c r="R392" s="558"/>
      <c r="S392" s="558">
        <f t="shared" si="295"/>
        <v>0</v>
      </c>
      <c r="T392" s="558">
        <f t="shared" si="287"/>
        <v>0</v>
      </c>
      <c r="U392" s="558">
        <f>U333</f>
        <v>0</v>
      </c>
      <c r="V392" s="563">
        <f>V333</f>
        <v>0</v>
      </c>
      <c r="W392" s="560"/>
      <c r="X392" s="458" t="s">
        <v>1004</v>
      </c>
      <c r="Y392" s="561">
        <f>+ROUND((O392)*(1+SUMIF($Y$2:$Y$4,X392,$Z$2:$Z$4)),0)</f>
        <v>0</v>
      </c>
      <c r="Z392" s="561">
        <f t="shared" si="304"/>
        <v>0</v>
      </c>
      <c r="AA392" s="166"/>
      <c r="AB392" s="38"/>
      <c r="AC392" s="38"/>
    </row>
    <row r="393" spans="1:29" hidden="1" outlineLevel="1" x14ac:dyDescent="0.25">
      <c r="A393" s="551" t="s">
        <v>1022</v>
      </c>
      <c r="B393" s="560" t="str">
        <f t="shared" si="305"/>
        <v>3.4/7</v>
      </c>
      <c r="C393" s="553"/>
      <c r="D393" s="555" t="s">
        <v>1871</v>
      </c>
      <c r="E393" s="555"/>
      <c r="F393" s="556"/>
      <c r="G393" s="556"/>
      <c r="H393" s="558">
        <f t="shared" si="233"/>
        <v>0</v>
      </c>
      <c r="I393" s="558"/>
      <c r="J393" s="558">
        <f t="shared" si="289"/>
        <v>0</v>
      </c>
      <c r="K393" s="558"/>
      <c r="L393" s="558">
        <f t="shared" si="290"/>
        <v>0</v>
      </c>
      <c r="M393" s="558">
        <f t="shared" si="291"/>
        <v>0</v>
      </c>
      <c r="N393" s="558">
        <f>N349</f>
        <v>0</v>
      </c>
      <c r="O393" s="563">
        <f>O349</f>
        <v>0</v>
      </c>
      <c r="P393" s="558"/>
      <c r="Q393" s="558">
        <f t="shared" si="294"/>
        <v>0</v>
      </c>
      <c r="R393" s="558"/>
      <c r="S393" s="558">
        <f t="shared" si="295"/>
        <v>0</v>
      </c>
      <c r="T393" s="558">
        <f t="shared" si="287"/>
        <v>0</v>
      </c>
      <c r="U393" s="558">
        <f>U349</f>
        <v>0</v>
      </c>
      <c r="V393" s="563">
        <f>V349</f>
        <v>0</v>
      </c>
      <c r="W393" s="560"/>
      <c r="X393" s="458" t="s">
        <v>1004</v>
      </c>
      <c r="Y393" s="561">
        <f>+ROUND((O393)*(1+SUMIF($Y$2:$Y$4,X393,$Z$2:$Z$4)),0)</f>
        <v>0</v>
      </c>
      <c r="Z393" s="561">
        <f t="shared" si="304"/>
        <v>0</v>
      </c>
      <c r="AA393" s="166"/>
      <c r="AB393" s="38"/>
      <c r="AC393" s="38"/>
    </row>
    <row r="394" spans="1:29" hidden="1" outlineLevel="1" x14ac:dyDescent="0.25">
      <c r="A394" s="551" t="s">
        <v>1022</v>
      </c>
      <c r="B394" s="560" t="str">
        <f t="shared" si="305"/>
        <v>3.4/7</v>
      </c>
      <c r="C394" s="553"/>
      <c r="D394" s="555" t="s">
        <v>1872</v>
      </c>
      <c r="E394" s="555"/>
      <c r="F394" s="556"/>
      <c r="G394" s="556"/>
      <c r="H394" s="558">
        <f t="shared" si="233"/>
        <v>0</v>
      </c>
      <c r="I394" s="558"/>
      <c r="J394" s="558">
        <f t="shared" si="289"/>
        <v>0</v>
      </c>
      <c r="K394" s="558"/>
      <c r="L394" s="558">
        <f t="shared" si="290"/>
        <v>0</v>
      </c>
      <c r="M394" s="558">
        <f t="shared" si="291"/>
        <v>0</v>
      </c>
      <c r="N394" s="558">
        <f>N363</f>
        <v>0</v>
      </c>
      <c r="O394" s="563">
        <f>O363</f>
        <v>0</v>
      </c>
      <c r="P394" s="558"/>
      <c r="Q394" s="558">
        <f t="shared" si="294"/>
        <v>0</v>
      </c>
      <c r="R394" s="558"/>
      <c r="S394" s="558">
        <f t="shared" si="295"/>
        <v>0</v>
      </c>
      <c r="T394" s="558">
        <f t="shared" si="287"/>
        <v>0</v>
      </c>
      <c r="U394" s="558">
        <f>U363</f>
        <v>0</v>
      </c>
      <c r="V394" s="563">
        <f>V363</f>
        <v>0</v>
      </c>
      <c r="W394" s="560"/>
      <c r="X394" s="458" t="s">
        <v>1004</v>
      </c>
      <c r="Y394" s="561">
        <f>+ROUND((O394)*(1+SUMIF($Y$2:$Y$4,X394,$Z$2:$Z$4)),0)</f>
        <v>0</v>
      </c>
      <c r="Z394" s="561">
        <f t="shared" si="304"/>
        <v>0</v>
      </c>
      <c r="AA394" s="166"/>
      <c r="AB394" s="38"/>
      <c r="AC394" s="38"/>
    </row>
    <row r="395" spans="1:29" hidden="1" outlineLevel="1" x14ac:dyDescent="0.25">
      <c r="A395" s="551" t="s">
        <v>1022</v>
      </c>
      <c r="B395" s="560" t="str">
        <f t="shared" si="305"/>
        <v>3.4/7</v>
      </c>
      <c r="C395" s="553"/>
      <c r="D395" s="555" t="s">
        <v>1873</v>
      </c>
      <c r="E395" s="555"/>
      <c r="F395" s="556"/>
      <c r="G395" s="556"/>
      <c r="H395" s="558">
        <f t="shared" si="233"/>
        <v>0</v>
      </c>
      <c r="I395" s="558"/>
      <c r="J395" s="558">
        <f t="shared" si="289"/>
        <v>0</v>
      </c>
      <c r="K395" s="558"/>
      <c r="L395" s="558">
        <f t="shared" si="290"/>
        <v>0</v>
      </c>
      <c r="M395" s="558">
        <f t="shared" si="291"/>
        <v>0</v>
      </c>
      <c r="N395" s="558">
        <f>N375</f>
        <v>0</v>
      </c>
      <c r="O395" s="563">
        <f>O375</f>
        <v>0</v>
      </c>
      <c r="P395" s="558"/>
      <c r="Q395" s="558">
        <f t="shared" si="294"/>
        <v>0</v>
      </c>
      <c r="R395" s="558"/>
      <c r="S395" s="558">
        <f t="shared" si="295"/>
        <v>0</v>
      </c>
      <c r="T395" s="558">
        <f t="shared" si="287"/>
        <v>0</v>
      </c>
      <c r="U395" s="558">
        <f>U375</f>
        <v>0</v>
      </c>
      <c r="V395" s="563">
        <f>V375</f>
        <v>0</v>
      </c>
      <c r="W395" s="560"/>
      <c r="X395" s="458" t="s">
        <v>1004</v>
      </c>
      <c r="Y395" s="561">
        <f>+ROUND((O395)*(1+SUMIF($Y$2:$Y$4,X395,$Z$2:$Z$4)),0)</f>
        <v>0</v>
      </c>
      <c r="Z395" s="561">
        <f t="shared" si="304"/>
        <v>0</v>
      </c>
      <c r="AA395" s="166"/>
      <c r="AB395" s="38"/>
      <c r="AC395" s="38"/>
    </row>
    <row r="396" spans="1:29" hidden="1" outlineLevel="1" x14ac:dyDescent="0.25">
      <c r="A396" s="551" t="s">
        <v>1022</v>
      </c>
      <c r="B396" s="560" t="str">
        <f t="shared" si="305"/>
        <v>3.4/7</v>
      </c>
      <c r="C396" s="553"/>
      <c r="D396" s="555" t="s">
        <v>1874</v>
      </c>
      <c r="E396" s="555"/>
      <c r="F396" s="556"/>
      <c r="G396" s="556"/>
      <c r="H396" s="558">
        <f t="shared" si="233"/>
        <v>0</v>
      </c>
      <c r="I396" s="558"/>
      <c r="J396" s="558">
        <f t="shared" si="289"/>
        <v>0</v>
      </c>
      <c r="K396" s="558"/>
      <c r="L396" s="558">
        <f t="shared" si="290"/>
        <v>0</v>
      </c>
      <c r="M396" s="558">
        <f t="shared" si="291"/>
        <v>0</v>
      </c>
      <c r="N396" s="558">
        <f>N388</f>
        <v>0</v>
      </c>
      <c r="O396" s="563">
        <f>O388</f>
        <v>0</v>
      </c>
      <c r="P396" s="558"/>
      <c r="Q396" s="558">
        <f t="shared" si="294"/>
        <v>0</v>
      </c>
      <c r="R396" s="558"/>
      <c r="S396" s="558">
        <f t="shared" si="295"/>
        <v>0</v>
      </c>
      <c r="T396" s="558">
        <f t="shared" si="287"/>
        <v>0</v>
      </c>
      <c r="U396" s="558">
        <f>U388</f>
        <v>0</v>
      </c>
      <c r="V396" s="563">
        <f>V388</f>
        <v>0</v>
      </c>
      <c r="W396" s="560"/>
      <c r="X396" s="458" t="s">
        <v>1004</v>
      </c>
      <c r="Y396" s="563">
        <f>SUM(Y378:Y387)</f>
        <v>0</v>
      </c>
      <c r="Z396" s="563">
        <f>SUM(Z378:Z387)</f>
        <v>0</v>
      </c>
      <c r="AA396" s="166"/>
      <c r="AB396" s="38"/>
      <c r="AC396" s="38"/>
    </row>
    <row r="397" spans="1:29" hidden="1" outlineLevel="1" x14ac:dyDescent="0.25">
      <c r="A397" s="551" t="s">
        <v>1022</v>
      </c>
      <c r="B397" s="560" t="str">
        <f t="shared" si="305"/>
        <v>3.4/7</v>
      </c>
      <c r="C397" s="553"/>
      <c r="D397" s="555"/>
      <c r="E397" s="555"/>
      <c r="F397" s="556"/>
      <c r="G397" s="556"/>
      <c r="H397" s="558">
        <f t="shared" si="233"/>
        <v>0</v>
      </c>
      <c r="I397" s="558"/>
      <c r="J397" s="558">
        <f t="shared" si="289"/>
        <v>0</v>
      </c>
      <c r="K397" s="558"/>
      <c r="L397" s="558">
        <f t="shared" si="290"/>
        <v>0</v>
      </c>
      <c r="M397" s="558">
        <f t="shared" si="291"/>
        <v>0</v>
      </c>
      <c r="N397" s="558">
        <f t="shared" si="240"/>
        <v>0</v>
      </c>
      <c r="O397" s="563"/>
      <c r="P397" s="558"/>
      <c r="Q397" s="558">
        <f t="shared" si="294"/>
        <v>0</v>
      </c>
      <c r="R397" s="558"/>
      <c r="S397" s="558">
        <f t="shared" si="295"/>
        <v>0</v>
      </c>
      <c r="T397" s="558">
        <f t="shared" si="287"/>
        <v>0</v>
      </c>
      <c r="U397" s="558">
        <f>+ROUND(T397*H397,2)</f>
        <v>0</v>
      </c>
      <c r="V397" s="563"/>
      <c r="W397" s="560"/>
      <c r="X397" s="458" t="s">
        <v>1004</v>
      </c>
      <c r="Y397" s="561">
        <f>+ROUND((O397)*(1+SUMIF($Y$2:$Y$4,X397,$Z$2:$Z$4)),0)</f>
        <v>0</v>
      </c>
      <c r="Z397" s="561">
        <f>+ROUND((V397)*(1+SUMIF($Y$2:$Y$4,X397,$Z$2:$Z$4)),0)</f>
        <v>0</v>
      </c>
      <c r="AA397" s="166"/>
      <c r="AB397" s="38"/>
      <c r="AC397" s="38"/>
    </row>
    <row r="398" spans="1:29" collapsed="1" x14ac:dyDescent="0.25">
      <c r="A398" s="506" t="s">
        <v>1022</v>
      </c>
      <c r="B398" s="512" t="str">
        <f t="shared" si="305"/>
        <v>3.4/7</v>
      </c>
      <c r="C398" s="508"/>
      <c r="D398" s="509" t="s">
        <v>1023</v>
      </c>
      <c r="E398" s="510"/>
      <c r="F398" s="511"/>
      <c r="G398" s="511"/>
      <c r="H398" s="512">
        <f t="shared" ref="H398:H399" si="306">+SUM(F398:G398)</f>
        <v>0</v>
      </c>
      <c r="I398" s="512"/>
      <c r="J398" s="512">
        <f t="shared" si="289"/>
        <v>0</v>
      </c>
      <c r="K398" s="512"/>
      <c r="L398" s="512">
        <f t="shared" si="290"/>
        <v>0</v>
      </c>
      <c r="M398" s="512">
        <f t="shared" si="291"/>
        <v>0</v>
      </c>
      <c r="N398" s="513">
        <f>SUM(N389:N397)</f>
        <v>0</v>
      </c>
      <c r="O398" s="513">
        <f>SUM(O389:O397)</f>
        <v>0</v>
      </c>
      <c r="P398" s="512"/>
      <c r="Q398" s="512">
        <f t="shared" si="294"/>
        <v>0</v>
      </c>
      <c r="R398" s="512"/>
      <c r="S398" s="512">
        <f t="shared" si="295"/>
        <v>0</v>
      </c>
      <c r="T398" s="512">
        <f t="shared" si="287"/>
        <v>0</v>
      </c>
      <c r="U398" s="512">
        <f>SUM(U389:U397)</f>
        <v>0</v>
      </c>
      <c r="V398" s="513">
        <f>SUM(V389:V397)</f>
        <v>0</v>
      </c>
      <c r="W398" s="507"/>
      <c r="X398" s="514" t="s">
        <v>1004</v>
      </c>
      <c r="Y398" s="513">
        <f>SUM(Y389:Y397)</f>
        <v>0</v>
      </c>
      <c r="Z398" s="513">
        <f>SUM(Z389:Z397)</f>
        <v>0</v>
      </c>
      <c r="AA398" s="166"/>
      <c r="AB398" s="38"/>
      <c r="AC398" s="38"/>
    </row>
    <row r="399" spans="1:29" x14ac:dyDescent="0.25">
      <c r="A399" s="158" t="s">
        <v>1264</v>
      </c>
      <c r="B399" s="159" t="s">
        <v>347</v>
      </c>
      <c r="C399" s="160"/>
      <c r="D399" s="162"/>
      <c r="E399" s="162"/>
      <c r="F399" s="40"/>
      <c r="G399" s="40"/>
      <c r="H399" s="33">
        <f t="shared" si="306"/>
        <v>0</v>
      </c>
      <c r="I399" s="504"/>
      <c r="J399" s="504">
        <f t="shared" si="289"/>
        <v>0</v>
      </c>
      <c r="K399" s="498"/>
      <c r="L399" s="498">
        <f t="shared" si="290"/>
        <v>0</v>
      </c>
      <c r="M399" s="34">
        <f t="shared" si="291"/>
        <v>0</v>
      </c>
      <c r="N399" s="34">
        <f t="shared" ref="N399" si="307">+ROUND(M399*H399,2)</f>
        <v>0</v>
      </c>
      <c r="O399" s="35"/>
      <c r="P399" s="520"/>
      <c r="Q399" s="520">
        <f t="shared" si="294"/>
        <v>0</v>
      </c>
      <c r="R399" s="525"/>
      <c r="S399" s="525">
        <f t="shared" si="295"/>
        <v>0</v>
      </c>
      <c r="T399" s="34">
        <f t="shared" si="287"/>
        <v>0</v>
      </c>
      <c r="U399" s="163">
        <f>+ROUND(T399*H399,2)</f>
        <v>0</v>
      </c>
      <c r="V399" s="36"/>
      <c r="W399" s="164"/>
      <c r="X399" s="128" t="s">
        <v>1004</v>
      </c>
      <c r="Y399" s="37">
        <f>+ROUND((O399)*(1+SUMIF($Y$2:$Y$4,X399,$Z$2:$Z$4)),0)</f>
        <v>0</v>
      </c>
      <c r="Z399" s="37">
        <f t="shared" ref="Z399:Z412" si="308">+ROUND((V399)*(1+SUMIF($Y$2:$Y$4,X399,$Z$2:$Z$4)),0)</f>
        <v>0</v>
      </c>
      <c r="AA399" s="166"/>
      <c r="AB399" s="38"/>
      <c r="AC399" s="38"/>
    </row>
    <row r="400" spans="1:29" x14ac:dyDescent="0.25">
      <c r="A400" s="158" t="s">
        <v>1264</v>
      </c>
      <c r="B400" s="159" t="str">
        <f>+B399</f>
        <v>3.5/1</v>
      </c>
      <c r="C400" s="160"/>
      <c r="D400" s="161" t="s">
        <v>1603</v>
      </c>
      <c r="E400" s="162"/>
      <c r="F400" s="40"/>
      <c r="G400" s="40"/>
      <c r="H400" s="33">
        <f t="shared" si="233"/>
        <v>0</v>
      </c>
      <c r="I400" s="504"/>
      <c r="J400" s="504">
        <f t="shared" si="289"/>
        <v>0</v>
      </c>
      <c r="K400" s="498"/>
      <c r="L400" s="498">
        <f t="shared" si="290"/>
        <v>0</v>
      </c>
      <c r="M400" s="34">
        <f t="shared" si="291"/>
        <v>0</v>
      </c>
      <c r="N400" s="163">
        <f t="shared" si="240"/>
        <v>0</v>
      </c>
      <c r="O400" s="172">
        <f t="shared" ref="O400:O408" si="309">N400</f>
        <v>0</v>
      </c>
      <c r="P400" s="520"/>
      <c r="Q400" s="520">
        <f t="shared" si="294"/>
        <v>0</v>
      </c>
      <c r="R400" s="525"/>
      <c r="S400" s="525">
        <f t="shared" si="295"/>
        <v>0</v>
      </c>
      <c r="T400" s="39">
        <f t="shared" si="287"/>
        <v>0</v>
      </c>
      <c r="U400" s="163">
        <f>+ROUND(T400*H400,2)</f>
        <v>0</v>
      </c>
      <c r="V400" s="173">
        <f t="shared" ref="V400:V408" si="310">U400</f>
        <v>0</v>
      </c>
      <c r="W400" s="164"/>
      <c r="X400" s="128" t="s">
        <v>1004</v>
      </c>
      <c r="Y400" s="37">
        <f>+ROUND((O400)*(1+SUMIF($Y$2:$Y$4,X400,$Z$2:$Z$4)),0)</f>
        <v>0</v>
      </c>
      <c r="Z400" s="37">
        <f t="shared" si="308"/>
        <v>0</v>
      </c>
      <c r="AA400" s="166"/>
      <c r="AB400" s="38"/>
      <c r="AC400" s="38"/>
    </row>
    <row r="401" spans="1:29" hidden="1" outlineLevel="1" x14ac:dyDescent="0.25">
      <c r="A401" s="158" t="s">
        <v>1264</v>
      </c>
      <c r="B401" s="187" t="str">
        <f>+B400</f>
        <v>3.5/1</v>
      </c>
      <c r="C401" s="250">
        <v>1</v>
      </c>
      <c r="D401" s="161" t="s">
        <v>1380</v>
      </c>
      <c r="E401" s="162"/>
      <c r="F401" s="40"/>
      <c r="G401" s="40"/>
      <c r="H401" s="33">
        <f t="shared" si="233"/>
        <v>0</v>
      </c>
      <c r="I401" s="504"/>
      <c r="J401" s="504">
        <f t="shared" si="289"/>
        <v>0</v>
      </c>
      <c r="K401" s="498"/>
      <c r="L401" s="498">
        <f t="shared" si="290"/>
        <v>0</v>
      </c>
      <c r="M401" s="34">
        <f t="shared" si="291"/>
        <v>0</v>
      </c>
      <c r="N401" s="163">
        <f t="shared" si="240"/>
        <v>0</v>
      </c>
      <c r="O401" s="172">
        <f t="shared" si="309"/>
        <v>0</v>
      </c>
      <c r="P401" s="520"/>
      <c r="Q401" s="520">
        <f t="shared" si="294"/>
        <v>0</v>
      </c>
      <c r="R401" s="525"/>
      <c r="S401" s="525">
        <f t="shared" si="295"/>
        <v>0</v>
      </c>
      <c r="T401" s="39">
        <f t="shared" si="287"/>
        <v>0</v>
      </c>
      <c r="U401" s="163">
        <f>+ROUND(T401*H401,2)</f>
        <v>0</v>
      </c>
      <c r="V401" s="173">
        <f t="shared" si="310"/>
        <v>0</v>
      </c>
      <c r="W401" s="164"/>
      <c r="X401" s="128" t="s">
        <v>1004</v>
      </c>
      <c r="Y401" s="37">
        <f>+ROUND((O401)*(1+SUMIF($Y$2:$Y$4,X401,$Z$2:$Z$4)),0)</f>
        <v>0</v>
      </c>
      <c r="Z401" s="37">
        <f t="shared" si="308"/>
        <v>0</v>
      </c>
      <c r="AA401" s="166"/>
      <c r="AB401" s="38"/>
      <c r="AC401" s="38"/>
    </row>
    <row r="402" spans="1:29" hidden="1" outlineLevel="2" x14ac:dyDescent="0.25">
      <c r="A402" s="158" t="s">
        <v>1264</v>
      </c>
      <c r="B402" s="187" t="str">
        <f t="shared" ref="B402:B443" si="311">+B401</f>
        <v>3.5/1</v>
      </c>
      <c r="C402" s="250">
        <v>1.1000000000000001</v>
      </c>
      <c r="D402" s="161" t="s">
        <v>1381</v>
      </c>
      <c r="E402" s="162"/>
      <c r="F402" s="40"/>
      <c r="G402" s="40"/>
      <c r="H402" s="33">
        <f t="shared" si="233"/>
        <v>0</v>
      </c>
      <c r="I402" s="504"/>
      <c r="J402" s="504">
        <f t="shared" si="289"/>
        <v>0</v>
      </c>
      <c r="K402" s="498"/>
      <c r="L402" s="498">
        <f t="shared" si="290"/>
        <v>0</v>
      </c>
      <c r="M402" s="34">
        <f t="shared" si="291"/>
        <v>0</v>
      </c>
      <c r="N402" s="163">
        <f t="shared" si="240"/>
        <v>0</v>
      </c>
      <c r="O402" s="172">
        <f t="shared" si="309"/>
        <v>0</v>
      </c>
      <c r="P402" s="520"/>
      <c r="Q402" s="520">
        <f t="shared" si="294"/>
        <v>0</v>
      </c>
      <c r="R402" s="525"/>
      <c r="S402" s="525">
        <f t="shared" si="295"/>
        <v>0</v>
      </c>
      <c r="T402" s="39">
        <f t="shared" si="287"/>
        <v>0</v>
      </c>
      <c r="U402" s="163">
        <f>+ROUND(T402*H402,2)</f>
        <v>0</v>
      </c>
      <c r="V402" s="173">
        <f t="shared" si="310"/>
        <v>0</v>
      </c>
      <c r="W402" s="164"/>
      <c r="X402" s="128" t="s">
        <v>1004</v>
      </c>
      <c r="Y402" s="37">
        <f>+ROUND((O402)*(1+SUMIF($Y$2:$Y$4,X402,$Z$2:$Z$4)),0)</f>
        <v>0</v>
      </c>
      <c r="Z402" s="37">
        <f t="shared" si="308"/>
        <v>0</v>
      </c>
      <c r="AA402" s="166"/>
      <c r="AB402" s="38"/>
      <c r="AC402" s="38"/>
    </row>
    <row r="403" spans="1:29" hidden="1" outlineLevel="2" x14ac:dyDescent="0.25">
      <c r="A403" s="158" t="s">
        <v>1264</v>
      </c>
      <c r="B403" s="187" t="str">
        <f t="shared" si="311"/>
        <v>3.5/1</v>
      </c>
      <c r="C403" s="168" t="s">
        <v>1382</v>
      </c>
      <c r="D403" s="169" t="s">
        <v>1383</v>
      </c>
      <c r="E403" s="170" t="s">
        <v>1384</v>
      </c>
      <c r="F403" s="171"/>
      <c r="G403" s="171"/>
      <c r="H403" s="33">
        <f t="shared" si="233"/>
        <v>0</v>
      </c>
      <c r="I403" s="505"/>
      <c r="J403" s="505">
        <f t="shared" si="289"/>
        <v>0</v>
      </c>
      <c r="K403" s="499"/>
      <c r="L403" s="499">
        <f t="shared" si="290"/>
        <v>0</v>
      </c>
      <c r="M403" s="39">
        <f t="shared" si="291"/>
        <v>0</v>
      </c>
      <c r="N403" s="163">
        <f t="shared" si="240"/>
        <v>0</v>
      </c>
      <c r="O403" s="172">
        <f>N403</f>
        <v>0</v>
      </c>
      <c r="P403" s="521"/>
      <c r="Q403" s="521">
        <f t="shared" si="294"/>
        <v>0</v>
      </c>
      <c r="R403" s="526"/>
      <c r="S403" s="526">
        <f t="shared" si="295"/>
        <v>0</v>
      </c>
      <c r="T403" s="39">
        <f t="shared" si="287"/>
        <v>0</v>
      </c>
      <c r="U403" s="163">
        <f>+ROUND(T403*H403,2)</f>
        <v>0</v>
      </c>
      <c r="V403" s="173">
        <f>U403</f>
        <v>0</v>
      </c>
      <c r="W403" s="164"/>
      <c r="X403" s="128" t="s">
        <v>1004</v>
      </c>
      <c r="Y403" s="37">
        <f>+ROUND((O403)*(1+SUMIF($Y$2:$Y$4,X403,$Z$2:$Z$4)),0)</f>
        <v>0</v>
      </c>
      <c r="Z403" s="37">
        <f t="shared" si="308"/>
        <v>0</v>
      </c>
      <c r="AA403" s="166"/>
      <c r="AB403" s="38"/>
      <c r="AC403" s="38"/>
    </row>
    <row r="404" spans="1:29" hidden="1" outlineLevel="2" x14ac:dyDescent="0.25">
      <c r="A404" s="158" t="s">
        <v>1093</v>
      </c>
      <c r="B404" s="187" t="str">
        <f t="shared" si="311"/>
        <v>3.5/1</v>
      </c>
      <c r="C404" s="168" t="s">
        <v>1385</v>
      </c>
      <c r="D404" s="169" t="s">
        <v>1386</v>
      </c>
      <c r="E404" s="170" t="s">
        <v>1384</v>
      </c>
      <c r="F404" s="171"/>
      <c r="G404" s="171"/>
      <c r="H404" s="33">
        <f t="shared" ref="H404:H484" si="312">+SUM(F404:G404)</f>
        <v>0</v>
      </c>
      <c r="I404" s="505"/>
      <c r="J404" s="505">
        <f t="shared" si="289"/>
        <v>0</v>
      </c>
      <c r="K404" s="499"/>
      <c r="L404" s="499">
        <f t="shared" si="290"/>
        <v>0</v>
      </c>
      <c r="M404" s="39">
        <f t="shared" si="291"/>
        <v>0</v>
      </c>
      <c r="N404" s="163">
        <f t="shared" ref="N404:N484" si="313">+ROUND(M404*H404,2)</f>
        <v>0</v>
      </c>
      <c r="O404" s="172">
        <f t="shared" si="309"/>
        <v>0</v>
      </c>
      <c r="P404" s="521"/>
      <c r="Q404" s="521">
        <f t="shared" si="294"/>
        <v>0</v>
      </c>
      <c r="R404" s="526"/>
      <c r="S404" s="526">
        <f t="shared" si="295"/>
        <v>0</v>
      </c>
      <c r="T404" s="39">
        <f t="shared" si="287"/>
        <v>0</v>
      </c>
      <c r="U404" s="163">
        <f>+ROUND(T404*H404,2)</f>
        <v>0</v>
      </c>
      <c r="V404" s="173">
        <f t="shared" si="310"/>
        <v>0</v>
      </c>
      <c r="W404" s="164"/>
      <c r="X404" s="128" t="s">
        <v>1004</v>
      </c>
      <c r="Y404" s="37">
        <f>+ROUND((O404)*(1+SUMIF($Y$2:$Y$4,X404,$Z$2:$Z$4)),0)</f>
        <v>0</v>
      </c>
      <c r="Z404" s="37">
        <f t="shared" si="308"/>
        <v>0</v>
      </c>
      <c r="AA404" s="166"/>
      <c r="AB404" s="38"/>
      <c r="AC404" s="38"/>
    </row>
    <row r="405" spans="1:29" hidden="1" outlineLevel="2" x14ac:dyDescent="0.25">
      <c r="A405" s="158" t="s">
        <v>1073</v>
      </c>
      <c r="B405" s="187" t="str">
        <f t="shared" si="311"/>
        <v>3.5/1</v>
      </c>
      <c r="C405" s="168" t="s">
        <v>1387</v>
      </c>
      <c r="D405" s="169" t="s">
        <v>1388</v>
      </c>
      <c r="E405" s="170" t="s">
        <v>1384</v>
      </c>
      <c r="F405" s="171"/>
      <c r="G405" s="171"/>
      <c r="H405" s="33">
        <f t="shared" si="312"/>
        <v>0</v>
      </c>
      <c r="I405" s="505"/>
      <c r="J405" s="505">
        <f t="shared" si="289"/>
        <v>0</v>
      </c>
      <c r="K405" s="499"/>
      <c r="L405" s="499">
        <f t="shared" si="290"/>
        <v>0</v>
      </c>
      <c r="M405" s="39">
        <f t="shared" si="291"/>
        <v>0</v>
      </c>
      <c r="N405" s="163">
        <f t="shared" si="313"/>
        <v>0</v>
      </c>
      <c r="O405" s="172">
        <f t="shared" si="309"/>
        <v>0</v>
      </c>
      <c r="P405" s="521"/>
      <c r="Q405" s="521">
        <f t="shared" si="294"/>
        <v>0</v>
      </c>
      <c r="R405" s="526"/>
      <c r="S405" s="526">
        <f t="shared" si="295"/>
        <v>0</v>
      </c>
      <c r="T405" s="39">
        <f t="shared" si="287"/>
        <v>0</v>
      </c>
      <c r="U405" s="163">
        <f>+ROUND(T405*H405,2)</f>
        <v>0</v>
      </c>
      <c r="V405" s="173">
        <f t="shared" si="310"/>
        <v>0</v>
      </c>
      <c r="W405" s="164"/>
      <c r="X405" s="128" t="s">
        <v>1004</v>
      </c>
      <c r="Y405" s="37">
        <f>+ROUND((O405)*(1+SUMIF($Y$2:$Y$4,X405,$Z$2:$Z$4)),0)</f>
        <v>0</v>
      </c>
      <c r="Z405" s="37">
        <f t="shared" si="308"/>
        <v>0</v>
      </c>
      <c r="AA405" s="166"/>
      <c r="AB405" s="38"/>
      <c r="AC405" s="38"/>
    </row>
    <row r="406" spans="1:29" hidden="1" outlineLevel="2" x14ac:dyDescent="0.25">
      <c r="A406" s="158" t="s">
        <v>1095</v>
      </c>
      <c r="B406" s="187" t="str">
        <f t="shared" si="311"/>
        <v>3.5/1</v>
      </c>
      <c r="C406" s="250">
        <v>1.2</v>
      </c>
      <c r="D406" s="161" t="s">
        <v>1389</v>
      </c>
      <c r="E406" s="162"/>
      <c r="F406" s="40"/>
      <c r="G406" s="40"/>
      <c r="H406" s="33">
        <f t="shared" si="312"/>
        <v>0</v>
      </c>
      <c r="I406" s="504"/>
      <c r="J406" s="504">
        <f t="shared" si="289"/>
        <v>0</v>
      </c>
      <c r="K406" s="498"/>
      <c r="L406" s="498">
        <f t="shared" si="290"/>
        <v>0</v>
      </c>
      <c r="M406" s="34">
        <f t="shared" si="291"/>
        <v>0</v>
      </c>
      <c r="N406" s="163">
        <f t="shared" si="313"/>
        <v>0</v>
      </c>
      <c r="O406" s="172">
        <f t="shared" si="309"/>
        <v>0</v>
      </c>
      <c r="P406" s="520"/>
      <c r="Q406" s="520">
        <f t="shared" si="294"/>
        <v>0</v>
      </c>
      <c r="R406" s="525"/>
      <c r="S406" s="525">
        <f t="shared" si="295"/>
        <v>0</v>
      </c>
      <c r="T406" s="39">
        <f t="shared" si="287"/>
        <v>0</v>
      </c>
      <c r="U406" s="163">
        <f>+ROUND(T406*H406,2)</f>
        <v>0</v>
      </c>
      <c r="V406" s="173">
        <f t="shared" si="310"/>
        <v>0</v>
      </c>
      <c r="W406" s="164"/>
      <c r="X406" s="128" t="s">
        <v>1004</v>
      </c>
      <c r="Y406" s="37">
        <f>+ROUND((O406)*(1+SUMIF($Y$2:$Y$4,X406,$Z$2:$Z$4)),0)</f>
        <v>0</v>
      </c>
      <c r="Z406" s="37">
        <f t="shared" si="308"/>
        <v>0</v>
      </c>
      <c r="AA406" s="166"/>
      <c r="AB406" s="38"/>
      <c r="AC406" s="38"/>
    </row>
    <row r="407" spans="1:29" hidden="1" outlineLevel="2" x14ac:dyDescent="0.25">
      <c r="A407" s="158" t="s">
        <v>1095</v>
      </c>
      <c r="B407" s="187" t="str">
        <f t="shared" si="311"/>
        <v>3.5/1</v>
      </c>
      <c r="C407" s="168" t="s">
        <v>1390</v>
      </c>
      <c r="D407" s="169" t="s">
        <v>1391</v>
      </c>
      <c r="E407" s="170" t="s">
        <v>1384</v>
      </c>
      <c r="F407" s="171"/>
      <c r="G407" s="171"/>
      <c r="H407" s="33">
        <f t="shared" si="312"/>
        <v>0</v>
      </c>
      <c r="I407" s="505"/>
      <c r="J407" s="505">
        <f t="shared" si="289"/>
        <v>0</v>
      </c>
      <c r="K407" s="499"/>
      <c r="L407" s="499">
        <f t="shared" si="290"/>
        <v>0</v>
      </c>
      <c r="M407" s="39">
        <f t="shared" si="291"/>
        <v>0</v>
      </c>
      <c r="N407" s="163">
        <f t="shared" si="313"/>
        <v>0</v>
      </c>
      <c r="O407" s="172">
        <f t="shared" si="309"/>
        <v>0</v>
      </c>
      <c r="P407" s="521"/>
      <c r="Q407" s="521">
        <f t="shared" si="294"/>
        <v>0</v>
      </c>
      <c r="R407" s="526"/>
      <c r="S407" s="526">
        <f t="shared" si="295"/>
        <v>0</v>
      </c>
      <c r="T407" s="39">
        <f t="shared" si="287"/>
        <v>0</v>
      </c>
      <c r="U407" s="163">
        <f>+ROUND(T407*H407,2)</f>
        <v>0</v>
      </c>
      <c r="V407" s="173">
        <f t="shared" si="310"/>
        <v>0</v>
      </c>
      <c r="W407" s="164"/>
      <c r="X407" s="128" t="s">
        <v>1004</v>
      </c>
      <c r="Y407" s="37">
        <f>+ROUND((O407)*(1+SUMIF($Y$2:$Y$4,X407,$Z$2:$Z$4)),0)</f>
        <v>0</v>
      </c>
      <c r="Z407" s="37">
        <f t="shared" si="308"/>
        <v>0</v>
      </c>
      <c r="AA407" s="166"/>
      <c r="AB407" s="38"/>
      <c r="AC407" s="38"/>
    </row>
    <row r="408" spans="1:29" hidden="1" outlineLevel="2" x14ac:dyDescent="0.25">
      <c r="A408" s="158" t="s">
        <v>1095</v>
      </c>
      <c r="B408" s="187" t="str">
        <f t="shared" si="311"/>
        <v>3.5/1</v>
      </c>
      <c r="C408" s="168" t="s">
        <v>1392</v>
      </c>
      <c r="D408" s="169" t="s">
        <v>1393</v>
      </c>
      <c r="E408" s="170" t="s">
        <v>1384</v>
      </c>
      <c r="F408" s="171"/>
      <c r="G408" s="171"/>
      <c r="H408" s="33">
        <f t="shared" si="312"/>
        <v>0</v>
      </c>
      <c r="I408" s="505"/>
      <c r="J408" s="505">
        <f t="shared" si="289"/>
        <v>0</v>
      </c>
      <c r="K408" s="499"/>
      <c r="L408" s="499">
        <f t="shared" si="290"/>
        <v>0</v>
      </c>
      <c r="M408" s="39">
        <f t="shared" si="291"/>
        <v>0</v>
      </c>
      <c r="N408" s="163">
        <f t="shared" si="313"/>
        <v>0</v>
      </c>
      <c r="O408" s="172">
        <f t="shared" si="309"/>
        <v>0</v>
      </c>
      <c r="P408" s="521"/>
      <c r="Q408" s="521">
        <f t="shared" si="294"/>
        <v>0</v>
      </c>
      <c r="R408" s="526"/>
      <c r="S408" s="526">
        <f t="shared" si="295"/>
        <v>0</v>
      </c>
      <c r="T408" s="39">
        <f t="shared" si="287"/>
        <v>0</v>
      </c>
      <c r="U408" s="163">
        <f>+ROUND(T408*H408,2)</f>
        <v>0</v>
      </c>
      <c r="V408" s="173">
        <f t="shared" si="310"/>
        <v>0</v>
      </c>
      <c r="W408" s="164"/>
      <c r="X408" s="128" t="s">
        <v>1004</v>
      </c>
      <c r="Y408" s="37">
        <f>+ROUND((O408)*(1+SUMIF($Y$2:$Y$4,X408,$Z$2:$Z$4)),0)</f>
        <v>0</v>
      </c>
      <c r="Z408" s="37">
        <f t="shared" si="308"/>
        <v>0</v>
      </c>
      <c r="AA408" s="166"/>
      <c r="AB408" s="38"/>
      <c r="AC408" s="38"/>
    </row>
    <row r="409" spans="1:29" hidden="1" outlineLevel="2" x14ac:dyDescent="0.25">
      <c r="A409" s="158" t="s">
        <v>1099</v>
      </c>
      <c r="B409" s="187" t="str">
        <f t="shared" si="311"/>
        <v>3.5/1</v>
      </c>
      <c r="C409" s="168" t="s">
        <v>1394</v>
      </c>
      <c r="D409" s="169" t="s">
        <v>1395</v>
      </c>
      <c r="E409" s="170" t="s">
        <v>1384</v>
      </c>
      <c r="F409" s="171"/>
      <c r="G409" s="171"/>
      <c r="H409" s="33">
        <f t="shared" si="312"/>
        <v>0</v>
      </c>
      <c r="I409" s="505"/>
      <c r="J409" s="505">
        <f t="shared" si="289"/>
        <v>0</v>
      </c>
      <c r="K409" s="499"/>
      <c r="L409" s="499">
        <f t="shared" si="290"/>
        <v>0</v>
      </c>
      <c r="M409" s="39">
        <f t="shared" si="291"/>
        <v>0</v>
      </c>
      <c r="N409" s="163">
        <f t="shared" si="313"/>
        <v>0</v>
      </c>
      <c r="O409" s="172">
        <f t="shared" ref="O409:O412" si="314">N409</f>
        <v>0</v>
      </c>
      <c r="P409" s="521"/>
      <c r="Q409" s="521">
        <f t="shared" si="294"/>
        <v>0</v>
      </c>
      <c r="R409" s="526"/>
      <c r="S409" s="526">
        <f t="shared" si="295"/>
        <v>0</v>
      </c>
      <c r="T409" s="39">
        <f t="shared" si="287"/>
        <v>0</v>
      </c>
      <c r="U409" s="163">
        <f>+ROUND(T409*H409,2)</f>
        <v>0</v>
      </c>
      <c r="V409" s="173">
        <f t="shared" ref="V409:V412" si="315">U409</f>
        <v>0</v>
      </c>
      <c r="W409" s="164"/>
      <c r="X409" s="128" t="s">
        <v>1004</v>
      </c>
      <c r="Y409" s="37">
        <f>+ROUND((O409)*(1+SUMIF($Y$2:$Y$4,X409,$Z$2:$Z$4)),0)</f>
        <v>0</v>
      </c>
      <c r="Z409" s="37">
        <f t="shared" si="308"/>
        <v>0</v>
      </c>
      <c r="AA409" s="166"/>
      <c r="AB409" s="38"/>
      <c r="AC409" s="38"/>
    </row>
    <row r="410" spans="1:29" hidden="1" outlineLevel="2" x14ac:dyDescent="0.25">
      <c r="A410" s="158" t="s">
        <v>1103</v>
      </c>
      <c r="B410" s="187" t="str">
        <f t="shared" si="311"/>
        <v>3.5/1</v>
      </c>
      <c r="C410" s="168" t="s">
        <v>1396</v>
      </c>
      <c r="D410" s="169" t="s">
        <v>1397</v>
      </c>
      <c r="E410" s="170" t="s">
        <v>1384</v>
      </c>
      <c r="F410" s="171"/>
      <c r="G410" s="171"/>
      <c r="H410" s="33">
        <f t="shared" si="312"/>
        <v>0</v>
      </c>
      <c r="I410" s="505"/>
      <c r="J410" s="505">
        <f t="shared" si="289"/>
        <v>0</v>
      </c>
      <c r="K410" s="499"/>
      <c r="L410" s="499">
        <f t="shared" si="290"/>
        <v>0</v>
      </c>
      <c r="M410" s="39">
        <f t="shared" si="291"/>
        <v>0</v>
      </c>
      <c r="N410" s="163">
        <f t="shared" si="313"/>
        <v>0</v>
      </c>
      <c r="O410" s="172">
        <f t="shared" si="314"/>
        <v>0</v>
      </c>
      <c r="P410" s="521"/>
      <c r="Q410" s="521">
        <f t="shared" si="294"/>
        <v>0</v>
      </c>
      <c r="R410" s="526"/>
      <c r="S410" s="526">
        <f t="shared" si="295"/>
        <v>0</v>
      </c>
      <c r="T410" s="39">
        <f t="shared" si="287"/>
        <v>0</v>
      </c>
      <c r="U410" s="163">
        <f>+ROUND(T410*H410,2)</f>
        <v>0</v>
      </c>
      <c r="V410" s="173">
        <f t="shared" si="315"/>
        <v>0</v>
      </c>
      <c r="W410" s="164"/>
      <c r="X410" s="128" t="s">
        <v>1004</v>
      </c>
      <c r="Y410" s="37">
        <f>+ROUND((O410)*(1+SUMIF($Y$2:$Y$4,X410,$Z$2:$Z$4)),0)</f>
        <v>0</v>
      </c>
      <c r="Z410" s="37">
        <f t="shared" si="308"/>
        <v>0</v>
      </c>
      <c r="AA410" s="166"/>
      <c r="AB410" s="38"/>
      <c r="AC410" s="38"/>
    </row>
    <row r="411" spans="1:29" hidden="1" outlineLevel="2" x14ac:dyDescent="0.25">
      <c r="A411" s="158" t="s">
        <v>1107</v>
      </c>
      <c r="B411" s="187" t="str">
        <f t="shared" si="311"/>
        <v>3.5/1</v>
      </c>
      <c r="C411" s="168" t="s">
        <v>1398</v>
      </c>
      <c r="D411" s="169" t="s">
        <v>1399</v>
      </c>
      <c r="E411" s="170" t="s">
        <v>1384</v>
      </c>
      <c r="F411" s="171"/>
      <c r="G411" s="171"/>
      <c r="H411" s="33">
        <f t="shared" si="312"/>
        <v>0</v>
      </c>
      <c r="I411" s="505"/>
      <c r="J411" s="505">
        <f t="shared" si="289"/>
        <v>0</v>
      </c>
      <c r="K411" s="499"/>
      <c r="L411" s="499">
        <f t="shared" si="290"/>
        <v>0</v>
      </c>
      <c r="M411" s="39">
        <f t="shared" si="291"/>
        <v>0</v>
      </c>
      <c r="N411" s="163">
        <f t="shared" si="313"/>
        <v>0</v>
      </c>
      <c r="O411" s="172">
        <f t="shared" si="314"/>
        <v>0</v>
      </c>
      <c r="P411" s="521"/>
      <c r="Q411" s="521">
        <f t="shared" si="294"/>
        <v>0</v>
      </c>
      <c r="R411" s="526"/>
      <c r="S411" s="526">
        <f t="shared" si="295"/>
        <v>0</v>
      </c>
      <c r="T411" s="39">
        <f t="shared" si="287"/>
        <v>0</v>
      </c>
      <c r="U411" s="163">
        <f>+ROUND(T411*H411,2)</f>
        <v>0</v>
      </c>
      <c r="V411" s="173">
        <f t="shared" si="315"/>
        <v>0</v>
      </c>
      <c r="W411" s="164"/>
      <c r="X411" s="128" t="s">
        <v>1004</v>
      </c>
      <c r="Y411" s="37">
        <f>+ROUND((O411)*(1+SUMIF($Y$2:$Y$4,X411,$Z$2:$Z$4)),0)</f>
        <v>0</v>
      </c>
      <c r="Z411" s="37">
        <f t="shared" si="308"/>
        <v>0</v>
      </c>
      <c r="AA411" s="166"/>
      <c r="AB411" s="38"/>
      <c r="AC411" s="38"/>
    </row>
    <row r="412" spans="1:29" hidden="1" outlineLevel="2" x14ac:dyDescent="0.25">
      <c r="A412" s="158" t="s">
        <v>1073</v>
      </c>
      <c r="B412" s="187" t="str">
        <f t="shared" si="311"/>
        <v>3.5/1</v>
      </c>
      <c r="C412" s="168" t="s">
        <v>1400</v>
      </c>
      <c r="D412" s="174" t="s">
        <v>1401</v>
      </c>
      <c r="E412" s="170" t="s">
        <v>1384</v>
      </c>
      <c r="F412" s="171"/>
      <c r="G412" s="171"/>
      <c r="H412" s="33">
        <f t="shared" si="312"/>
        <v>0</v>
      </c>
      <c r="I412" s="505"/>
      <c r="J412" s="505">
        <f t="shared" si="289"/>
        <v>0</v>
      </c>
      <c r="K412" s="499"/>
      <c r="L412" s="499">
        <f t="shared" si="290"/>
        <v>0</v>
      </c>
      <c r="M412" s="39">
        <f t="shared" si="291"/>
        <v>0</v>
      </c>
      <c r="N412" s="163">
        <f t="shared" si="313"/>
        <v>0</v>
      </c>
      <c r="O412" s="172">
        <f t="shared" si="314"/>
        <v>0</v>
      </c>
      <c r="P412" s="521"/>
      <c r="Q412" s="521">
        <f t="shared" si="294"/>
        <v>0</v>
      </c>
      <c r="R412" s="526"/>
      <c r="S412" s="526">
        <f t="shared" si="295"/>
        <v>0</v>
      </c>
      <c r="T412" s="39">
        <f t="shared" si="287"/>
        <v>0</v>
      </c>
      <c r="U412" s="163">
        <f>+ROUND(T412*H412,2)</f>
        <v>0</v>
      </c>
      <c r="V412" s="173">
        <f t="shared" si="315"/>
        <v>0</v>
      </c>
      <c r="W412" s="164"/>
      <c r="X412" s="128" t="s">
        <v>1004</v>
      </c>
      <c r="Y412" s="37">
        <f>+ROUND((O412)*(1+SUMIF($Y$2:$Y$4,X412,$Z$2:$Z$4)),0)</f>
        <v>0</v>
      </c>
      <c r="Z412" s="37">
        <f t="shared" si="308"/>
        <v>0</v>
      </c>
      <c r="AA412" s="166"/>
      <c r="AB412" s="38"/>
      <c r="AC412" s="38"/>
    </row>
    <row r="413" spans="1:29" hidden="1" outlineLevel="1" x14ac:dyDescent="0.25">
      <c r="A413" s="506" t="s">
        <v>1022</v>
      </c>
      <c r="B413" s="512" t="str">
        <f t="shared" si="311"/>
        <v>3.5/1</v>
      </c>
      <c r="C413" s="508"/>
      <c r="D413" s="509" t="s">
        <v>1023</v>
      </c>
      <c r="E413" s="510"/>
      <c r="F413" s="511"/>
      <c r="G413" s="511"/>
      <c r="H413" s="512">
        <f t="shared" si="312"/>
        <v>0</v>
      </c>
      <c r="I413" s="512"/>
      <c r="J413" s="512">
        <f t="shared" si="289"/>
        <v>0</v>
      </c>
      <c r="K413" s="512"/>
      <c r="L413" s="512">
        <f t="shared" si="290"/>
        <v>0</v>
      </c>
      <c r="M413" s="512">
        <f t="shared" si="291"/>
        <v>0</v>
      </c>
      <c r="N413" s="566">
        <f>SUM(N400:N412)</f>
        <v>0</v>
      </c>
      <c r="O413" s="566">
        <f>SUM(O400:O412)</f>
        <v>0</v>
      </c>
      <c r="P413" s="512"/>
      <c r="Q413" s="512">
        <f t="shared" si="294"/>
        <v>0</v>
      </c>
      <c r="R413" s="512"/>
      <c r="S413" s="512">
        <f t="shared" si="295"/>
        <v>0</v>
      </c>
      <c r="T413" s="512">
        <f t="shared" si="287"/>
        <v>0</v>
      </c>
      <c r="U413" s="566">
        <f>SUM(U400:U412)</f>
        <v>0</v>
      </c>
      <c r="V413" s="566">
        <f>SUM(V400:V412)</f>
        <v>0</v>
      </c>
      <c r="W413" s="507"/>
      <c r="X413" s="514" t="s">
        <v>1004</v>
      </c>
      <c r="Y413" s="566">
        <f>SUM(Y400:Y412)</f>
        <v>0</v>
      </c>
      <c r="Z413" s="566">
        <f>SUM(Z400:Z412)</f>
        <v>0</v>
      </c>
      <c r="AA413" s="166"/>
      <c r="AB413" s="38"/>
      <c r="AC413" s="38"/>
    </row>
    <row r="414" spans="1:29" hidden="1" outlineLevel="1" x14ac:dyDescent="0.25">
      <c r="A414" s="158" t="s">
        <v>1139</v>
      </c>
      <c r="B414" s="187" t="s">
        <v>353</v>
      </c>
      <c r="C414" s="250">
        <v>2</v>
      </c>
      <c r="D414" s="161" t="s">
        <v>1403</v>
      </c>
      <c r="E414" s="162"/>
      <c r="F414" s="40"/>
      <c r="G414" s="40"/>
      <c r="H414" s="33">
        <f t="shared" si="312"/>
        <v>0</v>
      </c>
      <c r="I414" s="504"/>
      <c r="J414" s="504">
        <f t="shared" si="289"/>
        <v>0</v>
      </c>
      <c r="K414" s="498"/>
      <c r="L414" s="498">
        <f t="shared" si="290"/>
        <v>0</v>
      </c>
      <c r="M414" s="34">
        <f t="shared" si="291"/>
        <v>0</v>
      </c>
      <c r="N414" s="163">
        <f t="shared" ref="N414:N415" si="316">+ROUND(M414*H414,2)</f>
        <v>0</v>
      </c>
      <c r="O414" s="172">
        <f t="shared" ref="O414:O417" si="317">N414</f>
        <v>0</v>
      </c>
      <c r="P414" s="520"/>
      <c r="Q414" s="520">
        <f t="shared" si="294"/>
        <v>0</v>
      </c>
      <c r="R414" s="525"/>
      <c r="S414" s="525">
        <f t="shared" si="295"/>
        <v>0</v>
      </c>
      <c r="T414" s="39">
        <f t="shared" si="287"/>
        <v>0</v>
      </c>
      <c r="U414" s="163">
        <f>+ROUND(T414*H414,2)</f>
        <v>0</v>
      </c>
      <c r="V414" s="173">
        <f t="shared" ref="V414:V417" si="318">U414</f>
        <v>0</v>
      </c>
      <c r="W414" s="164"/>
      <c r="X414" s="128" t="s">
        <v>1004</v>
      </c>
      <c r="Y414" s="37">
        <f>+ROUND((O414)*(1+SUMIF($Y$2:$Y$4,X414,$Z$2:$Z$4)),0)</f>
        <v>0</v>
      </c>
      <c r="Z414" s="37">
        <f t="shared" ref="Z414:Z445" si="319">+ROUND((V414)*(1+SUMIF($Y$2:$Y$4,X414,$Z$2:$Z$4)),0)</f>
        <v>0</v>
      </c>
      <c r="AA414" s="166"/>
      <c r="AB414" s="38"/>
      <c r="AC414" s="38"/>
    </row>
    <row r="415" spans="1:29" hidden="1" outlineLevel="2" x14ac:dyDescent="0.25">
      <c r="A415" s="158" t="s">
        <v>1139</v>
      </c>
      <c r="B415" s="187" t="str">
        <f>+B414</f>
        <v>3.5/2</v>
      </c>
      <c r="C415" s="249">
        <v>2.1</v>
      </c>
      <c r="D415" s="226" t="s">
        <v>1404</v>
      </c>
      <c r="E415" s="170" t="s">
        <v>1384</v>
      </c>
      <c r="F415" s="171"/>
      <c r="G415" s="171"/>
      <c r="H415" s="33">
        <f t="shared" ref="H415" si="320">+SUM(F415:G415)</f>
        <v>0</v>
      </c>
      <c r="I415" s="505"/>
      <c r="J415" s="505">
        <f t="shared" si="289"/>
        <v>0</v>
      </c>
      <c r="K415" s="499"/>
      <c r="L415" s="499">
        <f t="shared" si="290"/>
        <v>0</v>
      </c>
      <c r="M415" s="39">
        <f t="shared" si="291"/>
        <v>0</v>
      </c>
      <c r="N415" s="163">
        <f t="shared" si="316"/>
        <v>0</v>
      </c>
      <c r="O415" s="172">
        <f t="shared" si="317"/>
        <v>0</v>
      </c>
      <c r="P415" s="521"/>
      <c r="Q415" s="521">
        <f t="shared" si="294"/>
        <v>0</v>
      </c>
      <c r="R415" s="526"/>
      <c r="S415" s="526">
        <f t="shared" si="295"/>
        <v>0</v>
      </c>
      <c r="T415" s="39">
        <f t="shared" si="287"/>
        <v>0</v>
      </c>
      <c r="U415" s="163">
        <f>+ROUND(T415*H415,2)</f>
        <v>0</v>
      </c>
      <c r="V415" s="173">
        <f t="shared" si="318"/>
        <v>0</v>
      </c>
      <c r="W415" s="164"/>
      <c r="X415" s="128" t="s">
        <v>1004</v>
      </c>
      <c r="Y415" s="37">
        <f>+ROUND((O415)*(1+SUMIF($Y$2:$Y$4,X415,$Z$2:$Z$4)),0)</f>
        <v>0</v>
      </c>
      <c r="Z415" s="37">
        <f t="shared" si="319"/>
        <v>0</v>
      </c>
      <c r="AA415" s="166"/>
      <c r="AB415" s="38"/>
      <c r="AC415" s="38"/>
    </row>
    <row r="416" spans="1:29" ht="24" hidden="1" outlineLevel="2" x14ac:dyDescent="0.25">
      <c r="A416" s="158" t="s">
        <v>1139</v>
      </c>
      <c r="B416" s="187" t="str">
        <f>+B415</f>
        <v>3.5/2</v>
      </c>
      <c r="C416" s="168" t="s">
        <v>1405</v>
      </c>
      <c r="D416" s="169" t="s">
        <v>1604</v>
      </c>
      <c r="E416" s="170" t="s">
        <v>1384</v>
      </c>
      <c r="F416" s="171"/>
      <c r="G416" s="171"/>
      <c r="H416" s="33">
        <f t="shared" si="312"/>
        <v>0</v>
      </c>
      <c r="I416" s="505"/>
      <c r="J416" s="505">
        <f t="shared" si="289"/>
        <v>0</v>
      </c>
      <c r="K416" s="499"/>
      <c r="L416" s="499">
        <f t="shared" si="290"/>
        <v>0</v>
      </c>
      <c r="M416" s="39">
        <f t="shared" si="291"/>
        <v>0</v>
      </c>
      <c r="N416" s="163">
        <f t="shared" si="313"/>
        <v>0</v>
      </c>
      <c r="O416" s="172">
        <f t="shared" ref="O416:O431" si="321">N416</f>
        <v>0</v>
      </c>
      <c r="P416" s="521"/>
      <c r="Q416" s="521">
        <f t="shared" si="294"/>
        <v>0</v>
      </c>
      <c r="R416" s="526"/>
      <c r="S416" s="526">
        <f t="shared" si="295"/>
        <v>0</v>
      </c>
      <c r="T416" s="39">
        <f t="shared" si="287"/>
        <v>0</v>
      </c>
      <c r="U416" s="163">
        <f>+ROUND(T416*H416,2)</f>
        <v>0</v>
      </c>
      <c r="V416" s="173">
        <f t="shared" ref="V416:V431" si="322">U416</f>
        <v>0</v>
      </c>
      <c r="W416" s="164"/>
      <c r="X416" s="128" t="s">
        <v>1004</v>
      </c>
      <c r="Y416" s="37">
        <f>+ROUND((O416)*(1+SUMIF($Y$2:$Y$4,X416,$Z$2:$Z$4)),0)</f>
        <v>0</v>
      </c>
      <c r="Z416" s="37">
        <f t="shared" si="319"/>
        <v>0</v>
      </c>
      <c r="AA416" s="166"/>
      <c r="AB416" s="38"/>
      <c r="AC416" s="38"/>
    </row>
    <row r="417" spans="1:29" hidden="1" outlineLevel="2" x14ac:dyDescent="0.25">
      <c r="A417" s="158" t="s">
        <v>1117</v>
      </c>
      <c r="B417" s="187" t="str">
        <f>+B416</f>
        <v>3.5/2</v>
      </c>
      <c r="C417" s="249">
        <v>2.2000000000000002</v>
      </c>
      <c r="D417" s="226" t="s">
        <v>1407</v>
      </c>
      <c r="E417" s="170" t="s">
        <v>1384</v>
      </c>
      <c r="F417" s="171"/>
      <c r="G417" s="171"/>
      <c r="H417" s="33">
        <f t="shared" si="312"/>
        <v>0</v>
      </c>
      <c r="I417" s="505"/>
      <c r="J417" s="505">
        <f t="shared" si="289"/>
        <v>0</v>
      </c>
      <c r="K417" s="499"/>
      <c r="L417" s="499">
        <f t="shared" si="290"/>
        <v>0</v>
      </c>
      <c r="M417" s="39">
        <f t="shared" si="291"/>
        <v>0</v>
      </c>
      <c r="N417" s="163">
        <f t="shared" si="313"/>
        <v>0</v>
      </c>
      <c r="O417" s="172">
        <f t="shared" si="317"/>
        <v>0</v>
      </c>
      <c r="P417" s="521"/>
      <c r="Q417" s="521">
        <f t="shared" si="294"/>
        <v>0</v>
      </c>
      <c r="R417" s="526"/>
      <c r="S417" s="526">
        <f t="shared" si="295"/>
        <v>0</v>
      </c>
      <c r="T417" s="39">
        <f t="shared" si="287"/>
        <v>0</v>
      </c>
      <c r="U417" s="163">
        <f>+ROUND(T417*H417,2)</f>
        <v>0</v>
      </c>
      <c r="V417" s="173">
        <f t="shared" si="318"/>
        <v>0</v>
      </c>
      <c r="W417" s="164"/>
      <c r="X417" s="128" t="s">
        <v>1004</v>
      </c>
      <c r="Y417" s="37">
        <f>+ROUND((O417)*(1+SUMIF($Y$2:$Y$4,X417,$Z$2:$Z$4)),0)</f>
        <v>0</v>
      </c>
      <c r="Z417" s="37">
        <f t="shared" si="319"/>
        <v>0</v>
      </c>
      <c r="AA417" s="166"/>
      <c r="AB417" s="38"/>
      <c r="AC417" s="38"/>
    </row>
    <row r="418" spans="1:29" hidden="1" outlineLevel="2" x14ac:dyDescent="0.25">
      <c r="A418" s="158" t="s">
        <v>1117</v>
      </c>
      <c r="B418" s="187" t="str">
        <f>+B416</f>
        <v>3.5/2</v>
      </c>
      <c r="C418" s="168" t="s">
        <v>1408</v>
      </c>
      <c r="D418" s="169" t="s">
        <v>1549</v>
      </c>
      <c r="E418" s="170" t="s">
        <v>1384</v>
      </c>
      <c r="F418" s="171"/>
      <c r="G418" s="171"/>
      <c r="H418" s="33">
        <f t="shared" si="312"/>
        <v>0</v>
      </c>
      <c r="I418" s="505"/>
      <c r="J418" s="505">
        <f t="shared" si="289"/>
        <v>0</v>
      </c>
      <c r="K418" s="499"/>
      <c r="L418" s="499">
        <f t="shared" si="290"/>
        <v>0</v>
      </c>
      <c r="M418" s="39">
        <f t="shared" si="291"/>
        <v>0</v>
      </c>
      <c r="N418" s="163">
        <f t="shared" si="313"/>
        <v>0</v>
      </c>
      <c r="O418" s="172">
        <f t="shared" si="321"/>
        <v>0</v>
      </c>
      <c r="P418" s="521"/>
      <c r="Q418" s="521">
        <f t="shared" si="294"/>
        <v>0</v>
      </c>
      <c r="R418" s="526"/>
      <c r="S418" s="526">
        <f t="shared" si="295"/>
        <v>0</v>
      </c>
      <c r="T418" s="39">
        <f t="shared" si="287"/>
        <v>0</v>
      </c>
      <c r="U418" s="163">
        <f>+ROUND(T418*H418,2)</f>
        <v>0</v>
      </c>
      <c r="V418" s="173">
        <f t="shared" si="322"/>
        <v>0</v>
      </c>
      <c r="W418" s="164"/>
      <c r="X418" s="128" t="s">
        <v>1004</v>
      </c>
      <c r="Y418" s="37">
        <f>+ROUND((O418)*(1+SUMIF($Y$2:$Y$4,X418,$Z$2:$Z$4)),0)</f>
        <v>0</v>
      </c>
      <c r="Z418" s="37">
        <f t="shared" si="319"/>
        <v>0</v>
      </c>
      <c r="AA418" s="166"/>
      <c r="AB418" s="38"/>
      <c r="AC418" s="38"/>
    </row>
    <row r="419" spans="1:29" hidden="1" outlineLevel="2" x14ac:dyDescent="0.25">
      <c r="A419" s="158" t="s">
        <v>1149</v>
      </c>
      <c r="B419" s="187" t="str">
        <f>+B418</f>
        <v>3.5/2</v>
      </c>
      <c r="C419" s="168" t="s">
        <v>1410</v>
      </c>
      <c r="D419" s="169" t="s">
        <v>1411</v>
      </c>
      <c r="E419" s="170" t="s">
        <v>1384</v>
      </c>
      <c r="F419" s="171"/>
      <c r="G419" s="171"/>
      <c r="H419" s="33">
        <f t="shared" ref="H419" si="323">+SUM(F419:G419)</f>
        <v>0</v>
      </c>
      <c r="I419" s="505"/>
      <c r="J419" s="505">
        <f t="shared" si="289"/>
        <v>0</v>
      </c>
      <c r="K419" s="499"/>
      <c r="L419" s="499">
        <f t="shared" si="290"/>
        <v>0</v>
      </c>
      <c r="M419" s="39">
        <f t="shared" si="291"/>
        <v>0</v>
      </c>
      <c r="N419" s="163">
        <f t="shared" ref="N419" si="324">+ROUND(M419*H419,2)</f>
        <v>0</v>
      </c>
      <c r="O419" s="172">
        <f t="shared" ref="O419" si="325">N419</f>
        <v>0</v>
      </c>
      <c r="P419" s="521"/>
      <c r="Q419" s="521">
        <f t="shared" si="294"/>
        <v>0</v>
      </c>
      <c r="R419" s="526"/>
      <c r="S419" s="526">
        <f t="shared" si="295"/>
        <v>0</v>
      </c>
      <c r="T419" s="39">
        <f t="shared" si="287"/>
        <v>0</v>
      </c>
      <c r="U419" s="163">
        <f>+ROUND(T419*H419,2)</f>
        <v>0</v>
      </c>
      <c r="V419" s="173">
        <f t="shared" ref="V419" si="326">U419</f>
        <v>0</v>
      </c>
      <c r="W419" s="164"/>
      <c r="X419" s="128" t="s">
        <v>1004</v>
      </c>
      <c r="Y419" s="37">
        <f>+ROUND((O419)*(1+SUMIF($Y$2:$Y$4,X419,$Z$2:$Z$4)),0)</f>
        <v>0</v>
      </c>
      <c r="Z419" s="37">
        <f t="shared" si="319"/>
        <v>0</v>
      </c>
      <c r="AA419" s="166"/>
      <c r="AB419" s="38"/>
      <c r="AC419" s="38"/>
    </row>
    <row r="420" spans="1:29" hidden="1" outlineLevel="2" x14ac:dyDescent="0.25">
      <c r="A420" s="158" t="s">
        <v>1149</v>
      </c>
      <c r="B420" s="187" t="str">
        <f>+B418</f>
        <v>3.5/2</v>
      </c>
      <c r="C420" s="168" t="s">
        <v>1412</v>
      </c>
      <c r="D420" s="181" t="s">
        <v>1413</v>
      </c>
      <c r="E420" s="170" t="s">
        <v>1384</v>
      </c>
      <c r="F420" s="171"/>
      <c r="G420" s="171"/>
      <c r="H420" s="33">
        <f t="shared" si="312"/>
        <v>0</v>
      </c>
      <c r="I420" s="505"/>
      <c r="J420" s="505">
        <f t="shared" si="289"/>
        <v>0</v>
      </c>
      <c r="K420" s="499"/>
      <c r="L420" s="499">
        <f t="shared" si="290"/>
        <v>0</v>
      </c>
      <c r="M420" s="39">
        <f t="shared" si="291"/>
        <v>0</v>
      </c>
      <c r="N420" s="163">
        <f t="shared" si="313"/>
        <v>0</v>
      </c>
      <c r="O420" s="172">
        <f t="shared" si="321"/>
        <v>0</v>
      </c>
      <c r="P420" s="521"/>
      <c r="Q420" s="521">
        <f t="shared" si="294"/>
        <v>0</v>
      </c>
      <c r="R420" s="526"/>
      <c r="S420" s="526">
        <f t="shared" si="295"/>
        <v>0</v>
      </c>
      <c r="T420" s="39">
        <f t="shared" si="287"/>
        <v>0</v>
      </c>
      <c r="U420" s="163">
        <f>+ROUND(T420*H420,2)</f>
        <v>0</v>
      </c>
      <c r="V420" s="173">
        <f t="shared" si="322"/>
        <v>0</v>
      </c>
      <c r="W420" s="164"/>
      <c r="X420" s="128" t="s">
        <v>1004</v>
      </c>
      <c r="Y420" s="37">
        <f>+ROUND((O420)*(1+SUMIF($Y$2:$Y$4,X420,$Z$2:$Z$4)),0)</f>
        <v>0</v>
      </c>
      <c r="Z420" s="37">
        <f t="shared" si="319"/>
        <v>0</v>
      </c>
      <c r="AA420" s="166"/>
      <c r="AB420" s="38"/>
      <c r="AC420" s="38"/>
    </row>
    <row r="421" spans="1:29" hidden="1" outlineLevel="2" x14ac:dyDescent="0.25">
      <c r="A421" s="158" t="s">
        <v>1149</v>
      </c>
      <c r="B421" s="187" t="str">
        <f t="shared" si="311"/>
        <v>3.5/2</v>
      </c>
      <c r="C421" s="168" t="s">
        <v>1414</v>
      </c>
      <c r="D421" s="181" t="s">
        <v>1415</v>
      </c>
      <c r="E421" s="170" t="s">
        <v>1384</v>
      </c>
      <c r="F421" s="171"/>
      <c r="G421" s="171"/>
      <c r="H421" s="33">
        <f t="shared" si="312"/>
        <v>0</v>
      </c>
      <c r="I421" s="505"/>
      <c r="J421" s="505">
        <f t="shared" si="289"/>
        <v>0</v>
      </c>
      <c r="K421" s="499"/>
      <c r="L421" s="499">
        <f t="shared" si="290"/>
        <v>0</v>
      </c>
      <c r="M421" s="39">
        <f t="shared" si="291"/>
        <v>0</v>
      </c>
      <c r="N421" s="163">
        <f t="shared" si="313"/>
        <v>0</v>
      </c>
      <c r="O421" s="172">
        <f t="shared" si="321"/>
        <v>0</v>
      </c>
      <c r="P421" s="521"/>
      <c r="Q421" s="521">
        <f t="shared" si="294"/>
        <v>0</v>
      </c>
      <c r="R421" s="526"/>
      <c r="S421" s="526">
        <f t="shared" si="295"/>
        <v>0</v>
      </c>
      <c r="T421" s="39">
        <f t="shared" si="287"/>
        <v>0</v>
      </c>
      <c r="U421" s="163">
        <f>+ROUND(T421*H421,2)</f>
        <v>0</v>
      </c>
      <c r="V421" s="173">
        <f t="shared" si="322"/>
        <v>0</v>
      </c>
      <c r="W421" s="164"/>
      <c r="X421" s="128" t="s">
        <v>1004</v>
      </c>
      <c r="Y421" s="37">
        <f>+ROUND((O421)*(1+SUMIF($Y$2:$Y$4,X421,$Z$2:$Z$4)),0)</f>
        <v>0</v>
      </c>
      <c r="Z421" s="37">
        <f t="shared" si="319"/>
        <v>0</v>
      </c>
      <c r="AA421" s="166"/>
      <c r="AB421" s="38"/>
      <c r="AC421" s="38"/>
    </row>
    <row r="422" spans="1:29" hidden="1" outlineLevel="2" x14ac:dyDescent="0.25">
      <c r="A422" s="158" t="s">
        <v>1145</v>
      </c>
      <c r="B422" s="187" t="str">
        <f>+B421</f>
        <v>3.5/2</v>
      </c>
      <c r="C422" s="249">
        <v>2.2999999999999998</v>
      </c>
      <c r="D422" s="226" t="s">
        <v>1147</v>
      </c>
      <c r="E422" s="170" t="s">
        <v>1384</v>
      </c>
      <c r="F422" s="171"/>
      <c r="G422" s="171"/>
      <c r="H422" s="33">
        <f t="shared" ref="H422:H423" si="327">+SUM(F422:G422)</f>
        <v>0</v>
      </c>
      <c r="I422" s="505"/>
      <c r="J422" s="505">
        <f t="shared" si="289"/>
        <v>0</v>
      </c>
      <c r="K422" s="499"/>
      <c r="L422" s="499">
        <f t="shared" si="290"/>
        <v>0</v>
      </c>
      <c r="M422" s="39">
        <f t="shared" si="291"/>
        <v>0</v>
      </c>
      <c r="N422" s="163">
        <f t="shared" ref="N422:N423" si="328">+ROUND(M422*H422,2)</f>
        <v>0</v>
      </c>
      <c r="O422" s="172">
        <f t="shared" si="321"/>
        <v>0</v>
      </c>
      <c r="P422" s="521"/>
      <c r="Q422" s="521">
        <f t="shared" si="294"/>
        <v>0</v>
      </c>
      <c r="R422" s="526"/>
      <c r="S422" s="526">
        <f t="shared" si="295"/>
        <v>0</v>
      </c>
      <c r="T422" s="39">
        <f t="shared" si="287"/>
        <v>0</v>
      </c>
      <c r="U422" s="163">
        <f>+ROUND(T422*H422,2)</f>
        <v>0</v>
      </c>
      <c r="V422" s="173">
        <f t="shared" si="322"/>
        <v>0</v>
      </c>
      <c r="W422" s="164"/>
      <c r="X422" s="128" t="s">
        <v>1004</v>
      </c>
      <c r="Y422" s="37">
        <f>+ROUND((O422)*(1+SUMIF($Y$2:$Y$4,X422,$Z$2:$Z$4)),0)</f>
        <v>0</v>
      </c>
      <c r="Z422" s="37">
        <f t="shared" si="319"/>
        <v>0</v>
      </c>
      <c r="AA422" s="166"/>
      <c r="AB422" s="38"/>
      <c r="AC422" s="38"/>
    </row>
    <row r="423" spans="1:29" hidden="1" outlineLevel="2" x14ac:dyDescent="0.25">
      <c r="A423" s="158" t="s">
        <v>1145</v>
      </c>
      <c r="B423" s="187" t="str">
        <f>+B421</f>
        <v>3.5/2</v>
      </c>
      <c r="C423" s="168" t="s">
        <v>1416</v>
      </c>
      <c r="D423" s="169" t="s">
        <v>1417</v>
      </c>
      <c r="E423" s="170" t="s">
        <v>1384</v>
      </c>
      <c r="F423" s="171"/>
      <c r="G423" s="171"/>
      <c r="H423" s="33">
        <f t="shared" si="327"/>
        <v>0</v>
      </c>
      <c r="I423" s="505"/>
      <c r="J423" s="505">
        <f t="shared" si="289"/>
        <v>0</v>
      </c>
      <c r="K423" s="499"/>
      <c r="L423" s="499">
        <f t="shared" si="290"/>
        <v>0</v>
      </c>
      <c r="M423" s="39">
        <f t="shared" si="291"/>
        <v>0</v>
      </c>
      <c r="N423" s="163">
        <f t="shared" si="328"/>
        <v>0</v>
      </c>
      <c r="O423" s="172">
        <f t="shared" ref="O423" si="329">N423</f>
        <v>0</v>
      </c>
      <c r="P423" s="521"/>
      <c r="Q423" s="521">
        <f t="shared" si="294"/>
        <v>0</v>
      </c>
      <c r="R423" s="526"/>
      <c r="S423" s="526">
        <f t="shared" si="295"/>
        <v>0</v>
      </c>
      <c r="T423" s="39">
        <f t="shared" si="287"/>
        <v>0</v>
      </c>
      <c r="U423" s="163">
        <f>+ROUND(T423*H423,2)</f>
        <v>0</v>
      </c>
      <c r="V423" s="173">
        <f t="shared" ref="V423" si="330">U423</f>
        <v>0</v>
      </c>
      <c r="W423" s="164"/>
      <c r="X423" s="128" t="s">
        <v>1004</v>
      </c>
      <c r="Y423" s="37">
        <f>+ROUND((O423)*(1+SUMIF($Y$2:$Y$4,X423,$Z$2:$Z$4)),0)</f>
        <v>0</v>
      </c>
      <c r="Z423" s="37">
        <f t="shared" si="319"/>
        <v>0</v>
      </c>
      <c r="AA423" s="166"/>
      <c r="AB423" s="38"/>
      <c r="AC423" s="38"/>
    </row>
    <row r="424" spans="1:29" hidden="1" outlineLevel="2" x14ac:dyDescent="0.25">
      <c r="A424" s="158" t="s">
        <v>1145</v>
      </c>
      <c r="B424" s="187" t="str">
        <f>+B421</f>
        <v>3.5/2</v>
      </c>
      <c r="C424" s="168" t="s">
        <v>1418</v>
      </c>
      <c r="D424" s="181" t="s">
        <v>1419</v>
      </c>
      <c r="E424" s="170" t="s">
        <v>1384</v>
      </c>
      <c r="F424" s="171"/>
      <c r="G424" s="171"/>
      <c r="H424" s="33">
        <f t="shared" si="312"/>
        <v>0</v>
      </c>
      <c r="I424" s="505"/>
      <c r="J424" s="505">
        <f t="shared" si="289"/>
        <v>0</v>
      </c>
      <c r="K424" s="499"/>
      <c r="L424" s="499">
        <f t="shared" si="290"/>
        <v>0</v>
      </c>
      <c r="M424" s="39">
        <f t="shared" si="291"/>
        <v>0</v>
      </c>
      <c r="N424" s="163">
        <f t="shared" si="313"/>
        <v>0</v>
      </c>
      <c r="O424" s="172">
        <f t="shared" si="321"/>
        <v>0</v>
      </c>
      <c r="P424" s="521"/>
      <c r="Q424" s="521">
        <f t="shared" si="294"/>
        <v>0</v>
      </c>
      <c r="R424" s="526"/>
      <c r="S424" s="526">
        <f t="shared" si="295"/>
        <v>0</v>
      </c>
      <c r="T424" s="39">
        <f t="shared" si="287"/>
        <v>0</v>
      </c>
      <c r="U424" s="163">
        <f>+ROUND(T424*H424,2)</f>
        <v>0</v>
      </c>
      <c r="V424" s="173">
        <f t="shared" si="322"/>
        <v>0</v>
      </c>
      <c r="W424" s="164"/>
      <c r="X424" s="128" t="s">
        <v>1004</v>
      </c>
      <c r="Y424" s="37">
        <f>+ROUND((O424)*(1+SUMIF($Y$2:$Y$4,X424,$Z$2:$Z$4)),0)</f>
        <v>0</v>
      </c>
      <c r="Z424" s="37">
        <f t="shared" si="319"/>
        <v>0</v>
      </c>
      <c r="AA424" s="166"/>
      <c r="AB424" s="38"/>
      <c r="AC424" s="38"/>
    </row>
    <row r="425" spans="1:29" hidden="1" outlineLevel="2" x14ac:dyDescent="0.25">
      <c r="A425" s="158" t="s">
        <v>1145</v>
      </c>
      <c r="B425" s="187" t="str">
        <f t="shared" si="311"/>
        <v>3.5/2</v>
      </c>
      <c r="C425" s="168" t="s">
        <v>1420</v>
      </c>
      <c r="D425" s="181" t="s">
        <v>1421</v>
      </c>
      <c r="E425" s="170" t="s">
        <v>1384</v>
      </c>
      <c r="F425" s="171"/>
      <c r="G425" s="171"/>
      <c r="H425" s="33">
        <f t="shared" si="312"/>
        <v>0</v>
      </c>
      <c r="I425" s="505"/>
      <c r="J425" s="505">
        <f t="shared" si="289"/>
        <v>0</v>
      </c>
      <c r="K425" s="499"/>
      <c r="L425" s="499">
        <f t="shared" si="290"/>
        <v>0</v>
      </c>
      <c r="M425" s="39">
        <f t="shared" si="291"/>
        <v>0</v>
      </c>
      <c r="N425" s="163">
        <f t="shared" si="313"/>
        <v>0</v>
      </c>
      <c r="O425" s="172">
        <f t="shared" si="321"/>
        <v>0</v>
      </c>
      <c r="P425" s="521"/>
      <c r="Q425" s="521">
        <f t="shared" si="294"/>
        <v>0</v>
      </c>
      <c r="R425" s="526"/>
      <c r="S425" s="526">
        <f t="shared" si="295"/>
        <v>0</v>
      </c>
      <c r="T425" s="39">
        <f t="shared" si="287"/>
        <v>0</v>
      </c>
      <c r="U425" s="163">
        <f>+ROUND(T425*H425,2)</f>
        <v>0</v>
      </c>
      <c r="V425" s="173">
        <f t="shared" si="322"/>
        <v>0</v>
      </c>
      <c r="W425" s="164"/>
      <c r="X425" s="128" t="s">
        <v>1004</v>
      </c>
      <c r="Y425" s="37">
        <f>+ROUND((O425)*(1+SUMIF($Y$2:$Y$4,X425,$Z$2:$Z$4)),0)</f>
        <v>0</v>
      </c>
      <c r="Z425" s="37">
        <f t="shared" si="319"/>
        <v>0</v>
      </c>
      <c r="AA425" s="166"/>
      <c r="AB425" s="38"/>
      <c r="AC425" s="38"/>
    </row>
    <row r="426" spans="1:29" hidden="1" outlineLevel="2" x14ac:dyDescent="0.25">
      <c r="A426" s="158" t="s">
        <v>1147</v>
      </c>
      <c r="B426" s="187" t="str">
        <f>+B424</f>
        <v>3.5/2</v>
      </c>
      <c r="C426" s="168" t="s">
        <v>1422</v>
      </c>
      <c r="D426" s="169" t="s">
        <v>1423</v>
      </c>
      <c r="E426" s="170" t="s">
        <v>1384</v>
      </c>
      <c r="F426" s="171"/>
      <c r="G426" s="171"/>
      <c r="H426" s="33">
        <f t="shared" si="312"/>
        <v>0</v>
      </c>
      <c r="I426" s="505"/>
      <c r="J426" s="505">
        <f t="shared" si="289"/>
        <v>0</v>
      </c>
      <c r="K426" s="499"/>
      <c r="L426" s="499">
        <f t="shared" si="290"/>
        <v>0</v>
      </c>
      <c r="M426" s="39">
        <f t="shared" si="291"/>
        <v>0</v>
      </c>
      <c r="N426" s="163">
        <f t="shared" si="313"/>
        <v>0</v>
      </c>
      <c r="O426" s="172">
        <f t="shared" si="321"/>
        <v>0</v>
      </c>
      <c r="P426" s="521"/>
      <c r="Q426" s="521">
        <f t="shared" si="294"/>
        <v>0</v>
      </c>
      <c r="R426" s="526"/>
      <c r="S426" s="526">
        <f t="shared" si="295"/>
        <v>0</v>
      </c>
      <c r="T426" s="39">
        <f t="shared" si="287"/>
        <v>0</v>
      </c>
      <c r="U426" s="163">
        <f>+ROUND(T426*H426,2)</f>
        <v>0</v>
      </c>
      <c r="V426" s="173">
        <f t="shared" si="322"/>
        <v>0</v>
      </c>
      <c r="W426" s="164"/>
      <c r="X426" s="128" t="s">
        <v>1004</v>
      </c>
      <c r="Y426" s="37">
        <f>+ROUND((O426)*(1+SUMIF($Y$2:$Y$4,X426,$Z$2:$Z$4)),0)</f>
        <v>0</v>
      </c>
      <c r="Z426" s="37">
        <f t="shared" si="319"/>
        <v>0</v>
      </c>
      <c r="AA426" s="166"/>
      <c r="AB426" s="38"/>
      <c r="AC426" s="38"/>
    </row>
    <row r="427" spans="1:29" hidden="1" outlineLevel="2" x14ac:dyDescent="0.25">
      <c r="A427" s="158" t="s">
        <v>1147</v>
      </c>
      <c r="B427" s="187" t="str">
        <f>+B425</f>
        <v>3.5/2</v>
      </c>
      <c r="C427" s="168" t="s">
        <v>1424</v>
      </c>
      <c r="D427" s="181" t="s">
        <v>1425</v>
      </c>
      <c r="E427" s="170" t="s">
        <v>1384</v>
      </c>
      <c r="F427" s="171"/>
      <c r="G427" s="171"/>
      <c r="H427" s="33">
        <f t="shared" si="312"/>
        <v>0</v>
      </c>
      <c r="I427" s="505"/>
      <c r="J427" s="505">
        <f t="shared" si="289"/>
        <v>0</v>
      </c>
      <c r="K427" s="499"/>
      <c r="L427" s="499">
        <f t="shared" si="290"/>
        <v>0</v>
      </c>
      <c r="M427" s="39">
        <f t="shared" si="291"/>
        <v>0</v>
      </c>
      <c r="N427" s="163">
        <f t="shared" si="313"/>
        <v>0</v>
      </c>
      <c r="O427" s="172">
        <f t="shared" si="321"/>
        <v>0</v>
      </c>
      <c r="P427" s="521"/>
      <c r="Q427" s="521">
        <f t="shared" si="294"/>
        <v>0</v>
      </c>
      <c r="R427" s="526"/>
      <c r="S427" s="526">
        <f t="shared" si="295"/>
        <v>0</v>
      </c>
      <c r="T427" s="39">
        <f t="shared" si="287"/>
        <v>0</v>
      </c>
      <c r="U427" s="163">
        <f>+ROUND(T427*H427,2)</f>
        <v>0</v>
      </c>
      <c r="V427" s="173">
        <f t="shared" si="322"/>
        <v>0</v>
      </c>
      <c r="W427" s="164"/>
      <c r="X427" s="128" t="s">
        <v>1004</v>
      </c>
      <c r="Y427" s="37">
        <f>+ROUND((O427)*(1+SUMIF($Y$2:$Y$4,X427,$Z$2:$Z$4)),0)</f>
        <v>0</v>
      </c>
      <c r="Z427" s="37">
        <f t="shared" si="319"/>
        <v>0</v>
      </c>
      <c r="AA427" s="166"/>
      <c r="AB427" s="38"/>
      <c r="AC427" s="38"/>
    </row>
    <row r="428" spans="1:29" hidden="1" outlineLevel="2" x14ac:dyDescent="0.25">
      <c r="A428" s="158" t="s">
        <v>1147</v>
      </c>
      <c r="B428" s="187" t="str">
        <f t="shared" si="311"/>
        <v>3.5/2</v>
      </c>
      <c r="C428" s="168" t="s">
        <v>1426</v>
      </c>
      <c r="D428" s="181" t="s">
        <v>1427</v>
      </c>
      <c r="E428" s="170" t="s">
        <v>1384</v>
      </c>
      <c r="F428" s="171"/>
      <c r="G428" s="171"/>
      <c r="H428" s="33">
        <f t="shared" si="312"/>
        <v>0</v>
      </c>
      <c r="I428" s="505"/>
      <c r="J428" s="505">
        <f t="shared" si="289"/>
        <v>0</v>
      </c>
      <c r="K428" s="499"/>
      <c r="L428" s="499">
        <f t="shared" si="290"/>
        <v>0</v>
      </c>
      <c r="M428" s="39">
        <f t="shared" si="291"/>
        <v>0</v>
      </c>
      <c r="N428" s="163">
        <f t="shared" si="313"/>
        <v>0</v>
      </c>
      <c r="O428" s="172">
        <f t="shared" si="321"/>
        <v>0</v>
      </c>
      <c r="P428" s="521"/>
      <c r="Q428" s="521">
        <f t="shared" si="294"/>
        <v>0</v>
      </c>
      <c r="R428" s="526"/>
      <c r="S428" s="526">
        <f t="shared" si="295"/>
        <v>0</v>
      </c>
      <c r="T428" s="39">
        <f t="shared" si="287"/>
        <v>0</v>
      </c>
      <c r="U428" s="163">
        <f>+ROUND(T428*H428,2)</f>
        <v>0</v>
      </c>
      <c r="V428" s="173">
        <f t="shared" si="322"/>
        <v>0</v>
      </c>
      <c r="W428" s="164"/>
      <c r="X428" s="128" t="s">
        <v>1004</v>
      </c>
      <c r="Y428" s="37">
        <f>+ROUND((O428)*(1+SUMIF($Y$2:$Y$4,X428,$Z$2:$Z$4)),0)</f>
        <v>0</v>
      </c>
      <c r="Z428" s="37">
        <f t="shared" si="319"/>
        <v>0</v>
      </c>
      <c r="AA428" s="166"/>
      <c r="AB428" s="38"/>
      <c r="AC428" s="38"/>
    </row>
    <row r="429" spans="1:29" hidden="1" outlineLevel="2" x14ac:dyDescent="0.25">
      <c r="A429" s="158" t="s">
        <v>1147</v>
      </c>
      <c r="B429" s="187" t="str">
        <f>+B427</f>
        <v>3.5/2</v>
      </c>
      <c r="C429" s="168" t="s">
        <v>1428</v>
      </c>
      <c r="D429" s="169" t="s">
        <v>1423</v>
      </c>
      <c r="E429" s="170" t="s">
        <v>1384</v>
      </c>
      <c r="F429" s="171"/>
      <c r="G429" s="171"/>
      <c r="H429" s="33">
        <f t="shared" ref="H429" si="331">+SUM(F429:G429)</f>
        <v>0</v>
      </c>
      <c r="I429" s="505"/>
      <c r="J429" s="505">
        <f t="shared" si="289"/>
        <v>0</v>
      </c>
      <c r="K429" s="499"/>
      <c r="L429" s="499">
        <f t="shared" si="290"/>
        <v>0</v>
      </c>
      <c r="M429" s="39">
        <f t="shared" si="291"/>
        <v>0</v>
      </c>
      <c r="N429" s="163">
        <f t="shared" ref="N429" si="332">+ROUND(M429*H429,2)</f>
        <v>0</v>
      </c>
      <c r="O429" s="172">
        <f t="shared" ref="O429" si="333">N429</f>
        <v>0</v>
      </c>
      <c r="P429" s="521"/>
      <c r="Q429" s="521">
        <f t="shared" si="294"/>
        <v>0</v>
      </c>
      <c r="R429" s="526"/>
      <c r="S429" s="526">
        <f t="shared" si="295"/>
        <v>0</v>
      </c>
      <c r="T429" s="39">
        <f t="shared" si="287"/>
        <v>0</v>
      </c>
      <c r="U429" s="163">
        <f>+ROUND(T429*H429,2)</f>
        <v>0</v>
      </c>
      <c r="V429" s="173">
        <f t="shared" ref="V429" si="334">U429</f>
        <v>0</v>
      </c>
      <c r="W429" s="164"/>
      <c r="X429" s="128" t="s">
        <v>1004</v>
      </c>
      <c r="Y429" s="37">
        <f>+ROUND((O429)*(1+SUMIF($Y$2:$Y$4,X429,$Z$2:$Z$4)),0)</f>
        <v>0</v>
      </c>
      <c r="Z429" s="37">
        <f t="shared" si="319"/>
        <v>0</v>
      </c>
      <c r="AA429" s="166"/>
      <c r="AB429" s="38"/>
      <c r="AC429" s="38"/>
    </row>
    <row r="430" spans="1:29" hidden="1" outlineLevel="2" x14ac:dyDescent="0.25">
      <c r="A430" s="158" t="s">
        <v>1149</v>
      </c>
      <c r="B430" s="187" t="str">
        <f>+B428</f>
        <v>3.5/2</v>
      </c>
      <c r="C430" s="168" t="s">
        <v>1430</v>
      </c>
      <c r="D430" s="181" t="s">
        <v>1431</v>
      </c>
      <c r="E430" s="170" t="s">
        <v>1384</v>
      </c>
      <c r="F430" s="171"/>
      <c r="G430" s="171"/>
      <c r="H430" s="33">
        <f t="shared" si="312"/>
        <v>0</v>
      </c>
      <c r="I430" s="505"/>
      <c r="J430" s="505">
        <f t="shared" si="289"/>
        <v>0</v>
      </c>
      <c r="K430" s="499"/>
      <c r="L430" s="499">
        <f t="shared" si="290"/>
        <v>0</v>
      </c>
      <c r="M430" s="39">
        <f t="shared" si="291"/>
        <v>0</v>
      </c>
      <c r="N430" s="163">
        <f t="shared" si="313"/>
        <v>0</v>
      </c>
      <c r="O430" s="172">
        <f t="shared" si="321"/>
        <v>0</v>
      </c>
      <c r="P430" s="521"/>
      <c r="Q430" s="521">
        <f t="shared" si="294"/>
        <v>0</v>
      </c>
      <c r="R430" s="526"/>
      <c r="S430" s="526">
        <f t="shared" si="295"/>
        <v>0</v>
      </c>
      <c r="T430" s="39">
        <f t="shared" si="287"/>
        <v>0</v>
      </c>
      <c r="U430" s="163">
        <f>+ROUND(T430*H430,2)</f>
        <v>0</v>
      </c>
      <c r="V430" s="173">
        <f t="shared" si="322"/>
        <v>0</v>
      </c>
      <c r="W430" s="164"/>
      <c r="X430" s="128" t="s">
        <v>1004</v>
      </c>
      <c r="Y430" s="37">
        <f>+ROUND((O430)*(1+SUMIF($Y$2:$Y$4,X430,$Z$2:$Z$4)),0)</f>
        <v>0</v>
      </c>
      <c r="Z430" s="37">
        <f t="shared" si="319"/>
        <v>0</v>
      </c>
      <c r="AA430" s="166"/>
      <c r="AB430" s="38"/>
      <c r="AC430" s="38"/>
    </row>
    <row r="431" spans="1:29" hidden="1" outlineLevel="2" x14ac:dyDescent="0.25">
      <c r="A431" s="158" t="s">
        <v>1149</v>
      </c>
      <c r="B431" s="187" t="str">
        <f t="shared" si="311"/>
        <v>3.5/2</v>
      </c>
      <c r="C431" s="168" t="s">
        <v>1432</v>
      </c>
      <c r="D431" s="181" t="s">
        <v>1413</v>
      </c>
      <c r="E431" s="170" t="s">
        <v>1384</v>
      </c>
      <c r="F431" s="171"/>
      <c r="G431" s="171"/>
      <c r="H431" s="33">
        <f t="shared" si="312"/>
        <v>0</v>
      </c>
      <c r="I431" s="505"/>
      <c r="J431" s="505">
        <f t="shared" si="289"/>
        <v>0</v>
      </c>
      <c r="K431" s="499"/>
      <c r="L431" s="499">
        <f t="shared" si="290"/>
        <v>0</v>
      </c>
      <c r="M431" s="39">
        <f t="shared" si="291"/>
        <v>0</v>
      </c>
      <c r="N431" s="163">
        <f t="shared" si="313"/>
        <v>0</v>
      </c>
      <c r="O431" s="172">
        <f t="shared" si="321"/>
        <v>0</v>
      </c>
      <c r="P431" s="521"/>
      <c r="Q431" s="521">
        <f t="shared" si="294"/>
        <v>0</v>
      </c>
      <c r="R431" s="526"/>
      <c r="S431" s="526">
        <f t="shared" si="295"/>
        <v>0</v>
      </c>
      <c r="T431" s="39">
        <f t="shared" si="287"/>
        <v>0</v>
      </c>
      <c r="U431" s="163">
        <f>+ROUND(T431*H431,2)</f>
        <v>0</v>
      </c>
      <c r="V431" s="173">
        <f t="shared" si="322"/>
        <v>0</v>
      </c>
      <c r="W431" s="164"/>
      <c r="X431" s="128" t="s">
        <v>1004</v>
      </c>
      <c r="Y431" s="37">
        <f>+ROUND((O431)*(1+SUMIF($Y$2:$Y$4,X431,$Z$2:$Z$4)),0)</f>
        <v>0</v>
      </c>
      <c r="Z431" s="37">
        <f t="shared" si="319"/>
        <v>0</v>
      </c>
      <c r="AA431" s="166"/>
      <c r="AB431" s="38"/>
      <c r="AC431" s="38"/>
    </row>
    <row r="432" spans="1:29" hidden="1" outlineLevel="1" x14ac:dyDescent="0.25">
      <c r="A432" s="506" t="s">
        <v>1022</v>
      </c>
      <c r="B432" s="512" t="str">
        <f t="shared" si="311"/>
        <v>3.5/2</v>
      </c>
      <c r="C432" s="508"/>
      <c r="D432" s="509" t="s">
        <v>1023</v>
      </c>
      <c r="E432" s="510"/>
      <c r="F432" s="511"/>
      <c r="G432" s="511"/>
      <c r="H432" s="512">
        <f t="shared" si="312"/>
        <v>0</v>
      </c>
      <c r="I432" s="512"/>
      <c r="J432" s="512">
        <f t="shared" si="289"/>
        <v>0</v>
      </c>
      <c r="K432" s="512"/>
      <c r="L432" s="512">
        <f t="shared" si="290"/>
        <v>0</v>
      </c>
      <c r="M432" s="512">
        <f t="shared" si="291"/>
        <v>0</v>
      </c>
      <c r="N432" s="512">
        <f>SUM(N416:N431)</f>
        <v>0</v>
      </c>
      <c r="O432" s="566">
        <f>SUM(O416:O431)</f>
        <v>0</v>
      </c>
      <c r="P432" s="512"/>
      <c r="Q432" s="512">
        <f t="shared" si="294"/>
        <v>0</v>
      </c>
      <c r="R432" s="512"/>
      <c r="S432" s="512">
        <f t="shared" si="295"/>
        <v>0</v>
      </c>
      <c r="T432" s="512">
        <f t="shared" si="287"/>
        <v>0</v>
      </c>
      <c r="U432" s="512">
        <f>SUM(U416:U431)</f>
        <v>0</v>
      </c>
      <c r="V432" s="566">
        <f>SUM(V416:V431)</f>
        <v>0</v>
      </c>
      <c r="W432" s="507"/>
      <c r="X432" s="514" t="s">
        <v>1004</v>
      </c>
      <c r="Y432" s="515">
        <f>+ROUND((O432)*(1+SUMIF($Y$2:$Y$4,X432,$Z$2:$Z$4)),0)</f>
        <v>0</v>
      </c>
      <c r="Z432" s="515">
        <f t="shared" si="319"/>
        <v>0</v>
      </c>
      <c r="AA432" s="166"/>
      <c r="AB432" s="38"/>
      <c r="AC432" s="38"/>
    </row>
    <row r="433" spans="1:29" hidden="1" outlineLevel="1" x14ac:dyDescent="0.25">
      <c r="A433" s="158" t="s">
        <v>1182</v>
      </c>
      <c r="B433" s="187" t="s">
        <v>356</v>
      </c>
      <c r="C433" s="250">
        <v>2</v>
      </c>
      <c r="D433" s="161" t="s">
        <v>1434</v>
      </c>
      <c r="E433" s="162"/>
      <c r="F433" s="40"/>
      <c r="G433" s="40"/>
      <c r="H433" s="33">
        <f t="shared" ref="H433:H434" si="335">+SUM(F433:G433)</f>
        <v>0</v>
      </c>
      <c r="I433" s="504"/>
      <c r="J433" s="504">
        <f t="shared" si="289"/>
        <v>0</v>
      </c>
      <c r="K433" s="498"/>
      <c r="L433" s="498">
        <f t="shared" si="290"/>
        <v>0</v>
      </c>
      <c r="M433" s="34">
        <f t="shared" si="291"/>
        <v>0</v>
      </c>
      <c r="N433" s="163">
        <f t="shared" ref="N433:N434" si="336">+ROUND(M433*H433,2)</f>
        <v>0</v>
      </c>
      <c r="O433" s="172">
        <f t="shared" ref="O433:O434" si="337">N433</f>
        <v>0</v>
      </c>
      <c r="P433" s="520"/>
      <c r="Q433" s="520">
        <f t="shared" si="294"/>
        <v>0</v>
      </c>
      <c r="R433" s="525"/>
      <c r="S433" s="525">
        <f t="shared" si="295"/>
        <v>0</v>
      </c>
      <c r="T433" s="39">
        <f t="shared" si="287"/>
        <v>0</v>
      </c>
      <c r="U433" s="163">
        <f>+ROUND(T433*H433,2)</f>
        <v>0</v>
      </c>
      <c r="V433" s="173">
        <f t="shared" ref="V433:V434" si="338">U433</f>
        <v>0</v>
      </c>
      <c r="W433" s="164"/>
      <c r="X433" s="128" t="s">
        <v>1004</v>
      </c>
      <c r="Y433" s="37">
        <f>+ROUND((O433)*(1+SUMIF($Y$2:$Y$4,X433,$Z$2:$Z$4)),0)</f>
        <v>0</v>
      </c>
      <c r="Z433" s="37">
        <f t="shared" si="319"/>
        <v>0</v>
      </c>
      <c r="AA433" s="166"/>
      <c r="AB433" s="38"/>
      <c r="AC433" s="38"/>
    </row>
    <row r="434" spans="1:29" hidden="1" outlineLevel="2" x14ac:dyDescent="0.25">
      <c r="A434" s="158" t="s">
        <v>1182</v>
      </c>
      <c r="B434" s="187" t="str">
        <f>+B432</f>
        <v>3.5/2</v>
      </c>
      <c r="C434" s="168" t="s">
        <v>1436</v>
      </c>
      <c r="D434" s="174" t="s">
        <v>1437</v>
      </c>
      <c r="E434" s="170" t="s">
        <v>1384</v>
      </c>
      <c r="F434" s="171"/>
      <c r="G434" s="171"/>
      <c r="H434" s="33">
        <f t="shared" si="335"/>
        <v>0</v>
      </c>
      <c r="I434" s="505"/>
      <c r="J434" s="505">
        <f t="shared" si="289"/>
        <v>0</v>
      </c>
      <c r="K434" s="499"/>
      <c r="L434" s="499">
        <f t="shared" si="290"/>
        <v>0</v>
      </c>
      <c r="M434" s="39">
        <f t="shared" si="291"/>
        <v>0</v>
      </c>
      <c r="N434" s="163">
        <f t="shared" si="336"/>
        <v>0</v>
      </c>
      <c r="O434" s="172">
        <f t="shared" si="337"/>
        <v>0</v>
      </c>
      <c r="P434" s="521"/>
      <c r="Q434" s="521">
        <f t="shared" si="294"/>
        <v>0</v>
      </c>
      <c r="R434" s="526"/>
      <c r="S434" s="526">
        <f t="shared" si="295"/>
        <v>0</v>
      </c>
      <c r="T434" s="39">
        <f t="shared" ref="T434:T496" si="339">+Q434+S434</f>
        <v>0</v>
      </c>
      <c r="U434" s="163">
        <f>+ROUND(T434*H434,2)</f>
        <v>0</v>
      </c>
      <c r="V434" s="173">
        <f t="shared" si="338"/>
        <v>0</v>
      </c>
      <c r="W434" s="164"/>
      <c r="X434" s="128" t="s">
        <v>1004</v>
      </c>
      <c r="Y434" s="37">
        <f>+ROUND((O434)*(1+SUMIF($Y$2:$Y$4,X434,$Z$2:$Z$4)),0)</f>
        <v>0</v>
      </c>
      <c r="Z434" s="37">
        <f t="shared" si="319"/>
        <v>0</v>
      </c>
      <c r="AA434" s="166"/>
      <c r="AB434" s="38"/>
      <c r="AC434" s="38"/>
    </row>
    <row r="435" spans="1:29" hidden="1" outlineLevel="2" x14ac:dyDescent="0.25">
      <c r="A435" s="158" t="s">
        <v>1182</v>
      </c>
      <c r="B435" s="187" t="str">
        <f>+B433</f>
        <v>3.5/3</v>
      </c>
      <c r="C435" s="168" t="s">
        <v>1438</v>
      </c>
      <c r="D435" s="169" t="s">
        <v>1439</v>
      </c>
      <c r="E435" s="170" t="s">
        <v>1384</v>
      </c>
      <c r="F435" s="171"/>
      <c r="G435" s="171"/>
      <c r="H435" s="33">
        <f t="shared" si="312"/>
        <v>0</v>
      </c>
      <c r="I435" s="505"/>
      <c r="J435" s="505">
        <f t="shared" ref="J435:J496" si="340">+I435*$J$5</f>
        <v>0</v>
      </c>
      <c r="K435" s="499"/>
      <c r="L435" s="499">
        <f t="shared" ref="L435:L496" si="341">+K435*$L$5</f>
        <v>0</v>
      </c>
      <c r="M435" s="39">
        <f t="shared" ref="M435:M496" si="342">+J435+L435</f>
        <v>0</v>
      </c>
      <c r="N435" s="163">
        <f t="shared" si="313"/>
        <v>0</v>
      </c>
      <c r="O435" s="172">
        <f t="shared" ref="O435:O447" si="343">N435</f>
        <v>0</v>
      </c>
      <c r="P435" s="521"/>
      <c r="Q435" s="521">
        <f t="shared" ref="Q435:Q496" si="344">+P435*$Q$5</f>
        <v>0</v>
      </c>
      <c r="R435" s="526"/>
      <c r="S435" s="526">
        <f t="shared" ref="S435:S496" si="345">+R435*$S$5</f>
        <v>0</v>
      </c>
      <c r="T435" s="39">
        <f t="shared" si="339"/>
        <v>0</v>
      </c>
      <c r="U435" s="163">
        <f>+ROUND(T435*H435,2)</f>
        <v>0</v>
      </c>
      <c r="V435" s="173">
        <f t="shared" ref="V435:V447" si="346">U435</f>
        <v>0</v>
      </c>
      <c r="W435" s="164"/>
      <c r="X435" s="128" t="s">
        <v>1004</v>
      </c>
      <c r="Y435" s="37">
        <f>+ROUND((O435)*(1+SUMIF($Y$2:$Y$4,X435,$Z$2:$Z$4)),0)</f>
        <v>0</v>
      </c>
      <c r="Z435" s="37">
        <f t="shared" si="319"/>
        <v>0</v>
      </c>
      <c r="AA435" s="166"/>
      <c r="AB435" s="38"/>
      <c r="AC435" s="38"/>
    </row>
    <row r="436" spans="1:29" hidden="1" outlineLevel="2" x14ac:dyDescent="0.25">
      <c r="A436" s="158" t="s">
        <v>1141</v>
      </c>
      <c r="B436" s="187" t="str">
        <f t="shared" si="311"/>
        <v>3.5/3</v>
      </c>
      <c r="C436" s="168" t="s">
        <v>1440</v>
      </c>
      <c r="D436" s="169" t="s">
        <v>1441</v>
      </c>
      <c r="E436" s="170" t="s">
        <v>1384</v>
      </c>
      <c r="F436" s="171"/>
      <c r="G436" s="171"/>
      <c r="H436" s="33">
        <f t="shared" si="312"/>
        <v>0</v>
      </c>
      <c r="I436" s="505"/>
      <c r="J436" s="505">
        <f t="shared" si="340"/>
        <v>0</v>
      </c>
      <c r="K436" s="499"/>
      <c r="L436" s="499">
        <f t="shared" si="341"/>
        <v>0</v>
      </c>
      <c r="M436" s="39">
        <f t="shared" si="342"/>
        <v>0</v>
      </c>
      <c r="N436" s="163">
        <f t="shared" si="313"/>
        <v>0</v>
      </c>
      <c r="O436" s="172">
        <f t="shared" si="343"/>
        <v>0</v>
      </c>
      <c r="P436" s="521"/>
      <c r="Q436" s="521">
        <f t="shared" si="344"/>
        <v>0</v>
      </c>
      <c r="R436" s="526"/>
      <c r="S436" s="526">
        <f t="shared" si="345"/>
        <v>0</v>
      </c>
      <c r="T436" s="39">
        <f t="shared" si="339"/>
        <v>0</v>
      </c>
      <c r="U436" s="163">
        <f>+ROUND(T436*H436,2)</f>
        <v>0</v>
      </c>
      <c r="V436" s="173">
        <f t="shared" si="346"/>
        <v>0</v>
      </c>
      <c r="W436" s="164"/>
      <c r="X436" s="128" t="s">
        <v>1004</v>
      </c>
      <c r="Y436" s="37">
        <f>+ROUND((O436)*(1+SUMIF($Y$2:$Y$4,X436,$Z$2:$Z$4)),0)</f>
        <v>0</v>
      </c>
      <c r="Z436" s="37">
        <f t="shared" si="319"/>
        <v>0</v>
      </c>
      <c r="AA436" s="166"/>
      <c r="AB436" s="38"/>
      <c r="AC436" s="38"/>
    </row>
    <row r="437" spans="1:29" hidden="1" outlineLevel="2" x14ac:dyDescent="0.25">
      <c r="A437" s="158" t="s">
        <v>1182</v>
      </c>
      <c r="B437" s="187" t="str">
        <f>+B435</f>
        <v>3.5/3</v>
      </c>
      <c r="C437" s="168" t="s">
        <v>1442</v>
      </c>
      <c r="D437" s="174" t="s">
        <v>1443</v>
      </c>
      <c r="E437" s="170" t="s">
        <v>1384</v>
      </c>
      <c r="F437" s="171"/>
      <c r="G437" s="171"/>
      <c r="H437" s="33">
        <f t="shared" si="312"/>
        <v>0</v>
      </c>
      <c r="I437" s="505"/>
      <c r="J437" s="505">
        <f t="shared" si="340"/>
        <v>0</v>
      </c>
      <c r="K437" s="499"/>
      <c r="L437" s="499">
        <f t="shared" si="341"/>
        <v>0</v>
      </c>
      <c r="M437" s="39">
        <f t="shared" si="342"/>
        <v>0</v>
      </c>
      <c r="N437" s="163">
        <f t="shared" si="313"/>
        <v>0</v>
      </c>
      <c r="O437" s="172">
        <f t="shared" si="343"/>
        <v>0</v>
      </c>
      <c r="P437" s="521"/>
      <c r="Q437" s="521">
        <f t="shared" si="344"/>
        <v>0</v>
      </c>
      <c r="R437" s="526"/>
      <c r="S437" s="526">
        <f t="shared" si="345"/>
        <v>0</v>
      </c>
      <c r="T437" s="39">
        <f t="shared" si="339"/>
        <v>0</v>
      </c>
      <c r="U437" s="163">
        <f>+ROUND(T437*H437,2)</f>
        <v>0</v>
      </c>
      <c r="V437" s="173">
        <f t="shared" si="346"/>
        <v>0</v>
      </c>
      <c r="W437" s="164"/>
      <c r="X437" s="128" t="s">
        <v>1004</v>
      </c>
      <c r="Y437" s="37">
        <f>+ROUND((O437)*(1+SUMIF($Y$2:$Y$4,X437,$Z$2:$Z$4)),0)</f>
        <v>0</v>
      </c>
      <c r="Z437" s="37">
        <f t="shared" si="319"/>
        <v>0</v>
      </c>
      <c r="AA437" s="166"/>
      <c r="AB437" s="38"/>
      <c r="AC437" s="38"/>
    </row>
    <row r="438" spans="1:29" hidden="1" outlineLevel="2" x14ac:dyDescent="0.25">
      <c r="A438" s="158" t="s">
        <v>1182</v>
      </c>
      <c r="B438" s="187" t="str">
        <f>+B436</f>
        <v>3.5/3</v>
      </c>
      <c r="C438" s="168" t="s">
        <v>1444</v>
      </c>
      <c r="D438" s="169" t="s">
        <v>1445</v>
      </c>
      <c r="E438" s="170" t="s">
        <v>1384</v>
      </c>
      <c r="F438" s="171"/>
      <c r="G438" s="171"/>
      <c r="H438" s="33">
        <f t="shared" si="312"/>
        <v>0</v>
      </c>
      <c r="I438" s="505"/>
      <c r="J438" s="505">
        <f t="shared" si="340"/>
        <v>0</v>
      </c>
      <c r="K438" s="499"/>
      <c r="L438" s="499">
        <f t="shared" si="341"/>
        <v>0</v>
      </c>
      <c r="M438" s="39">
        <f t="shared" si="342"/>
        <v>0</v>
      </c>
      <c r="N438" s="163">
        <f t="shared" si="313"/>
        <v>0</v>
      </c>
      <c r="O438" s="172">
        <f t="shared" si="343"/>
        <v>0</v>
      </c>
      <c r="P438" s="521"/>
      <c r="Q438" s="521">
        <f t="shared" si="344"/>
        <v>0</v>
      </c>
      <c r="R438" s="526"/>
      <c r="S438" s="526">
        <f t="shared" si="345"/>
        <v>0</v>
      </c>
      <c r="T438" s="39">
        <f t="shared" si="339"/>
        <v>0</v>
      </c>
      <c r="U438" s="163">
        <f>+ROUND(T438*H438,2)</f>
        <v>0</v>
      </c>
      <c r="V438" s="173">
        <f t="shared" si="346"/>
        <v>0</v>
      </c>
      <c r="W438" s="164"/>
      <c r="X438" s="128" t="s">
        <v>1004</v>
      </c>
      <c r="Y438" s="37">
        <f>+ROUND((O438)*(1+SUMIF($Y$2:$Y$4,X438,$Z$2:$Z$4)),0)</f>
        <v>0</v>
      </c>
      <c r="Z438" s="37">
        <f t="shared" si="319"/>
        <v>0</v>
      </c>
      <c r="AA438" s="166"/>
      <c r="AB438" s="38"/>
      <c r="AC438" s="38"/>
    </row>
    <row r="439" spans="1:29" hidden="1" outlineLevel="2" x14ac:dyDescent="0.25">
      <c r="A439" s="158" t="s">
        <v>1182</v>
      </c>
      <c r="B439" s="187" t="str">
        <f t="shared" si="311"/>
        <v>3.5/3</v>
      </c>
      <c r="C439" s="168" t="s">
        <v>1446</v>
      </c>
      <c r="D439" s="169" t="s">
        <v>1447</v>
      </c>
      <c r="E439" s="170" t="s">
        <v>1384</v>
      </c>
      <c r="F439" s="171"/>
      <c r="G439" s="171"/>
      <c r="H439" s="33">
        <f t="shared" si="312"/>
        <v>0</v>
      </c>
      <c r="I439" s="505"/>
      <c r="J439" s="505">
        <f t="shared" si="340"/>
        <v>0</v>
      </c>
      <c r="K439" s="499"/>
      <c r="L439" s="499">
        <f t="shared" si="341"/>
        <v>0</v>
      </c>
      <c r="M439" s="39">
        <f t="shared" si="342"/>
        <v>0</v>
      </c>
      <c r="N439" s="163">
        <f t="shared" si="313"/>
        <v>0</v>
      </c>
      <c r="O439" s="172">
        <f t="shared" si="343"/>
        <v>0</v>
      </c>
      <c r="P439" s="521"/>
      <c r="Q439" s="521">
        <f t="shared" si="344"/>
        <v>0</v>
      </c>
      <c r="R439" s="526"/>
      <c r="S439" s="526">
        <f t="shared" si="345"/>
        <v>0</v>
      </c>
      <c r="T439" s="39">
        <f t="shared" si="339"/>
        <v>0</v>
      </c>
      <c r="U439" s="163">
        <f>+ROUND(T439*H439,2)</f>
        <v>0</v>
      </c>
      <c r="V439" s="173">
        <f t="shared" si="346"/>
        <v>0</v>
      </c>
      <c r="W439" s="164"/>
      <c r="X439" s="128" t="s">
        <v>1004</v>
      </c>
      <c r="Y439" s="37">
        <f>+ROUND((O439)*(1+SUMIF($Y$2:$Y$4,X439,$Z$2:$Z$4)),0)</f>
        <v>0</v>
      </c>
      <c r="Z439" s="37">
        <f t="shared" si="319"/>
        <v>0</v>
      </c>
      <c r="AA439" s="166"/>
      <c r="AB439" s="38"/>
      <c r="AC439" s="38"/>
    </row>
    <row r="440" spans="1:29" hidden="1" outlineLevel="2" x14ac:dyDescent="0.25">
      <c r="A440" s="158" t="s">
        <v>1255</v>
      </c>
      <c r="B440" s="187" t="str">
        <f>+B438</f>
        <v>3.5/3</v>
      </c>
      <c r="C440" s="168" t="s">
        <v>1448</v>
      </c>
      <c r="D440" s="174" t="s">
        <v>1449</v>
      </c>
      <c r="E440" s="170" t="s">
        <v>1384</v>
      </c>
      <c r="F440" s="171"/>
      <c r="G440" s="171"/>
      <c r="H440" s="33">
        <f t="shared" ref="H440" si="347">+SUM(F440:G440)</f>
        <v>0</v>
      </c>
      <c r="I440" s="505"/>
      <c r="J440" s="505">
        <f t="shared" si="340"/>
        <v>0</v>
      </c>
      <c r="K440" s="499"/>
      <c r="L440" s="499">
        <f t="shared" si="341"/>
        <v>0</v>
      </c>
      <c r="M440" s="39">
        <f t="shared" si="342"/>
        <v>0</v>
      </c>
      <c r="N440" s="163">
        <f t="shared" ref="N440" si="348">+ROUND(M440*H440,2)</f>
        <v>0</v>
      </c>
      <c r="O440" s="172">
        <f t="shared" ref="O440" si="349">N440</f>
        <v>0</v>
      </c>
      <c r="P440" s="521"/>
      <c r="Q440" s="521">
        <f t="shared" si="344"/>
        <v>0</v>
      </c>
      <c r="R440" s="526"/>
      <c r="S440" s="526">
        <f t="shared" si="345"/>
        <v>0</v>
      </c>
      <c r="T440" s="39">
        <f t="shared" si="339"/>
        <v>0</v>
      </c>
      <c r="U440" s="163">
        <f>+ROUND(T440*H440,2)</f>
        <v>0</v>
      </c>
      <c r="V440" s="173">
        <f t="shared" ref="V440" si="350">U440</f>
        <v>0</v>
      </c>
      <c r="W440" s="164"/>
      <c r="X440" s="128" t="s">
        <v>1004</v>
      </c>
      <c r="Y440" s="37">
        <f>+ROUND((O440)*(1+SUMIF($Y$2:$Y$4,X440,$Z$2:$Z$4)),0)</f>
        <v>0</v>
      </c>
      <c r="Z440" s="37">
        <f t="shared" si="319"/>
        <v>0</v>
      </c>
      <c r="AA440" s="166"/>
      <c r="AB440" s="38"/>
      <c r="AC440" s="38"/>
    </row>
    <row r="441" spans="1:29" hidden="1" outlineLevel="2" x14ac:dyDescent="0.25">
      <c r="A441" s="158" t="s">
        <v>1255</v>
      </c>
      <c r="B441" s="187" t="str">
        <f>+B439</f>
        <v>3.5/3</v>
      </c>
      <c r="C441" s="168" t="s">
        <v>1450</v>
      </c>
      <c r="D441" s="169" t="s">
        <v>1451</v>
      </c>
      <c r="E441" s="170" t="s">
        <v>1384</v>
      </c>
      <c r="F441" s="171"/>
      <c r="G441" s="171"/>
      <c r="H441" s="33">
        <f t="shared" si="312"/>
        <v>0</v>
      </c>
      <c r="I441" s="505"/>
      <c r="J441" s="505">
        <f t="shared" si="340"/>
        <v>0</v>
      </c>
      <c r="K441" s="499"/>
      <c r="L441" s="499">
        <f t="shared" si="341"/>
        <v>0</v>
      </c>
      <c r="M441" s="39">
        <f t="shared" si="342"/>
        <v>0</v>
      </c>
      <c r="N441" s="163">
        <f t="shared" si="313"/>
        <v>0</v>
      </c>
      <c r="O441" s="172">
        <f t="shared" si="343"/>
        <v>0</v>
      </c>
      <c r="P441" s="521"/>
      <c r="Q441" s="521">
        <f t="shared" si="344"/>
        <v>0</v>
      </c>
      <c r="R441" s="526"/>
      <c r="S441" s="526">
        <f t="shared" si="345"/>
        <v>0</v>
      </c>
      <c r="T441" s="39">
        <f t="shared" si="339"/>
        <v>0</v>
      </c>
      <c r="U441" s="163">
        <f>+ROUND(T441*H441,2)</f>
        <v>0</v>
      </c>
      <c r="V441" s="173">
        <f t="shared" si="346"/>
        <v>0</v>
      </c>
      <c r="W441" s="164"/>
      <c r="X441" s="128" t="s">
        <v>1004</v>
      </c>
      <c r="Y441" s="37">
        <f>+ROUND((O441)*(1+SUMIF($Y$2:$Y$4,X441,$Z$2:$Z$4)),0)</f>
        <v>0</v>
      </c>
      <c r="Z441" s="37">
        <f t="shared" si="319"/>
        <v>0</v>
      </c>
      <c r="AA441" s="166"/>
      <c r="AB441" s="38"/>
      <c r="AC441" s="38"/>
    </row>
    <row r="442" spans="1:29" hidden="1" outlineLevel="2" x14ac:dyDescent="0.25">
      <c r="A442" s="158" t="s">
        <v>1255</v>
      </c>
      <c r="B442" s="187" t="str">
        <f t="shared" si="311"/>
        <v>3.5/3</v>
      </c>
      <c r="C442" s="168" t="s">
        <v>1452</v>
      </c>
      <c r="D442" s="169" t="s">
        <v>1453</v>
      </c>
      <c r="E442" s="170" t="s">
        <v>1384</v>
      </c>
      <c r="F442" s="171"/>
      <c r="G442" s="171"/>
      <c r="H442" s="33">
        <f t="shared" si="312"/>
        <v>0</v>
      </c>
      <c r="I442" s="505"/>
      <c r="J442" s="505">
        <f t="shared" si="340"/>
        <v>0</v>
      </c>
      <c r="K442" s="499"/>
      <c r="L442" s="499">
        <f t="shared" si="341"/>
        <v>0</v>
      </c>
      <c r="M442" s="39">
        <f t="shared" si="342"/>
        <v>0</v>
      </c>
      <c r="N442" s="163">
        <f t="shared" si="313"/>
        <v>0</v>
      </c>
      <c r="O442" s="172">
        <f t="shared" si="343"/>
        <v>0</v>
      </c>
      <c r="P442" s="521"/>
      <c r="Q442" s="521">
        <f t="shared" si="344"/>
        <v>0</v>
      </c>
      <c r="R442" s="526"/>
      <c r="S442" s="526">
        <f t="shared" si="345"/>
        <v>0</v>
      </c>
      <c r="T442" s="39">
        <f t="shared" si="339"/>
        <v>0</v>
      </c>
      <c r="U442" s="163">
        <f>+ROUND(T442*H442,2)</f>
        <v>0</v>
      </c>
      <c r="V442" s="173">
        <f t="shared" si="346"/>
        <v>0</v>
      </c>
      <c r="W442" s="164"/>
      <c r="X442" s="128" t="s">
        <v>1004</v>
      </c>
      <c r="Y442" s="37">
        <f>+ROUND((O442)*(1+SUMIF($Y$2:$Y$4,X442,$Z$2:$Z$4)),0)</f>
        <v>0</v>
      </c>
      <c r="Z442" s="37">
        <f t="shared" si="319"/>
        <v>0</v>
      </c>
      <c r="AA442" s="166"/>
      <c r="AB442" s="38"/>
      <c r="AC442" s="38"/>
    </row>
    <row r="443" spans="1:29" hidden="1" outlineLevel="2" x14ac:dyDescent="0.25">
      <c r="A443" s="158" t="s">
        <v>1253</v>
      </c>
      <c r="B443" s="187" t="str">
        <f t="shared" si="311"/>
        <v>3.5/3</v>
      </c>
      <c r="C443" s="168" t="s">
        <v>1454</v>
      </c>
      <c r="D443" s="174" t="s">
        <v>1455</v>
      </c>
      <c r="E443" s="170" t="s">
        <v>1384</v>
      </c>
      <c r="F443" s="171"/>
      <c r="G443" s="171"/>
      <c r="H443" s="33">
        <f t="shared" si="312"/>
        <v>0</v>
      </c>
      <c r="I443" s="505"/>
      <c r="J443" s="505">
        <f t="shared" si="340"/>
        <v>0</v>
      </c>
      <c r="K443" s="499"/>
      <c r="L443" s="499">
        <f t="shared" si="341"/>
        <v>0</v>
      </c>
      <c r="M443" s="39">
        <f t="shared" si="342"/>
        <v>0</v>
      </c>
      <c r="N443" s="163">
        <f t="shared" si="313"/>
        <v>0</v>
      </c>
      <c r="O443" s="172">
        <f t="shared" si="343"/>
        <v>0</v>
      </c>
      <c r="P443" s="521"/>
      <c r="Q443" s="521">
        <f t="shared" si="344"/>
        <v>0</v>
      </c>
      <c r="R443" s="526"/>
      <c r="S443" s="526">
        <f t="shared" si="345"/>
        <v>0</v>
      </c>
      <c r="T443" s="39">
        <f t="shared" si="339"/>
        <v>0</v>
      </c>
      <c r="U443" s="163">
        <f>+ROUND(T443*H443,2)</f>
        <v>0</v>
      </c>
      <c r="V443" s="173">
        <f t="shared" si="346"/>
        <v>0</v>
      </c>
      <c r="W443" s="164"/>
      <c r="X443" s="128" t="s">
        <v>1004</v>
      </c>
      <c r="Y443" s="37">
        <f>+ROUND((O443)*(1+SUMIF($Y$2:$Y$4,X443,$Z$2:$Z$4)),0)</f>
        <v>0</v>
      </c>
      <c r="Z443" s="37">
        <f t="shared" si="319"/>
        <v>0</v>
      </c>
      <c r="AA443" s="166"/>
      <c r="AB443" s="38"/>
      <c r="AC443" s="38"/>
    </row>
    <row r="444" spans="1:29" hidden="1" outlineLevel="2" x14ac:dyDescent="0.25">
      <c r="A444" s="158" t="s">
        <v>1171</v>
      </c>
      <c r="B444" s="187" t="str">
        <f>+B442</f>
        <v>3.5/3</v>
      </c>
      <c r="C444" s="249">
        <v>2.5</v>
      </c>
      <c r="D444" s="226" t="s">
        <v>1456</v>
      </c>
      <c r="E444" s="170" t="s">
        <v>1384</v>
      </c>
      <c r="F444" s="171"/>
      <c r="G444" s="171"/>
      <c r="H444" s="33">
        <f t="shared" ref="H444" si="351">+SUM(F444:G444)</f>
        <v>0</v>
      </c>
      <c r="I444" s="505"/>
      <c r="J444" s="505">
        <f t="shared" si="340"/>
        <v>0</v>
      </c>
      <c r="K444" s="499"/>
      <c r="L444" s="499">
        <f t="shared" si="341"/>
        <v>0</v>
      </c>
      <c r="M444" s="39">
        <f t="shared" si="342"/>
        <v>0</v>
      </c>
      <c r="N444" s="163">
        <f t="shared" ref="N444" si="352">+ROUND(M444*H444,2)</f>
        <v>0</v>
      </c>
      <c r="O444" s="172">
        <f t="shared" ref="O444" si="353">N444</f>
        <v>0</v>
      </c>
      <c r="P444" s="521"/>
      <c r="Q444" s="521">
        <f t="shared" si="344"/>
        <v>0</v>
      </c>
      <c r="R444" s="526"/>
      <c r="S444" s="526">
        <f t="shared" si="345"/>
        <v>0</v>
      </c>
      <c r="T444" s="39">
        <f t="shared" si="339"/>
        <v>0</v>
      </c>
      <c r="U444" s="163">
        <f>+ROUND(T444*H444,2)</f>
        <v>0</v>
      </c>
      <c r="V444" s="173">
        <f t="shared" ref="V444" si="354">U444</f>
        <v>0</v>
      </c>
      <c r="W444" s="164"/>
      <c r="X444" s="128" t="s">
        <v>1004</v>
      </c>
      <c r="Y444" s="37">
        <f>+ROUND((O444)*(1+SUMIF($Y$2:$Y$4,X444,$Z$2:$Z$4)),0)</f>
        <v>0</v>
      </c>
      <c r="Z444" s="37">
        <f t="shared" si="319"/>
        <v>0</v>
      </c>
      <c r="AA444" s="166"/>
      <c r="AB444" s="38"/>
      <c r="AC444" s="38"/>
    </row>
    <row r="445" spans="1:29" ht="24" hidden="1" outlineLevel="2" x14ac:dyDescent="0.25">
      <c r="A445" s="158" t="s">
        <v>1171</v>
      </c>
      <c r="B445" s="187" t="str">
        <f>+B443</f>
        <v>3.5/3</v>
      </c>
      <c r="C445" s="168" t="s">
        <v>1457</v>
      </c>
      <c r="D445" s="169" t="s">
        <v>1458</v>
      </c>
      <c r="E445" s="170" t="s">
        <v>1384</v>
      </c>
      <c r="F445" s="171"/>
      <c r="G445" s="171"/>
      <c r="H445" s="33">
        <f t="shared" si="312"/>
        <v>0</v>
      </c>
      <c r="I445" s="505"/>
      <c r="J445" s="505">
        <f t="shared" si="340"/>
        <v>0</v>
      </c>
      <c r="K445" s="499"/>
      <c r="L445" s="499">
        <f t="shared" si="341"/>
        <v>0</v>
      </c>
      <c r="M445" s="39">
        <f t="shared" si="342"/>
        <v>0</v>
      </c>
      <c r="N445" s="163">
        <f t="shared" si="313"/>
        <v>0</v>
      </c>
      <c r="O445" s="172">
        <f t="shared" si="343"/>
        <v>0</v>
      </c>
      <c r="P445" s="521"/>
      <c r="Q445" s="521">
        <f t="shared" si="344"/>
        <v>0</v>
      </c>
      <c r="R445" s="526"/>
      <c r="S445" s="526">
        <f t="shared" si="345"/>
        <v>0</v>
      </c>
      <c r="T445" s="39">
        <f t="shared" si="339"/>
        <v>0</v>
      </c>
      <c r="U445" s="163">
        <f>+ROUND(T445*H445,2)</f>
        <v>0</v>
      </c>
      <c r="V445" s="173">
        <f t="shared" si="346"/>
        <v>0</v>
      </c>
      <c r="W445" s="164"/>
      <c r="X445" s="128" t="s">
        <v>1004</v>
      </c>
      <c r="Y445" s="37">
        <f>+ROUND((O445)*(1+SUMIF($Y$2:$Y$4,X445,$Z$2:$Z$4)),0)</f>
        <v>0</v>
      </c>
      <c r="Z445" s="37">
        <f t="shared" si="319"/>
        <v>0</v>
      </c>
      <c r="AA445" s="166"/>
      <c r="AB445" s="38"/>
      <c r="AC445" s="38"/>
    </row>
    <row r="446" spans="1:29" hidden="1" outlineLevel="2" x14ac:dyDescent="0.25">
      <c r="A446" s="158" t="s">
        <v>1213</v>
      </c>
      <c r="B446" s="187" t="str">
        <f t="shared" ref="B446:B483" si="355">+B445</f>
        <v>3.5/3</v>
      </c>
      <c r="C446" s="168" t="s">
        <v>1459</v>
      </c>
      <c r="D446" s="169" t="s">
        <v>1460</v>
      </c>
      <c r="E446" s="170" t="s">
        <v>1384</v>
      </c>
      <c r="F446" s="171"/>
      <c r="G446" s="171"/>
      <c r="H446" s="33">
        <f t="shared" si="312"/>
        <v>0</v>
      </c>
      <c r="I446" s="505"/>
      <c r="J446" s="505">
        <f t="shared" si="340"/>
        <v>0</v>
      </c>
      <c r="K446" s="499"/>
      <c r="L446" s="499">
        <f t="shared" si="341"/>
        <v>0</v>
      </c>
      <c r="M446" s="39">
        <f t="shared" si="342"/>
        <v>0</v>
      </c>
      <c r="N446" s="163">
        <f t="shared" si="313"/>
        <v>0</v>
      </c>
      <c r="O446" s="172">
        <f t="shared" si="343"/>
        <v>0</v>
      </c>
      <c r="P446" s="521"/>
      <c r="Q446" s="521">
        <f t="shared" si="344"/>
        <v>0</v>
      </c>
      <c r="R446" s="526"/>
      <c r="S446" s="526">
        <f t="shared" si="345"/>
        <v>0</v>
      </c>
      <c r="T446" s="39">
        <f t="shared" si="339"/>
        <v>0</v>
      </c>
      <c r="U446" s="163">
        <f>+ROUND(T446*H446,2)</f>
        <v>0</v>
      </c>
      <c r="V446" s="173">
        <f t="shared" si="346"/>
        <v>0</v>
      </c>
      <c r="W446" s="164"/>
      <c r="X446" s="128" t="s">
        <v>1004</v>
      </c>
      <c r="Y446" s="37">
        <f>+ROUND((O446)*(1+SUMIF($Y$2:$Y$4,X446,$Z$2:$Z$4)),0)</f>
        <v>0</v>
      </c>
      <c r="Z446" s="37">
        <f t="shared" ref="Z446:Z476" si="356">+ROUND((V446)*(1+SUMIF($Y$2:$Y$4,X446,$Z$2:$Z$4)),0)</f>
        <v>0</v>
      </c>
      <c r="AA446" s="166"/>
      <c r="AB446" s="38"/>
      <c r="AC446" s="38"/>
    </row>
    <row r="447" spans="1:29" hidden="1" outlineLevel="2" x14ac:dyDescent="0.25">
      <c r="A447" s="158" t="s">
        <v>1213</v>
      </c>
      <c r="B447" s="187" t="str">
        <f t="shared" si="355"/>
        <v>3.5/3</v>
      </c>
      <c r="C447" s="168" t="s">
        <v>1461</v>
      </c>
      <c r="D447" s="169" t="s">
        <v>1462</v>
      </c>
      <c r="E447" s="170" t="s">
        <v>1384</v>
      </c>
      <c r="F447" s="171"/>
      <c r="G447" s="171"/>
      <c r="H447" s="33">
        <f t="shared" si="312"/>
        <v>0</v>
      </c>
      <c r="I447" s="505"/>
      <c r="J447" s="505">
        <f t="shared" si="340"/>
        <v>0</v>
      </c>
      <c r="K447" s="499"/>
      <c r="L447" s="499">
        <f t="shared" si="341"/>
        <v>0</v>
      </c>
      <c r="M447" s="39">
        <f t="shared" si="342"/>
        <v>0</v>
      </c>
      <c r="N447" s="163">
        <f t="shared" si="313"/>
        <v>0</v>
      </c>
      <c r="O447" s="172">
        <f t="shared" si="343"/>
        <v>0</v>
      </c>
      <c r="P447" s="521"/>
      <c r="Q447" s="521">
        <f t="shared" si="344"/>
        <v>0</v>
      </c>
      <c r="R447" s="526"/>
      <c r="S447" s="526">
        <f t="shared" si="345"/>
        <v>0</v>
      </c>
      <c r="T447" s="39">
        <f t="shared" si="339"/>
        <v>0</v>
      </c>
      <c r="U447" s="163">
        <f>+ROUND(T447*H447,2)</f>
        <v>0</v>
      </c>
      <c r="V447" s="173">
        <f t="shared" si="346"/>
        <v>0</v>
      </c>
      <c r="W447" s="164"/>
      <c r="X447" s="128" t="s">
        <v>1004</v>
      </c>
      <c r="Y447" s="37">
        <f>+ROUND((O447)*(1+SUMIF($Y$2:$Y$4,X447,$Z$2:$Z$4)),0)</f>
        <v>0</v>
      </c>
      <c r="Z447" s="37">
        <f t="shared" si="356"/>
        <v>0</v>
      </c>
      <c r="AA447" s="166"/>
      <c r="AB447" s="38"/>
      <c r="AC447" s="38"/>
    </row>
    <row r="448" spans="1:29" hidden="1" outlineLevel="1" x14ac:dyDescent="0.25">
      <c r="A448" s="506" t="s">
        <v>1022</v>
      </c>
      <c r="B448" s="512" t="str">
        <f t="shared" si="355"/>
        <v>3.5/3</v>
      </c>
      <c r="C448" s="508"/>
      <c r="D448" s="509" t="s">
        <v>1023</v>
      </c>
      <c r="E448" s="510"/>
      <c r="F448" s="511"/>
      <c r="G448" s="511"/>
      <c r="H448" s="512">
        <f t="shared" si="312"/>
        <v>0</v>
      </c>
      <c r="I448" s="512"/>
      <c r="J448" s="512">
        <f t="shared" si="340"/>
        <v>0</v>
      </c>
      <c r="K448" s="512"/>
      <c r="L448" s="512">
        <f t="shared" si="341"/>
        <v>0</v>
      </c>
      <c r="M448" s="512">
        <f t="shared" si="342"/>
        <v>0</v>
      </c>
      <c r="N448" s="512">
        <f>SUM(N435:N447)</f>
        <v>0</v>
      </c>
      <c r="O448" s="566">
        <f>SUM(O435:O447)</f>
        <v>0</v>
      </c>
      <c r="P448" s="512"/>
      <c r="Q448" s="512">
        <f t="shared" si="344"/>
        <v>0</v>
      </c>
      <c r="R448" s="512"/>
      <c r="S448" s="512">
        <f t="shared" si="345"/>
        <v>0</v>
      </c>
      <c r="T448" s="512">
        <f t="shared" si="339"/>
        <v>0</v>
      </c>
      <c r="U448" s="512">
        <f>SUM(U435:U447)</f>
        <v>0</v>
      </c>
      <c r="V448" s="566">
        <f>SUM(V435:V447)</f>
        <v>0</v>
      </c>
      <c r="W448" s="507"/>
      <c r="X448" s="514" t="s">
        <v>1004</v>
      </c>
      <c r="Y448" s="515">
        <f>+ROUND((O448)*(1+SUMIF($Y$2:$Y$4,X448,$Z$2:$Z$4)),0)</f>
        <v>0</v>
      </c>
      <c r="Z448" s="515">
        <f t="shared" si="356"/>
        <v>0</v>
      </c>
      <c r="AA448" s="166"/>
      <c r="AB448" s="38"/>
      <c r="AC448" s="38"/>
    </row>
    <row r="449" spans="1:29" hidden="1" outlineLevel="1" x14ac:dyDescent="0.25">
      <c r="A449" s="158" t="s">
        <v>1207</v>
      </c>
      <c r="B449" s="187" t="s">
        <v>362</v>
      </c>
      <c r="C449" s="250">
        <v>2</v>
      </c>
      <c r="D449" s="161" t="s">
        <v>1434</v>
      </c>
      <c r="E449" s="162"/>
      <c r="F449" s="40"/>
      <c r="G449" s="40"/>
      <c r="H449" s="33">
        <f t="shared" si="312"/>
        <v>0</v>
      </c>
      <c r="I449" s="504"/>
      <c r="J449" s="504">
        <f t="shared" si="340"/>
        <v>0</v>
      </c>
      <c r="K449" s="498"/>
      <c r="L449" s="498">
        <f t="shared" si="341"/>
        <v>0</v>
      </c>
      <c r="M449" s="34">
        <f t="shared" si="342"/>
        <v>0</v>
      </c>
      <c r="N449" s="163">
        <f t="shared" ref="N449" si="357">+ROUND(M449*H449,2)</f>
        <v>0</v>
      </c>
      <c r="O449" s="172">
        <f t="shared" ref="O449" si="358">N449</f>
        <v>0</v>
      </c>
      <c r="P449" s="520"/>
      <c r="Q449" s="520">
        <f t="shared" si="344"/>
        <v>0</v>
      </c>
      <c r="R449" s="525"/>
      <c r="S449" s="525">
        <f t="shared" si="345"/>
        <v>0</v>
      </c>
      <c r="T449" s="39">
        <f t="shared" si="339"/>
        <v>0</v>
      </c>
      <c r="U449" s="163">
        <f>+ROUND(T449*H449,2)</f>
        <v>0</v>
      </c>
      <c r="V449" s="173">
        <f t="shared" ref="V449" si="359">U449</f>
        <v>0</v>
      </c>
      <c r="W449" s="164"/>
      <c r="X449" s="128" t="s">
        <v>1004</v>
      </c>
      <c r="Y449" s="37">
        <f>+ROUND((O449)*(1+SUMIF($Y$2:$Y$4,X449,$Z$2:$Z$4)),0)</f>
        <v>0</v>
      </c>
      <c r="Z449" s="37">
        <f t="shared" si="356"/>
        <v>0</v>
      </c>
      <c r="AA449" s="166"/>
      <c r="AB449" s="38"/>
      <c r="AC449" s="38"/>
    </row>
    <row r="450" spans="1:29" hidden="1" outlineLevel="2" x14ac:dyDescent="0.25">
      <c r="A450" s="158" t="s">
        <v>1207</v>
      </c>
      <c r="B450" s="187" t="str">
        <f>+B449</f>
        <v>3.5/4</v>
      </c>
      <c r="C450" s="249">
        <v>2.6</v>
      </c>
      <c r="D450" s="226" t="s">
        <v>1464</v>
      </c>
      <c r="E450" s="170" t="s">
        <v>1384</v>
      </c>
      <c r="F450" s="171"/>
      <c r="G450" s="171"/>
      <c r="H450" s="33">
        <f t="shared" ref="H450:H451" si="360">+SUM(F450:G450)</f>
        <v>0</v>
      </c>
      <c r="I450" s="505"/>
      <c r="J450" s="505">
        <f t="shared" si="340"/>
        <v>0</v>
      </c>
      <c r="K450" s="499"/>
      <c r="L450" s="499">
        <f t="shared" si="341"/>
        <v>0</v>
      </c>
      <c r="M450" s="39">
        <f t="shared" si="342"/>
        <v>0</v>
      </c>
      <c r="N450" s="163">
        <f t="shared" ref="N450:N451" si="361">+ROUND(M450*H450,2)</f>
        <v>0</v>
      </c>
      <c r="O450" s="172">
        <f t="shared" ref="O450:O451" si="362">N450</f>
        <v>0</v>
      </c>
      <c r="P450" s="521"/>
      <c r="Q450" s="521">
        <f t="shared" si="344"/>
        <v>0</v>
      </c>
      <c r="R450" s="526"/>
      <c r="S450" s="526">
        <f t="shared" si="345"/>
        <v>0</v>
      </c>
      <c r="T450" s="39">
        <f t="shared" si="339"/>
        <v>0</v>
      </c>
      <c r="U450" s="163">
        <f>+ROUND(T450*H450,2)</f>
        <v>0</v>
      </c>
      <c r="V450" s="173">
        <f t="shared" ref="V450:V451" si="363">U450</f>
        <v>0</v>
      </c>
      <c r="W450" s="164"/>
      <c r="X450" s="128" t="s">
        <v>1004</v>
      </c>
      <c r="Y450" s="37">
        <f>+ROUND((O450)*(1+SUMIF($Y$2:$Y$4,X450,$Z$2:$Z$4)),0)</f>
        <v>0</v>
      </c>
      <c r="Z450" s="37">
        <f t="shared" si="356"/>
        <v>0</v>
      </c>
      <c r="AA450" s="166"/>
      <c r="AB450" s="38"/>
      <c r="AC450" s="38"/>
    </row>
    <row r="451" spans="1:29" hidden="1" outlineLevel="2" x14ac:dyDescent="0.25">
      <c r="A451" s="158" t="s">
        <v>1207</v>
      </c>
      <c r="B451" s="187" t="str">
        <f>+B449</f>
        <v>3.5/4</v>
      </c>
      <c r="C451" s="168" t="s">
        <v>1465</v>
      </c>
      <c r="D451" s="174" t="s">
        <v>1466</v>
      </c>
      <c r="E451" s="170" t="s">
        <v>1384</v>
      </c>
      <c r="F451" s="171"/>
      <c r="G451" s="171"/>
      <c r="H451" s="33">
        <f t="shared" si="360"/>
        <v>0</v>
      </c>
      <c r="I451" s="505"/>
      <c r="J451" s="505">
        <f t="shared" si="340"/>
        <v>0</v>
      </c>
      <c r="K451" s="499"/>
      <c r="L451" s="499">
        <f t="shared" si="341"/>
        <v>0</v>
      </c>
      <c r="M451" s="39">
        <f t="shared" si="342"/>
        <v>0</v>
      </c>
      <c r="N451" s="163">
        <f t="shared" si="361"/>
        <v>0</v>
      </c>
      <c r="O451" s="172">
        <f t="shared" si="362"/>
        <v>0</v>
      </c>
      <c r="P451" s="521"/>
      <c r="Q451" s="521">
        <f t="shared" si="344"/>
        <v>0</v>
      </c>
      <c r="R451" s="526"/>
      <c r="S451" s="526">
        <f t="shared" si="345"/>
        <v>0</v>
      </c>
      <c r="T451" s="39">
        <f t="shared" si="339"/>
        <v>0</v>
      </c>
      <c r="U451" s="163">
        <f>+ROUND(T451*H451,2)</f>
        <v>0</v>
      </c>
      <c r="V451" s="173">
        <f t="shared" si="363"/>
        <v>0</v>
      </c>
      <c r="W451" s="164"/>
      <c r="X451" s="128" t="s">
        <v>1004</v>
      </c>
      <c r="Y451" s="37">
        <f>+ROUND((O451)*(1+SUMIF($Y$2:$Y$4,X451,$Z$2:$Z$4)),0)</f>
        <v>0</v>
      </c>
      <c r="Z451" s="37">
        <f t="shared" si="356"/>
        <v>0</v>
      </c>
      <c r="AA451" s="166"/>
      <c r="AB451" s="38"/>
      <c r="AC451" s="38"/>
    </row>
    <row r="452" spans="1:29" hidden="1" outlineLevel="2" x14ac:dyDescent="0.25">
      <c r="A452" s="158" t="s">
        <v>1207</v>
      </c>
      <c r="B452" s="187" t="str">
        <f>+B450</f>
        <v>3.5/4</v>
      </c>
      <c r="C452" s="168" t="s">
        <v>1467</v>
      </c>
      <c r="D452" s="169" t="s">
        <v>1468</v>
      </c>
      <c r="E452" s="170" t="s">
        <v>1384</v>
      </c>
      <c r="F452" s="171"/>
      <c r="G452" s="171"/>
      <c r="H452" s="33">
        <f t="shared" si="312"/>
        <v>0</v>
      </c>
      <c r="I452" s="505"/>
      <c r="J452" s="505">
        <f t="shared" si="340"/>
        <v>0</v>
      </c>
      <c r="K452" s="499"/>
      <c r="L452" s="499">
        <f t="shared" si="341"/>
        <v>0</v>
      </c>
      <c r="M452" s="39">
        <f t="shared" si="342"/>
        <v>0</v>
      </c>
      <c r="N452" s="163">
        <f t="shared" si="313"/>
        <v>0</v>
      </c>
      <c r="O452" s="172">
        <f t="shared" ref="O452:O460" si="364">N452</f>
        <v>0</v>
      </c>
      <c r="P452" s="521"/>
      <c r="Q452" s="521">
        <f t="shared" si="344"/>
        <v>0</v>
      </c>
      <c r="R452" s="526"/>
      <c r="S452" s="526">
        <f t="shared" si="345"/>
        <v>0</v>
      </c>
      <c r="T452" s="39">
        <f t="shared" si="339"/>
        <v>0</v>
      </c>
      <c r="U452" s="163">
        <f>+ROUND(T452*H452,2)</f>
        <v>0</v>
      </c>
      <c r="V452" s="173">
        <f t="shared" ref="V452:V460" si="365">U452</f>
        <v>0</v>
      </c>
      <c r="W452" s="164"/>
      <c r="X452" s="128" t="s">
        <v>1004</v>
      </c>
      <c r="Y452" s="37">
        <f>+ROUND((O452)*(1+SUMIF($Y$2:$Y$4,X452,$Z$2:$Z$4)),0)</f>
        <v>0</v>
      </c>
      <c r="Z452" s="37">
        <f t="shared" si="356"/>
        <v>0</v>
      </c>
      <c r="AA452" s="166"/>
      <c r="AB452" s="38"/>
      <c r="AC452" s="38"/>
    </row>
    <row r="453" spans="1:29" hidden="1" outlineLevel="2" x14ac:dyDescent="0.25">
      <c r="A453" s="158" t="s">
        <v>1207</v>
      </c>
      <c r="B453" s="187" t="str">
        <f t="shared" si="355"/>
        <v>3.5/4</v>
      </c>
      <c r="C453" s="168" t="s">
        <v>1469</v>
      </c>
      <c r="D453" s="169" t="s">
        <v>1470</v>
      </c>
      <c r="E453" s="170" t="s">
        <v>1384</v>
      </c>
      <c r="F453" s="171"/>
      <c r="G453" s="171"/>
      <c r="H453" s="33">
        <f t="shared" si="312"/>
        <v>0</v>
      </c>
      <c r="I453" s="505"/>
      <c r="J453" s="505">
        <f t="shared" si="340"/>
        <v>0</v>
      </c>
      <c r="K453" s="499"/>
      <c r="L453" s="499">
        <f t="shared" si="341"/>
        <v>0</v>
      </c>
      <c r="M453" s="39">
        <f t="shared" si="342"/>
        <v>0</v>
      </c>
      <c r="N453" s="163">
        <f t="shared" si="313"/>
        <v>0</v>
      </c>
      <c r="O453" s="172">
        <f t="shared" si="364"/>
        <v>0</v>
      </c>
      <c r="P453" s="521"/>
      <c r="Q453" s="521">
        <f t="shared" si="344"/>
        <v>0</v>
      </c>
      <c r="R453" s="526"/>
      <c r="S453" s="526">
        <f t="shared" si="345"/>
        <v>0</v>
      </c>
      <c r="T453" s="39">
        <f t="shared" si="339"/>
        <v>0</v>
      </c>
      <c r="U453" s="163">
        <f>+ROUND(T453*H453,2)</f>
        <v>0</v>
      </c>
      <c r="V453" s="173">
        <f t="shared" si="365"/>
        <v>0</v>
      </c>
      <c r="W453" s="164"/>
      <c r="X453" s="128" t="s">
        <v>1004</v>
      </c>
      <c r="Y453" s="37">
        <f>+ROUND((O453)*(1+SUMIF($Y$2:$Y$4,X453,$Z$2:$Z$4)),0)</f>
        <v>0</v>
      </c>
      <c r="Z453" s="37">
        <f t="shared" si="356"/>
        <v>0</v>
      </c>
      <c r="AA453" s="166"/>
      <c r="AB453" s="38"/>
      <c r="AC453" s="38"/>
    </row>
    <row r="454" spans="1:29" hidden="1" outlineLevel="2" x14ac:dyDescent="0.25">
      <c r="A454" s="158" t="s">
        <v>1197</v>
      </c>
      <c r="B454" s="187" t="str">
        <f>+B452</f>
        <v>3.5/4</v>
      </c>
      <c r="C454" s="168" t="s">
        <v>1551</v>
      </c>
      <c r="D454" s="174" t="s">
        <v>1472</v>
      </c>
      <c r="E454" s="170" t="s">
        <v>1384</v>
      </c>
      <c r="F454" s="171"/>
      <c r="G454" s="171"/>
      <c r="H454" s="33">
        <f t="shared" si="312"/>
        <v>0</v>
      </c>
      <c r="I454" s="505"/>
      <c r="J454" s="505">
        <f t="shared" si="340"/>
        <v>0</v>
      </c>
      <c r="K454" s="499"/>
      <c r="L454" s="499">
        <f t="shared" si="341"/>
        <v>0</v>
      </c>
      <c r="M454" s="39">
        <f t="shared" si="342"/>
        <v>0</v>
      </c>
      <c r="N454" s="163">
        <f t="shared" si="313"/>
        <v>0</v>
      </c>
      <c r="O454" s="172">
        <f t="shared" si="364"/>
        <v>0</v>
      </c>
      <c r="P454" s="521"/>
      <c r="Q454" s="521">
        <f t="shared" si="344"/>
        <v>0</v>
      </c>
      <c r="R454" s="526"/>
      <c r="S454" s="526">
        <f t="shared" si="345"/>
        <v>0</v>
      </c>
      <c r="T454" s="39">
        <f t="shared" si="339"/>
        <v>0</v>
      </c>
      <c r="U454" s="163">
        <f>+ROUND(T454*H454,2)</f>
        <v>0</v>
      </c>
      <c r="V454" s="173">
        <f t="shared" si="365"/>
        <v>0</v>
      </c>
      <c r="W454" s="164"/>
      <c r="X454" s="128" t="s">
        <v>1004</v>
      </c>
      <c r="Y454" s="37">
        <f>+ROUND((O454)*(1+SUMIF($Y$2:$Y$4,X454,$Z$2:$Z$4)),0)</f>
        <v>0</v>
      </c>
      <c r="Z454" s="37">
        <f t="shared" si="356"/>
        <v>0</v>
      </c>
      <c r="AA454" s="166"/>
      <c r="AB454" s="38"/>
      <c r="AC454" s="38"/>
    </row>
    <row r="455" spans="1:29" hidden="1" outlineLevel="2" x14ac:dyDescent="0.25">
      <c r="A455" s="158" t="s">
        <v>1197</v>
      </c>
      <c r="B455" s="187" t="str">
        <f>+B453</f>
        <v>3.5/4</v>
      </c>
      <c r="C455" s="168" t="s">
        <v>1471</v>
      </c>
      <c r="D455" s="169" t="s">
        <v>1472</v>
      </c>
      <c r="E455" s="170" t="s">
        <v>1384</v>
      </c>
      <c r="F455" s="171"/>
      <c r="G455" s="171"/>
      <c r="H455" s="33">
        <f t="shared" si="312"/>
        <v>0</v>
      </c>
      <c r="I455" s="505"/>
      <c r="J455" s="505">
        <f t="shared" si="340"/>
        <v>0</v>
      </c>
      <c r="K455" s="499"/>
      <c r="L455" s="499">
        <f t="shared" si="341"/>
        <v>0</v>
      </c>
      <c r="M455" s="39">
        <f t="shared" si="342"/>
        <v>0</v>
      </c>
      <c r="N455" s="163">
        <f t="shared" si="313"/>
        <v>0</v>
      </c>
      <c r="O455" s="172">
        <f t="shared" si="364"/>
        <v>0</v>
      </c>
      <c r="P455" s="521"/>
      <c r="Q455" s="521">
        <f t="shared" si="344"/>
        <v>0</v>
      </c>
      <c r="R455" s="526"/>
      <c r="S455" s="526">
        <f t="shared" si="345"/>
        <v>0</v>
      </c>
      <c r="T455" s="39">
        <f t="shared" si="339"/>
        <v>0</v>
      </c>
      <c r="U455" s="163">
        <f>+ROUND(T455*H455,2)</f>
        <v>0</v>
      </c>
      <c r="V455" s="173">
        <f t="shared" si="365"/>
        <v>0</v>
      </c>
      <c r="W455" s="164"/>
      <c r="X455" s="128" t="s">
        <v>1004</v>
      </c>
      <c r="Y455" s="37">
        <f>+ROUND((O455)*(1+SUMIF($Y$2:$Y$4,X455,$Z$2:$Z$4)),0)</f>
        <v>0</v>
      </c>
      <c r="Z455" s="37">
        <f t="shared" si="356"/>
        <v>0</v>
      </c>
      <c r="AA455" s="166"/>
      <c r="AB455" s="38"/>
      <c r="AC455" s="38"/>
    </row>
    <row r="456" spans="1:29" ht="24" hidden="1" outlineLevel="2" x14ac:dyDescent="0.25">
      <c r="A456" s="158" t="s">
        <v>1199</v>
      </c>
      <c r="B456" s="187" t="str">
        <f t="shared" si="355"/>
        <v>3.5/4</v>
      </c>
      <c r="C456" s="168" t="s">
        <v>1473</v>
      </c>
      <c r="D456" s="169" t="s">
        <v>1474</v>
      </c>
      <c r="E456" s="170" t="s">
        <v>1384</v>
      </c>
      <c r="F456" s="171"/>
      <c r="G456" s="171"/>
      <c r="H456" s="33">
        <f t="shared" si="312"/>
        <v>0</v>
      </c>
      <c r="I456" s="505"/>
      <c r="J456" s="505">
        <f t="shared" si="340"/>
        <v>0</v>
      </c>
      <c r="K456" s="499"/>
      <c r="L456" s="499">
        <f t="shared" si="341"/>
        <v>0</v>
      </c>
      <c r="M456" s="39">
        <f t="shared" si="342"/>
        <v>0</v>
      </c>
      <c r="N456" s="163">
        <f t="shared" si="313"/>
        <v>0</v>
      </c>
      <c r="O456" s="172">
        <f t="shared" si="364"/>
        <v>0</v>
      </c>
      <c r="P456" s="521"/>
      <c r="Q456" s="521">
        <f t="shared" si="344"/>
        <v>0</v>
      </c>
      <c r="R456" s="526"/>
      <c r="S456" s="526">
        <f t="shared" si="345"/>
        <v>0</v>
      </c>
      <c r="T456" s="39">
        <f t="shared" si="339"/>
        <v>0</v>
      </c>
      <c r="U456" s="163">
        <f>+ROUND(T456*H456,2)</f>
        <v>0</v>
      </c>
      <c r="V456" s="173">
        <f t="shared" si="365"/>
        <v>0</v>
      </c>
      <c r="W456" s="164"/>
      <c r="X456" s="128" t="s">
        <v>1004</v>
      </c>
      <c r="Y456" s="37">
        <f>+ROUND((O456)*(1+SUMIF($Y$2:$Y$4,X456,$Z$2:$Z$4)),0)</f>
        <v>0</v>
      </c>
      <c r="Z456" s="37">
        <f t="shared" si="356"/>
        <v>0</v>
      </c>
      <c r="AA456" s="166"/>
      <c r="AB456" s="38"/>
      <c r="AC456" s="38"/>
    </row>
    <row r="457" spans="1:29" hidden="1" outlineLevel="2" x14ac:dyDescent="0.25">
      <c r="A457" s="158" t="s">
        <v>1173</v>
      </c>
      <c r="B457" s="187" t="str">
        <f>+B456</f>
        <v>3.5/4</v>
      </c>
      <c r="C457" s="249">
        <v>2.7</v>
      </c>
      <c r="D457" s="226" t="s">
        <v>1475</v>
      </c>
      <c r="E457" s="170" t="s">
        <v>1384</v>
      </c>
      <c r="F457" s="171"/>
      <c r="G457" s="171"/>
      <c r="H457" s="33">
        <f t="shared" si="312"/>
        <v>0</v>
      </c>
      <c r="I457" s="505"/>
      <c r="J457" s="505">
        <f t="shared" si="340"/>
        <v>0</v>
      </c>
      <c r="K457" s="499"/>
      <c r="L457" s="499">
        <f t="shared" si="341"/>
        <v>0</v>
      </c>
      <c r="M457" s="39">
        <f t="shared" si="342"/>
        <v>0</v>
      </c>
      <c r="N457" s="163">
        <f t="shared" si="313"/>
        <v>0</v>
      </c>
      <c r="O457" s="172">
        <f t="shared" si="364"/>
        <v>0</v>
      </c>
      <c r="P457" s="521"/>
      <c r="Q457" s="521">
        <f t="shared" si="344"/>
        <v>0</v>
      </c>
      <c r="R457" s="526"/>
      <c r="S457" s="526">
        <f t="shared" si="345"/>
        <v>0</v>
      </c>
      <c r="T457" s="39">
        <f t="shared" si="339"/>
        <v>0</v>
      </c>
      <c r="U457" s="163">
        <f>+ROUND(T457*H457,2)</f>
        <v>0</v>
      </c>
      <c r="V457" s="173">
        <f t="shared" si="365"/>
        <v>0</v>
      </c>
      <c r="W457" s="164"/>
      <c r="X457" s="128" t="s">
        <v>1004</v>
      </c>
      <c r="Y457" s="37">
        <f>+ROUND((O457)*(1+SUMIF($Y$2:$Y$4,X457,$Z$2:$Z$4)),0)</f>
        <v>0</v>
      </c>
      <c r="Z457" s="37">
        <f t="shared" si="356"/>
        <v>0</v>
      </c>
      <c r="AA457" s="166"/>
      <c r="AB457" s="38"/>
      <c r="AC457" s="38"/>
    </row>
    <row r="458" spans="1:29" hidden="1" outlineLevel="2" x14ac:dyDescent="0.25">
      <c r="A458" s="158" t="s">
        <v>1173</v>
      </c>
      <c r="B458" s="187" t="str">
        <f>+B456</f>
        <v>3.5/4</v>
      </c>
      <c r="C458" s="168" t="s">
        <v>1476</v>
      </c>
      <c r="D458" s="169" t="s">
        <v>1477</v>
      </c>
      <c r="E458" s="170" t="s">
        <v>1384</v>
      </c>
      <c r="F458" s="171"/>
      <c r="G458" s="171"/>
      <c r="H458" s="33">
        <f t="shared" si="312"/>
        <v>0</v>
      </c>
      <c r="I458" s="505"/>
      <c r="J458" s="505">
        <f t="shared" si="340"/>
        <v>0</v>
      </c>
      <c r="K458" s="499"/>
      <c r="L458" s="499">
        <f t="shared" si="341"/>
        <v>0</v>
      </c>
      <c r="M458" s="39">
        <f t="shared" si="342"/>
        <v>0</v>
      </c>
      <c r="N458" s="163">
        <f t="shared" si="313"/>
        <v>0</v>
      </c>
      <c r="O458" s="172">
        <f t="shared" si="364"/>
        <v>0</v>
      </c>
      <c r="P458" s="521"/>
      <c r="Q458" s="521">
        <f t="shared" si="344"/>
        <v>0</v>
      </c>
      <c r="R458" s="526"/>
      <c r="S458" s="526">
        <f t="shared" si="345"/>
        <v>0</v>
      </c>
      <c r="T458" s="39">
        <f t="shared" si="339"/>
        <v>0</v>
      </c>
      <c r="U458" s="163">
        <f>+ROUND(T458*H458,2)</f>
        <v>0</v>
      </c>
      <c r="V458" s="173">
        <f t="shared" si="365"/>
        <v>0</v>
      </c>
      <c r="W458" s="164"/>
      <c r="X458" s="128" t="s">
        <v>1004</v>
      </c>
      <c r="Y458" s="37">
        <f>+ROUND((O458)*(1+SUMIF($Y$2:$Y$4,X458,$Z$2:$Z$4)),0)</f>
        <v>0</v>
      </c>
      <c r="Z458" s="37">
        <f t="shared" si="356"/>
        <v>0</v>
      </c>
      <c r="AA458" s="166"/>
      <c r="AB458" s="38"/>
      <c r="AC458" s="38"/>
    </row>
    <row r="459" spans="1:29" hidden="1" outlineLevel="2" x14ac:dyDescent="0.25">
      <c r="A459" s="158" t="s">
        <v>1197</v>
      </c>
      <c r="B459" s="187" t="str">
        <f>+B458</f>
        <v>3.5/4</v>
      </c>
      <c r="C459" s="249">
        <v>2.8</v>
      </c>
      <c r="D459" s="226" t="s">
        <v>1480</v>
      </c>
      <c r="E459" s="170" t="s">
        <v>1384</v>
      </c>
      <c r="F459" s="171"/>
      <c r="G459" s="171"/>
      <c r="H459" s="33">
        <f t="shared" ref="H459" si="366">+SUM(F459:G459)</f>
        <v>0</v>
      </c>
      <c r="I459" s="505"/>
      <c r="J459" s="505">
        <f t="shared" si="340"/>
        <v>0</v>
      </c>
      <c r="K459" s="499"/>
      <c r="L459" s="499">
        <f t="shared" si="341"/>
        <v>0</v>
      </c>
      <c r="M459" s="39">
        <f t="shared" si="342"/>
        <v>0</v>
      </c>
      <c r="N459" s="163">
        <f t="shared" ref="N459" si="367">+ROUND(M459*H459,2)</f>
        <v>0</v>
      </c>
      <c r="O459" s="172">
        <f t="shared" ref="O459" si="368">N459</f>
        <v>0</v>
      </c>
      <c r="P459" s="521"/>
      <c r="Q459" s="521">
        <f t="shared" si="344"/>
        <v>0</v>
      </c>
      <c r="R459" s="526"/>
      <c r="S459" s="526">
        <f t="shared" si="345"/>
        <v>0</v>
      </c>
      <c r="T459" s="39">
        <f t="shared" si="339"/>
        <v>0</v>
      </c>
      <c r="U459" s="163">
        <f>+ROUND(T459*H459,2)</f>
        <v>0</v>
      </c>
      <c r="V459" s="173">
        <f t="shared" ref="V459" si="369">U459</f>
        <v>0</v>
      </c>
      <c r="W459" s="164"/>
      <c r="X459" s="128" t="s">
        <v>1004</v>
      </c>
      <c r="Y459" s="37">
        <f>+ROUND((O459)*(1+SUMIF($Y$2:$Y$4,X459,$Z$2:$Z$4)),0)</f>
        <v>0</v>
      </c>
      <c r="Z459" s="37">
        <f t="shared" si="356"/>
        <v>0</v>
      </c>
      <c r="AA459" s="166"/>
      <c r="AB459" s="38"/>
      <c r="AC459" s="38"/>
    </row>
    <row r="460" spans="1:29" hidden="1" outlineLevel="2" x14ac:dyDescent="0.25">
      <c r="A460" s="158" t="s">
        <v>1197</v>
      </c>
      <c r="B460" s="187" t="str">
        <f>+B458</f>
        <v>3.5/4</v>
      </c>
      <c r="C460" s="168" t="s">
        <v>1481</v>
      </c>
      <c r="D460" s="169" t="s">
        <v>1480</v>
      </c>
      <c r="E460" s="170" t="s">
        <v>1384</v>
      </c>
      <c r="F460" s="171"/>
      <c r="G460" s="171"/>
      <c r="H460" s="33">
        <f t="shared" si="312"/>
        <v>0</v>
      </c>
      <c r="I460" s="505"/>
      <c r="J460" s="505">
        <f t="shared" si="340"/>
        <v>0</v>
      </c>
      <c r="K460" s="499"/>
      <c r="L460" s="499">
        <f t="shared" si="341"/>
        <v>0</v>
      </c>
      <c r="M460" s="39">
        <f t="shared" si="342"/>
        <v>0</v>
      </c>
      <c r="N460" s="163">
        <f t="shared" si="313"/>
        <v>0</v>
      </c>
      <c r="O460" s="172">
        <f t="shared" si="364"/>
        <v>0</v>
      </c>
      <c r="P460" s="521"/>
      <c r="Q460" s="521">
        <f t="shared" si="344"/>
        <v>0</v>
      </c>
      <c r="R460" s="526"/>
      <c r="S460" s="526">
        <f t="shared" si="345"/>
        <v>0</v>
      </c>
      <c r="T460" s="39">
        <f t="shared" si="339"/>
        <v>0</v>
      </c>
      <c r="U460" s="163">
        <f>+ROUND(T460*H460,2)</f>
        <v>0</v>
      </c>
      <c r="V460" s="173">
        <f t="shared" si="365"/>
        <v>0</v>
      </c>
      <c r="W460" s="164"/>
      <c r="X460" s="128" t="s">
        <v>1004</v>
      </c>
      <c r="Y460" s="37">
        <f>+ROUND((O460)*(1+SUMIF($Y$2:$Y$4,X460,$Z$2:$Z$4)),0)</f>
        <v>0</v>
      </c>
      <c r="Z460" s="37">
        <f t="shared" si="356"/>
        <v>0</v>
      </c>
      <c r="AA460" s="166"/>
      <c r="AB460" s="38"/>
      <c r="AC460" s="38"/>
    </row>
    <row r="461" spans="1:29" hidden="1" outlineLevel="1" x14ac:dyDescent="0.25">
      <c r="A461" s="506" t="s">
        <v>1022</v>
      </c>
      <c r="B461" s="512" t="str">
        <f t="shared" si="355"/>
        <v>3.5/4</v>
      </c>
      <c r="C461" s="508"/>
      <c r="D461" s="509" t="s">
        <v>1023</v>
      </c>
      <c r="E461" s="510"/>
      <c r="F461" s="511"/>
      <c r="G461" s="511"/>
      <c r="H461" s="512">
        <f t="shared" si="312"/>
        <v>0</v>
      </c>
      <c r="I461" s="512"/>
      <c r="J461" s="512">
        <f t="shared" si="340"/>
        <v>0</v>
      </c>
      <c r="K461" s="512"/>
      <c r="L461" s="512">
        <f t="shared" si="341"/>
        <v>0</v>
      </c>
      <c r="M461" s="512">
        <f t="shared" si="342"/>
        <v>0</v>
      </c>
      <c r="N461" s="512">
        <f>SUM(N452:N460)</f>
        <v>0</v>
      </c>
      <c r="O461" s="566">
        <f>SUM(O452:O460)</f>
        <v>0</v>
      </c>
      <c r="P461" s="512"/>
      <c r="Q461" s="512">
        <f t="shared" si="344"/>
        <v>0</v>
      </c>
      <c r="R461" s="512"/>
      <c r="S461" s="512">
        <f t="shared" si="345"/>
        <v>0</v>
      </c>
      <c r="T461" s="512">
        <f t="shared" si="339"/>
        <v>0</v>
      </c>
      <c r="U461" s="512">
        <f>SUM(U452:U460)</f>
        <v>0</v>
      </c>
      <c r="V461" s="566">
        <f>SUM(V452:V460)</f>
        <v>0</v>
      </c>
      <c r="W461" s="507"/>
      <c r="X461" s="514" t="s">
        <v>1004</v>
      </c>
      <c r="Y461" s="515">
        <f>+ROUND((O461)*(1+SUMIF($Y$2:$Y$4,X461,$Z$2:$Z$4)),0)</f>
        <v>0</v>
      </c>
      <c r="Z461" s="515">
        <f t="shared" si="356"/>
        <v>0</v>
      </c>
      <c r="AA461" s="166"/>
      <c r="AB461" s="38"/>
      <c r="AC461" s="38"/>
    </row>
    <row r="462" spans="1:29" hidden="1" outlineLevel="1" x14ac:dyDescent="0.25">
      <c r="A462" s="158" t="s">
        <v>1151</v>
      </c>
      <c r="B462" s="159" t="s">
        <v>369</v>
      </c>
      <c r="C462" s="250">
        <v>3</v>
      </c>
      <c r="D462" s="161" t="s">
        <v>1482</v>
      </c>
      <c r="E462" s="162"/>
      <c r="F462" s="40"/>
      <c r="G462" s="40"/>
      <c r="H462" s="33">
        <f t="shared" si="312"/>
        <v>0</v>
      </c>
      <c r="I462" s="504"/>
      <c r="J462" s="504">
        <f t="shared" si="340"/>
        <v>0</v>
      </c>
      <c r="K462" s="498"/>
      <c r="L462" s="498">
        <f t="shared" si="341"/>
        <v>0</v>
      </c>
      <c r="M462" s="34">
        <f t="shared" si="342"/>
        <v>0</v>
      </c>
      <c r="N462" s="163">
        <f t="shared" ref="N462:N463" si="370">+ROUND(M462*H462,2)</f>
        <v>0</v>
      </c>
      <c r="O462" s="172">
        <f t="shared" ref="O462:O463" si="371">N462</f>
        <v>0</v>
      </c>
      <c r="P462" s="520"/>
      <c r="Q462" s="520">
        <f t="shared" si="344"/>
        <v>0</v>
      </c>
      <c r="R462" s="525"/>
      <c r="S462" s="525">
        <f t="shared" si="345"/>
        <v>0</v>
      </c>
      <c r="T462" s="39">
        <f t="shared" si="339"/>
        <v>0</v>
      </c>
      <c r="U462" s="163">
        <f>+ROUND(T462*H462,2)</f>
        <v>0</v>
      </c>
      <c r="V462" s="173">
        <f t="shared" ref="V462:V463" si="372">U462</f>
        <v>0</v>
      </c>
      <c r="W462" s="164"/>
      <c r="X462" s="128" t="s">
        <v>1004</v>
      </c>
      <c r="Y462" s="37">
        <f>+ROUND((O462)*(1+SUMIF($Y$2:$Y$4,X462,$Z$2:$Z$4)),0)</f>
        <v>0</v>
      </c>
      <c r="Z462" s="37">
        <f t="shared" si="356"/>
        <v>0</v>
      </c>
      <c r="AA462" s="166"/>
      <c r="AB462" s="38"/>
      <c r="AC462" s="38"/>
    </row>
    <row r="463" spans="1:29" hidden="1" outlineLevel="2" x14ac:dyDescent="0.25">
      <c r="A463" s="158" t="s">
        <v>1151</v>
      </c>
      <c r="B463" s="187" t="str">
        <f>+B462</f>
        <v>3.5/5</v>
      </c>
      <c r="C463" s="249">
        <v>3.1</v>
      </c>
      <c r="D463" s="226" t="s">
        <v>146</v>
      </c>
      <c r="E463" s="170" t="s">
        <v>1384</v>
      </c>
      <c r="F463" s="171"/>
      <c r="G463" s="171"/>
      <c r="H463" s="33">
        <f t="shared" si="312"/>
        <v>0</v>
      </c>
      <c r="I463" s="505"/>
      <c r="J463" s="505">
        <f t="shared" si="340"/>
        <v>0</v>
      </c>
      <c r="K463" s="499"/>
      <c r="L463" s="499">
        <f t="shared" si="341"/>
        <v>0</v>
      </c>
      <c r="M463" s="39">
        <f t="shared" si="342"/>
        <v>0</v>
      </c>
      <c r="N463" s="163">
        <f t="shared" si="370"/>
        <v>0</v>
      </c>
      <c r="O463" s="172">
        <f t="shared" si="371"/>
        <v>0</v>
      </c>
      <c r="P463" s="521"/>
      <c r="Q463" s="521">
        <f t="shared" si="344"/>
        <v>0</v>
      </c>
      <c r="R463" s="526"/>
      <c r="S463" s="526">
        <f t="shared" si="345"/>
        <v>0</v>
      </c>
      <c r="T463" s="39">
        <f t="shared" si="339"/>
        <v>0</v>
      </c>
      <c r="U463" s="163">
        <f>+ROUND(T463*H463,2)</f>
        <v>0</v>
      </c>
      <c r="V463" s="173">
        <f t="shared" si="372"/>
        <v>0</v>
      </c>
      <c r="W463" s="164"/>
      <c r="X463" s="128" t="s">
        <v>1004</v>
      </c>
      <c r="Y463" s="37">
        <f>+ROUND((O463)*(1+SUMIF($Y$2:$Y$4,X463,$Z$2:$Z$4)),0)</f>
        <v>0</v>
      </c>
      <c r="Z463" s="37">
        <f t="shared" si="356"/>
        <v>0</v>
      </c>
      <c r="AA463" s="166"/>
      <c r="AB463" s="38"/>
      <c r="AC463" s="38"/>
    </row>
    <row r="464" spans="1:29" hidden="1" outlineLevel="2" x14ac:dyDescent="0.25">
      <c r="A464" s="158" t="s">
        <v>1099</v>
      </c>
      <c r="B464" s="187" t="str">
        <f>+B463</f>
        <v>3.5/5</v>
      </c>
      <c r="C464" s="168" t="s">
        <v>1483</v>
      </c>
      <c r="D464" s="174" t="s">
        <v>1605</v>
      </c>
      <c r="E464" s="170" t="s">
        <v>1384</v>
      </c>
      <c r="F464" s="171"/>
      <c r="G464" s="171"/>
      <c r="H464" s="33">
        <f t="shared" si="312"/>
        <v>0</v>
      </c>
      <c r="I464" s="505"/>
      <c r="J464" s="505">
        <f t="shared" si="340"/>
        <v>0</v>
      </c>
      <c r="K464" s="499"/>
      <c r="L464" s="499">
        <f t="shared" si="341"/>
        <v>0</v>
      </c>
      <c r="M464" s="39">
        <f t="shared" si="342"/>
        <v>0</v>
      </c>
      <c r="N464" s="163">
        <f t="shared" si="313"/>
        <v>0</v>
      </c>
      <c r="O464" s="172">
        <f t="shared" ref="O464:O475" si="373">N464</f>
        <v>0</v>
      </c>
      <c r="P464" s="521"/>
      <c r="Q464" s="521">
        <f t="shared" si="344"/>
        <v>0</v>
      </c>
      <c r="R464" s="526"/>
      <c r="S464" s="526">
        <f t="shared" si="345"/>
        <v>0</v>
      </c>
      <c r="T464" s="39">
        <f t="shared" si="339"/>
        <v>0</v>
      </c>
      <c r="U464" s="163">
        <f>+ROUND(T464*H464,2)</f>
        <v>0</v>
      </c>
      <c r="V464" s="173">
        <f t="shared" ref="V464:V475" si="374">U464</f>
        <v>0</v>
      </c>
      <c r="W464" s="164"/>
      <c r="X464" s="128" t="s">
        <v>1004</v>
      </c>
      <c r="Y464" s="37">
        <f>+ROUND((O464)*(1+SUMIF($Y$2:$Y$4,X464,$Z$2:$Z$4)),0)</f>
        <v>0</v>
      </c>
      <c r="Z464" s="37">
        <f t="shared" si="356"/>
        <v>0</v>
      </c>
      <c r="AA464" s="166"/>
      <c r="AB464" s="38"/>
      <c r="AC464" s="38"/>
    </row>
    <row r="465" spans="1:29" hidden="1" outlineLevel="2" x14ac:dyDescent="0.25">
      <c r="A465" s="158" t="s">
        <v>1163</v>
      </c>
      <c r="B465" s="187" t="str">
        <f t="shared" ref="B465:B476" si="375">+B464</f>
        <v>3.5/5</v>
      </c>
      <c r="C465" s="168" t="s">
        <v>1485</v>
      </c>
      <c r="D465" s="174" t="s">
        <v>1554</v>
      </c>
      <c r="E465" s="170" t="s">
        <v>1384</v>
      </c>
      <c r="F465" s="171"/>
      <c r="G465" s="171"/>
      <c r="H465" s="33">
        <f t="shared" si="312"/>
        <v>0</v>
      </c>
      <c r="I465" s="505"/>
      <c r="J465" s="505">
        <f t="shared" si="340"/>
        <v>0</v>
      </c>
      <c r="K465" s="499"/>
      <c r="L465" s="499">
        <f t="shared" si="341"/>
        <v>0</v>
      </c>
      <c r="M465" s="39">
        <f t="shared" si="342"/>
        <v>0</v>
      </c>
      <c r="N465" s="163">
        <f t="shared" si="313"/>
        <v>0</v>
      </c>
      <c r="O465" s="172">
        <f t="shared" si="373"/>
        <v>0</v>
      </c>
      <c r="P465" s="521"/>
      <c r="Q465" s="521">
        <f t="shared" si="344"/>
        <v>0</v>
      </c>
      <c r="R465" s="526"/>
      <c r="S465" s="526">
        <f t="shared" si="345"/>
        <v>0</v>
      </c>
      <c r="T465" s="39">
        <f t="shared" si="339"/>
        <v>0</v>
      </c>
      <c r="U465" s="163">
        <f>+ROUND(T465*H465,2)</f>
        <v>0</v>
      </c>
      <c r="V465" s="173">
        <f t="shared" si="374"/>
        <v>0</v>
      </c>
      <c r="W465" s="164"/>
      <c r="X465" s="128" t="s">
        <v>1004</v>
      </c>
      <c r="Y465" s="37">
        <f>+ROUND((O465)*(1+SUMIF($Y$2:$Y$4,X465,$Z$2:$Z$4)),0)</f>
        <v>0</v>
      </c>
      <c r="Z465" s="37">
        <f t="shared" si="356"/>
        <v>0</v>
      </c>
      <c r="AA465" s="166"/>
      <c r="AB465" s="38"/>
      <c r="AC465" s="38"/>
    </row>
    <row r="466" spans="1:29" hidden="1" outlineLevel="2" x14ac:dyDescent="0.25">
      <c r="A466" s="158" t="s">
        <v>1165</v>
      </c>
      <c r="B466" s="187" t="str">
        <f t="shared" si="375"/>
        <v>3.5/5</v>
      </c>
      <c r="C466" s="168" t="s">
        <v>1487</v>
      </c>
      <c r="D466" s="174" t="s">
        <v>1490</v>
      </c>
      <c r="E466" s="170" t="s">
        <v>1384</v>
      </c>
      <c r="F466" s="171"/>
      <c r="G466" s="171"/>
      <c r="H466" s="33">
        <f t="shared" si="312"/>
        <v>0</v>
      </c>
      <c r="I466" s="505"/>
      <c r="J466" s="505">
        <f t="shared" si="340"/>
        <v>0</v>
      </c>
      <c r="K466" s="499"/>
      <c r="L466" s="499">
        <f t="shared" si="341"/>
        <v>0</v>
      </c>
      <c r="M466" s="39">
        <f t="shared" si="342"/>
        <v>0</v>
      </c>
      <c r="N466" s="163">
        <f t="shared" si="313"/>
        <v>0</v>
      </c>
      <c r="O466" s="172">
        <f t="shared" si="373"/>
        <v>0</v>
      </c>
      <c r="P466" s="521"/>
      <c r="Q466" s="521">
        <f t="shared" si="344"/>
        <v>0</v>
      </c>
      <c r="R466" s="526"/>
      <c r="S466" s="526">
        <f t="shared" si="345"/>
        <v>0</v>
      </c>
      <c r="T466" s="39">
        <f t="shared" si="339"/>
        <v>0</v>
      </c>
      <c r="U466" s="163">
        <f>+ROUND(T466*H466,2)</f>
        <v>0</v>
      </c>
      <c r="V466" s="173">
        <f t="shared" si="374"/>
        <v>0</v>
      </c>
      <c r="W466" s="164"/>
      <c r="X466" s="128" t="s">
        <v>1004</v>
      </c>
      <c r="Y466" s="37">
        <f>+ROUND((O466)*(1+SUMIF($Y$2:$Y$4,X466,$Z$2:$Z$4)),0)</f>
        <v>0</v>
      </c>
      <c r="Z466" s="37">
        <f t="shared" si="356"/>
        <v>0</v>
      </c>
      <c r="AA466" s="166"/>
      <c r="AB466" s="38"/>
      <c r="AC466" s="38"/>
    </row>
    <row r="467" spans="1:29" hidden="1" outlineLevel="2" x14ac:dyDescent="0.25">
      <c r="A467" s="158" t="s">
        <v>1184</v>
      </c>
      <c r="B467" s="187" t="str">
        <f t="shared" si="375"/>
        <v>3.5/5</v>
      </c>
      <c r="C467" s="249">
        <v>3.2</v>
      </c>
      <c r="D467" s="226" t="s">
        <v>157</v>
      </c>
      <c r="E467" s="170" t="s">
        <v>1384</v>
      </c>
      <c r="F467" s="171"/>
      <c r="G467" s="171"/>
      <c r="H467" s="33">
        <f t="shared" si="312"/>
        <v>0</v>
      </c>
      <c r="I467" s="505"/>
      <c r="J467" s="505">
        <f t="shared" si="340"/>
        <v>0</v>
      </c>
      <c r="K467" s="499"/>
      <c r="L467" s="499">
        <f t="shared" si="341"/>
        <v>0</v>
      </c>
      <c r="M467" s="39">
        <f t="shared" si="342"/>
        <v>0</v>
      </c>
      <c r="N467" s="163">
        <f t="shared" si="313"/>
        <v>0</v>
      </c>
      <c r="O467" s="172">
        <f t="shared" si="373"/>
        <v>0</v>
      </c>
      <c r="P467" s="521"/>
      <c r="Q467" s="521">
        <f t="shared" si="344"/>
        <v>0</v>
      </c>
      <c r="R467" s="526"/>
      <c r="S467" s="526">
        <f t="shared" si="345"/>
        <v>0</v>
      </c>
      <c r="T467" s="39">
        <f t="shared" si="339"/>
        <v>0</v>
      </c>
      <c r="U467" s="163">
        <f>+ROUND(T467*H467,2)</f>
        <v>0</v>
      </c>
      <c r="V467" s="173">
        <f t="shared" si="374"/>
        <v>0</v>
      </c>
      <c r="W467" s="164"/>
      <c r="X467" s="128" t="s">
        <v>1004</v>
      </c>
      <c r="Y467" s="37">
        <f>+ROUND((O467)*(1+SUMIF($Y$2:$Y$4,X467,$Z$2:$Z$4)),0)</f>
        <v>0</v>
      </c>
      <c r="Z467" s="37">
        <f t="shared" si="356"/>
        <v>0</v>
      </c>
      <c r="AA467" s="166"/>
      <c r="AB467" s="38"/>
      <c r="AC467" s="38"/>
    </row>
    <row r="468" spans="1:29" hidden="1" outlineLevel="2" x14ac:dyDescent="0.25">
      <c r="A468" s="158" t="s">
        <v>1184</v>
      </c>
      <c r="B468" s="187" t="str">
        <f t="shared" si="375"/>
        <v>3.5/5</v>
      </c>
      <c r="C468" s="168" t="s">
        <v>1491</v>
      </c>
      <c r="D468" s="174" t="s">
        <v>1555</v>
      </c>
      <c r="E468" s="170" t="s">
        <v>1384</v>
      </c>
      <c r="F468" s="171"/>
      <c r="G468" s="171"/>
      <c r="H468" s="33">
        <f t="shared" si="312"/>
        <v>0</v>
      </c>
      <c r="I468" s="505"/>
      <c r="J468" s="505">
        <f t="shared" si="340"/>
        <v>0</v>
      </c>
      <c r="K468" s="499"/>
      <c r="L468" s="499">
        <f t="shared" si="341"/>
        <v>0</v>
      </c>
      <c r="M468" s="39">
        <f t="shared" si="342"/>
        <v>0</v>
      </c>
      <c r="N468" s="163">
        <f t="shared" si="313"/>
        <v>0</v>
      </c>
      <c r="O468" s="172">
        <f t="shared" si="373"/>
        <v>0</v>
      </c>
      <c r="P468" s="521"/>
      <c r="Q468" s="521">
        <f t="shared" si="344"/>
        <v>0</v>
      </c>
      <c r="R468" s="526"/>
      <c r="S468" s="526">
        <f t="shared" si="345"/>
        <v>0</v>
      </c>
      <c r="T468" s="39">
        <f t="shared" si="339"/>
        <v>0</v>
      </c>
      <c r="U468" s="163">
        <f>+ROUND(T468*H468,2)</f>
        <v>0</v>
      </c>
      <c r="V468" s="173">
        <f t="shared" si="374"/>
        <v>0</v>
      </c>
      <c r="W468" s="164"/>
      <c r="X468" s="128" t="s">
        <v>1004</v>
      </c>
      <c r="Y468" s="37">
        <f>+ROUND((O468)*(1+SUMIF($Y$2:$Y$4,X468,$Z$2:$Z$4)),0)</f>
        <v>0</v>
      </c>
      <c r="Z468" s="37">
        <f t="shared" si="356"/>
        <v>0</v>
      </c>
      <c r="AA468" s="166"/>
      <c r="AB468" s="38"/>
      <c r="AC468" s="38"/>
    </row>
    <row r="469" spans="1:29" hidden="1" outlineLevel="2" x14ac:dyDescent="0.25">
      <c r="A469" s="158" t="s">
        <v>1180</v>
      </c>
      <c r="B469" s="187" t="str">
        <f t="shared" si="375"/>
        <v>3.5/5</v>
      </c>
      <c r="C469" s="168" t="s">
        <v>1493</v>
      </c>
      <c r="D469" s="174" t="s">
        <v>1606</v>
      </c>
      <c r="E469" s="170" t="s">
        <v>1384</v>
      </c>
      <c r="F469" s="171"/>
      <c r="G469" s="171"/>
      <c r="H469" s="33">
        <f t="shared" si="312"/>
        <v>0</v>
      </c>
      <c r="I469" s="505"/>
      <c r="J469" s="505">
        <f t="shared" si="340"/>
        <v>0</v>
      </c>
      <c r="K469" s="499"/>
      <c r="L469" s="499">
        <f t="shared" si="341"/>
        <v>0</v>
      </c>
      <c r="M469" s="39">
        <f t="shared" si="342"/>
        <v>0</v>
      </c>
      <c r="N469" s="163">
        <f t="shared" si="313"/>
        <v>0</v>
      </c>
      <c r="O469" s="172">
        <f t="shared" si="373"/>
        <v>0</v>
      </c>
      <c r="P469" s="521"/>
      <c r="Q469" s="521">
        <f t="shared" si="344"/>
        <v>0</v>
      </c>
      <c r="R469" s="526"/>
      <c r="S469" s="526">
        <f t="shared" si="345"/>
        <v>0</v>
      </c>
      <c r="T469" s="39">
        <f t="shared" si="339"/>
        <v>0</v>
      </c>
      <c r="U469" s="163">
        <f>+ROUND(T469*H469,2)</f>
        <v>0</v>
      </c>
      <c r="V469" s="173">
        <f t="shared" si="374"/>
        <v>0</v>
      </c>
      <c r="W469" s="164"/>
      <c r="X469" s="128" t="s">
        <v>1004</v>
      </c>
      <c r="Y469" s="37">
        <f>+ROUND((O469)*(1+SUMIF($Y$2:$Y$4,X469,$Z$2:$Z$4)),0)</f>
        <v>0</v>
      </c>
      <c r="Z469" s="37">
        <f t="shared" si="356"/>
        <v>0</v>
      </c>
      <c r="AA469" s="166"/>
      <c r="AB469" s="38"/>
      <c r="AC469" s="38"/>
    </row>
    <row r="470" spans="1:29" hidden="1" outlineLevel="2" x14ac:dyDescent="0.25">
      <c r="A470" s="158" t="s">
        <v>1189</v>
      </c>
      <c r="B470" s="187" t="str">
        <f t="shared" si="375"/>
        <v>3.5/5</v>
      </c>
      <c r="C470" s="249">
        <v>3.3</v>
      </c>
      <c r="D470" s="226" t="s">
        <v>166</v>
      </c>
      <c r="E470" s="170" t="s">
        <v>1384</v>
      </c>
      <c r="F470" s="171"/>
      <c r="G470" s="171"/>
      <c r="H470" s="33">
        <f t="shared" si="312"/>
        <v>0</v>
      </c>
      <c r="I470" s="505"/>
      <c r="J470" s="505">
        <f t="shared" si="340"/>
        <v>0</v>
      </c>
      <c r="K470" s="499"/>
      <c r="L470" s="499">
        <f t="shared" si="341"/>
        <v>0</v>
      </c>
      <c r="M470" s="39">
        <f t="shared" si="342"/>
        <v>0</v>
      </c>
      <c r="N470" s="163">
        <f t="shared" si="313"/>
        <v>0</v>
      </c>
      <c r="O470" s="172">
        <f t="shared" si="373"/>
        <v>0</v>
      </c>
      <c r="P470" s="521"/>
      <c r="Q470" s="521">
        <f t="shared" si="344"/>
        <v>0</v>
      </c>
      <c r="R470" s="526"/>
      <c r="S470" s="526">
        <f t="shared" si="345"/>
        <v>0</v>
      </c>
      <c r="T470" s="39">
        <f t="shared" si="339"/>
        <v>0</v>
      </c>
      <c r="U470" s="163">
        <f>+ROUND(T470*H470,2)</f>
        <v>0</v>
      </c>
      <c r="V470" s="173">
        <f t="shared" si="374"/>
        <v>0</v>
      </c>
      <c r="W470" s="164"/>
      <c r="X470" s="128" t="s">
        <v>1004</v>
      </c>
      <c r="Y470" s="37">
        <f>+ROUND((O470)*(1+SUMIF($Y$2:$Y$4,X470,$Z$2:$Z$4)),0)</f>
        <v>0</v>
      </c>
      <c r="Z470" s="37">
        <f t="shared" si="356"/>
        <v>0</v>
      </c>
      <c r="AA470" s="166"/>
      <c r="AB470" s="38"/>
      <c r="AC470" s="38"/>
    </row>
    <row r="471" spans="1:29" hidden="1" outlineLevel="2" x14ac:dyDescent="0.25">
      <c r="A471" s="158" t="s">
        <v>1189</v>
      </c>
      <c r="B471" s="187" t="str">
        <f t="shared" si="375"/>
        <v>3.5/5</v>
      </c>
      <c r="C471" s="168" t="s">
        <v>1497</v>
      </c>
      <c r="D471" s="174" t="s">
        <v>1498</v>
      </c>
      <c r="E471" s="170" t="s">
        <v>1384</v>
      </c>
      <c r="F471" s="171"/>
      <c r="G471" s="171"/>
      <c r="H471" s="33">
        <f t="shared" si="312"/>
        <v>0</v>
      </c>
      <c r="I471" s="505"/>
      <c r="J471" s="505">
        <f t="shared" si="340"/>
        <v>0</v>
      </c>
      <c r="K471" s="499"/>
      <c r="L471" s="499">
        <f t="shared" si="341"/>
        <v>0</v>
      </c>
      <c r="M471" s="39">
        <f t="shared" si="342"/>
        <v>0</v>
      </c>
      <c r="N471" s="163">
        <f t="shared" si="313"/>
        <v>0</v>
      </c>
      <c r="O471" s="172">
        <f t="shared" si="373"/>
        <v>0</v>
      </c>
      <c r="P471" s="521"/>
      <c r="Q471" s="521">
        <f t="shared" si="344"/>
        <v>0</v>
      </c>
      <c r="R471" s="526"/>
      <c r="S471" s="526">
        <f t="shared" si="345"/>
        <v>0</v>
      </c>
      <c r="T471" s="39">
        <f t="shared" si="339"/>
        <v>0</v>
      </c>
      <c r="U471" s="163">
        <f>+ROUND(T471*H471,2)</f>
        <v>0</v>
      </c>
      <c r="V471" s="173">
        <f t="shared" si="374"/>
        <v>0</v>
      </c>
      <c r="W471" s="164"/>
      <c r="X471" s="128" t="s">
        <v>1004</v>
      </c>
      <c r="Y471" s="37">
        <f>+ROUND((O471)*(1+SUMIF($Y$2:$Y$4,X471,$Z$2:$Z$4)),0)</f>
        <v>0</v>
      </c>
      <c r="Z471" s="37">
        <f t="shared" si="356"/>
        <v>0</v>
      </c>
      <c r="AA471" s="166"/>
      <c r="AB471" s="38"/>
      <c r="AC471" s="38"/>
    </row>
    <row r="472" spans="1:29" hidden="1" outlineLevel="2" x14ac:dyDescent="0.25">
      <c r="A472" s="158" t="s">
        <v>1189</v>
      </c>
      <c r="B472" s="187" t="str">
        <f t="shared" si="375"/>
        <v>3.5/5</v>
      </c>
      <c r="C472" s="168" t="s">
        <v>1499</v>
      </c>
      <c r="D472" s="174" t="s">
        <v>1500</v>
      </c>
      <c r="E472" s="170" t="s">
        <v>1384</v>
      </c>
      <c r="F472" s="171"/>
      <c r="G472" s="171"/>
      <c r="H472" s="33">
        <f t="shared" si="312"/>
        <v>0</v>
      </c>
      <c r="I472" s="505"/>
      <c r="J472" s="505">
        <f t="shared" si="340"/>
        <v>0</v>
      </c>
      <c r="K472" s="499"/>
      <c r="L472" s="499">
        <f t="shared" si="341"/>
        <v>0</v>
      </c>
      <c r="M472" s="39">
        <f t="shared" si="342"/>
        <v>0</v>
      </c>
      <c r="N472" s="163">
        <f t="shared" si="313"/>
        <v>0</v>
      </c>
      <c r="O472" s="172">
        <f t="shared" si="373"/>
        <v>0</v>
      </c>
      <c r="P472" s="521"/>
      <c r="Q472" s="521">
        <f t="shared" si="344"/>
        <v>0</v>
      </c>
      <c r="R472" s="526"/>
      <c r="S472" s="526">
        <f t="shared" si="345"/>
        <v>0</v>
      </c>
      <c r="T472" s="39">
        <f t="shared" si="339"/>
        <v>0</v>
      </c>
      <c r="U472" s="163">
        <f>+ROUND(T472*H472,2)</f>
        <v>0</v>
      </c>
      <c r="V472" s="173">
        <f t="shared" si="374"/>
        <v>0</v>
      </c>
      <c r="W472" s="164"/>
      <c r="X472" s="128" t="s">
        <v>1004</v>
      </c>
      <c r="Y472" s="37">
        <f>+ROUND((O472)*(1+SUMIF($Y$2:$Y$4,X472,$Z$2:$Z$4)),0)</f>
        <v>0</v>
      </c>
      <c r="Z472" s="37">
        <f t="shared" si="356"/>
        <v>0</v>
      </c>
      <c r="AA472" s="166"/>
      <c r="AB472" s="38"/>
      <c r="AC472" s="38"/>
    </row>
    <row r="473" spans="1:29" hidden="1" outlineLevel="2" x14ac:dyDescent="0.25">
      <c r="A473" s="158" t="s">
        <v>1253</v>
      </c>
      <c r="B473" s="187" t="str">
        <f t="shared" si="375"/>
        <v>3.5/5</v>
      </c>
      <c r="C473" s="168" t="s">
        <v>1501</v>
      </c>
      <c r="D473" s="174" t="s">
        <v>1502</v>
      </c>
      <c r="E473" s="170" t="s">
        <v>1384</v>
      </c>
      <c r="F473" s="171"/>
      <c r="G473" s="171"/>
      <c r="H473" s="33">
        <f t="shared" si="312"/>
        <v>0</v>
      </c>
      <c r="I473" s="505"/>
      <c r="J473" s="505">
        <f t="shared" si="340"/>
        <v>0</v>
      </c>
      <c r="K473" s="499"/>
      <c r="L473" s="499">
        <f t="shared" si="341"/>
        <v>0</v>
      </c>
      <c r="M473" s="39">
        <f t="shared" si="342"/>
        <v>0</v>
      </c>
      <c r="N473" s="163">
        <f t="shared" si="313"/>
        <v>0</v>
      </c>
      <c r="O473" s="172">
        <f t="shared" si="373"/>
        <v>0</v>
      </c>
      <c r="P473" s="521"/>
      <c r="Q473" s="521">
        <f t="shared" si="344"/>
        <v>0</v>
      </c>
      <c r="R473" s="526"/>
      <c r="S473" s="526">
        <f t="shared" si="345"/>
        <v>0</v>
      </c>
      <c r="T473" s="39">
        <f t="shared" si="339"/>
        <v>0</v>
      </c>
      <c r="U473" s="163">
        <f>+ROUND(T473*H473,2)</f>
        <v>0</v>
      </c>
      <c r="V473" s="173">
        <f t="shared" si="374"/>
        <v>0</v>
      </c>
      <c r="W473" s="164"/>
      <c r="X473" s="128" t="s">
        <v>1004</v>
      </c>
      <c r="Y473" s="37">
        <f>+ROUND((O473)*(1+SUMIF($Y$2:$Y$4,X473,$Z$2:$Z$4)),0)</f>
        <v>0</v>
      </c>
      <c r="Z473" s="37">
        <f t="shared" si="356"/>
        <v>0</v>
      </c>
      <c r="AA473" s="166"/>
      <c r="AB473" s="38"/>
      <c r="AC473" s="38"/>
    </row>
    <row r="474" spans="1:29" hidden="1" outlineLevel="2" x14ac:dyDescent="0.25">
      <c r="A474" s="158" t="s">
        <v>1151</v>
      </c>
      <c r="B474" s="187" t="str">
        <f t="shared" si="375"/>
        <v>3.5/5</v>
      </c>
      <c r="C474" s="250">
        <v>4</v>
      </c>
      <c r="D474" s="161" t="s">
        <v>1504</v>
      </c>
      <c r="E474" s="162"/>
      <c r="F474" s="40"/>
      <c r="G474" s="40"/>
      <c r="H474" s="33">
        <f t="shared" si="312"/>
        <v>0</v>
      </c>
      <c r="I474" s="504"/>
      <c r="J474" s="504">
        <f t="shared" si="340"/>
        <v>0</v>
      </c>
      <c r="K474" s="498"/>
      <c r="L474" s="498">
        <f t="shared" si="341"/>
        <v>0</v>
      </c>
      <c r="M474" s="34">
        <f t="shared" si="342"/>
        <v>0</v>
      </c>
      <c r="N474" s="163">
        <f t="shared" si="313"/>
        <v>0</v>
      </c>
      <c r="O474" s="172">
        <f t="shared" si="373"/>
        <v>0</v>
      </c>
      <c r="P474" s="520"/>
      <c r="Q474" s="520">
        <f t="shared" si="344"/>
        <v>0</v>
      </c>
      <c r="R474" s="525"/>
      <c r="S474" s="525">
        <f t="shared" si="345"/>
        <v>0</v>
      </c>
      <c r="T474" s="39">
        <f t="shared" si="339"/>
        <v>0</v>
      </c>
      <c r="U474" s="163">
        <f>+ROUND(T474*H474,2)</f>
        <v>0</v>
      </c>
      <c r="V474" s="173">
        <f t="shared" si="374"/>
        <v>0</v>
      </c>
      <c r="W474" s="164"/>
      <c r="X474" s="128" t="s">
        <v>1004</v>
      </c>
      <c r="Y474" s="37">
        <f>+ROUND((O474)*(1+SUMIF($Y$2:$Y$4,X474,$Z$2:$Z$4)),0)</f>
        <v>0</v>
      </c>
      <c r="Z474" s="37">
        <f t="shared" si="356"/>
        <v>0</v>
      </c>
      <c r="AA474" s="166"/>
      <c r="AB474" s="38"/>
      <c r="AC474" s="38"/>
    </row>
    <row r="475" spans="1:29" hidden="1" outlineLevel="2" x14ac:dyDescent="0.25">
      <c r="A475" s="158" t="s">
        <v>1151</v>
      </c>
      <c r="B475" s="187" t="str">
        <f t="shared" si="375"/>
        <v>3.5/5</v>
      </c>
      <c r="C475" s="249">
        <v>4.0999999999999996</v>
      </c>
      <c r="D475" s="226" t="s">
        <v>1297</v>
      </c>
      <c r="E475" s="170" t="s">
        <v>1384</v>
      </c>
      <c r="F475" s="171"/>
      <c r="G475" s="171"/>
      <c r="H475" s="33">
        <f t="shared" si="312"/>
        <v>0</v>
      </c>
      <c r="I475" s="505"/>
      <c r="J475" s="505">
        <f t="shared" si="340"/>
        <v>0</v>
      </c>
      <c r="K475" s="499"/>
      <c r="L475" s="499">
        <f t="shared" si="341"/>
        <v>0</v>
      </c>
      <c r="M475" s="39">
        <f t="shared" si="342"/>
        <v>0</v>
      </c>
      <c r="N475" s="163">
        <f t="shared" si="313"/>
        <v>0</v>
      </c>
      <c r="O475" s="172">
        <f t="shared" si="373"/>
        <v>0</v>
      </c>
      <c r="P475" s="521"/>
      <c r="Q475" s="521">
        <f t="shared" si="344"/>
        <v>0</v>
      </c>
      <c r="R475" s="526"/>
      <c r="S475" s="526">
        <f t="shared" si="345"/>
        <v>0</v>
      </c>
      <c r="T475" s="39">
        <f t="shared" si="339"/>
        <v>0</v>
      </c>
      <c r="U475" s="163">
        <f>+ROUND(T475*H475,2)</f>
        <v>0</v>
      </c>
      <c r="V475" s="173">
        <f t="shared" si="374"/>
        <v>0</v>
      </c>
      <c r="W475" s="164"/>
      <c r="X475" s="128" t="s">
        <v>1004</v>
      </c>
      <c r="Y475" s="37">
        <f>+ROUND((O475)*(1+SUMIF($Y$2:$Y$4,X475,$Z$2:$Z$4)),0)</f>
        <v>0</v>
      </c>
      <c r="Z475" s="37">
        <f t="shared" si="356"/>
        <v>0</v>
      </c>
      <c r="AA475" s="166"/>
      <c r="AB475" s="38"/>
      <c r="AC475" s="38"/>
    </row>
    <row r="476" spans="1:29" hidden="1" outlineLevel="2" x14ac:dyDescent="0.25">
      <c r="A476" s="158" t="s">
        <v>1296</v>
      </c>
      <c r="B476" s="187" t="str">
        <f t="shared" si="375"/>
        <v>3.5/5</v>
      </c>
      <c r="C476" s="168" t="s">
        <v>1506</v>
      </c>
      <c r="D476" s="174" t="s">
        <v>1875</v>
      </c>
      <c r="E476" s="170" t="s">
        <v>1384</v>
      </c>
      <c r="F476" s="171"/>
      <c r="G476" s="171"/>
      <c r="H476" s="33">
        <f t="shared" si="312"/>
        <v>0</v>
      </c>
      <c r="I476" s="505"/>
      <c r="J476" s="505">
        <f t="shared" si="340"/>
        <v>0</v>
      </c>
      <c r="K476" s="499"/>
      <c r="L476" s="499">
        <f t="shared" si="341"/>
        <v>0</v>
      </c>
      <c r="M476" s="39">
        <f t="shared" si="342"/>
        <v>0</v>
      </c>
      <c r="N476" s="163">
        <f t="shared" si="313"/>
        <v>0</v>
      </c>
      <c r="O476" s="172">
        <f>N476</f>
        <v>0</v>
      </c>
      <c r="P476" s="521"/>
      <c r="Q476" s="521">
        <f t="shared" si="344"/>
        <v>0</v>
      </c>
      <c r="R476" s="526"/>
      <c r="S476" s="526">
        <f t="shared" si="345"/>
        <v>0</v>
      </c>
      <c r="T476" s="39">
        <f t="shared" si="339"/>
        <v>0</v>
      </c>
      <c r="U476" s="163">
        <f>+ROUND(T476*H476,2)</f>
        <v>0</v>
      </c>
      <c r="V476" s="173">
        <f>U476</f>
        <v>0</v>
      </c>
      <c r="W476" s="164"/>
      <c r="X476" s="128" t="s">
        <v>1004</v>
      </c>
      <c r="Y476" s="37">
        <f>+ROUND((O476)*(1+SUMIF($Y$2:$Y$4,X476,$Z$2:$Z$4)),0)</f>
        <v>0</v>
      </c>
      <c r="Z476" s="37">
        <f t="shared" si="356"/>
        <v>0</v>
      </c>
      <c r="AA476" s="166"/>
      <c r="AB476" s="38"/>
      <c r="AC476" s="38"/>
    </row>
    <row r="477" spans="1:29" hidden="1" outlineLevel="1" x14ac:dyDescent="0.25">
      <c r="A477" s="506" t="s">
        <v>1022</v>
      </c>
      <c r="B477" s="512" t="str">
        <f t="shared" si="355"/>
        <v>3.5/5</v>
      </c>
      <c r="C477" s="508"/>
      <c r="D477" s="509" t="s">
        <v>1023</v>
      </c>
      <c r="E477" s="510"/>
      <c r="F477" s="511"/>
      <c r="G477" s="511"/>
      <c r="H477" s="512">
        <f t="shared" si="312"/>
        <v>0</v>
      </c>
      <c r="I477" s="512"/>
      <c r="J477" s="512">
        <f t="shared" si="340"/>
        <v>0</v>
      </c>
      <c r="K477" s="512"/>
      <c r="L477" s="512">
        <f t="shared" si="341"/>
        <v>0</v>
      </c>
      <c r="M477" s="512">
        <f t="shared" si="342"/>
        <v>0</v>
      </c>
      <c r="N477" s="566">
        <f>SUM(N462:N476)</f>
        <v>0</v>
      </c>
      <c r="O477" s="566">
        <f>SUM(O462:O476)</f>
        <v>0</v>
      </c>
      <c r="P477" s="512"/>
      <c r="Q477" s="512">
        <f t="shared" si="344"/>
        <v>0</v>
      </c>
      <c r="R477" s="512"/>
      <c r="S477" s="512">
        <f t="shared" si="345"/>
        <v>0</v>
      </c>
      <c r="T477" s="512">
        <f t="shared" si="339"/>
        <v>0</v>
      </c>
      <c r="U477" s="566">
        <f>SUM(U462:U476)</f>
        <v>0</v>
      </c>
      <c r="V477" s="566">
        <f>SUM(V462:V476)</f>
        <v>0</v>
      </c>
      <c r="W477" s="507"/>
      <c r="X477" s="514" t="s">
        <v>1004</v>
      </c>
      <c r="Y477" s="566">
        <f>SUM(Y462:Y476)</f>
        <v>0</v>
      </c>
      <c r="Z477" s="566">
        <f>SUM(Z462:Z476)</f>
        <v>0</v>
      </c>
      <c r="AA477" s="166"/>
      <c r="AB477" s="38"/>
      <c r="AC477" s="38"/>
    </row>
    <row r="478" spans="1:29" hidden="1" outlineLevel="1" x14ac:dyDescent="0.25">
      <c r="A478" s="158" t="s">
        <v>1272</v>
      </c>
      <c r="B478" s="187" t="s">
        <v>374</v>
      </c>
      <c r="C478" s="247">
        <v>5</v>
      </c>
      <c r="D478" s="161" t="s">
        <v>1530</v>
      </c>
      <c r="E478" s="170" t="s">
        <v>1384</v>
      </c>
      <c r="F478" s="40"/>
      <c r="G478" s="40"/>
      <c r="H478" s="33">
        <f t="shared" si="312"/>
        <v>0</v>
      </c>
      <c r="I478" s="504"/>
      <c r="J478" s="504">
        <f t="shared" si="340"/>
        <v>0</v>
      </c>
      <c r="K478" s="498"/>
      <c r="L478" s="498">
        <f t="shared" si="341"/>
        <v>0</v>
      </c>
      <c r="M478" s="34">
        <f t="shared" si="342"/>
        <v>0</v>
      </c>
      <c r="N478" s="163">
        <f t="shared" si="313"/>
        <v>0</v>
      </c>
      <c r="O478" s="172">
        <f t="shared" ref="O478:O484" si="376">N478</f>
        <v>0</v>
      </c>
      <c r="P478" s="520"/>
      <c r="Q478" s="520">
        <f t="shared" si="344"/>
        <v>0</v>
      </c>
      <c r="R478" s="525"/>
      <c r="S478" s="525">
        <f t="shared" si="345"/>
        <v>0</v>
      </c>
      <c r="T478" s="34">
        <f t="shared" si="339"/>
        <v>0</v>
      </c>
      <c r="U478" s="163">
        <f>+ROUND(T478*H478,2)</f>
        <v>0</v>
      </c>
      <c r="V478" s="173">
        <f t="shared" ref="V478:V484" si="377">U478</f>
        <v>0</v>
      </c>
      <c r="W478" s="164"/>
      <c r="X478" s="128" t="s">
        <v>1004</v>
      </c>
      <c r="Y478" s="37">
        <f>+ROUND((O478)*(1+SUMIF($Y$2:$Y$4,X478,$Z$2:$Z$4)),0)</f>
        <v>0</v>
      </c>
      <c r="Z478" s="37">
        <f t="shared" ref="Z478:Z485" si="378">+ROUND((V478)*(1+SUMIF($Y$2:$Y$4,X478,$Z$2:$Z$4)),0)</f>
        <v>0</v>
      </c>
      <c r="AA478" s="166"/>
      <c r="AB478" s="38"/>
      <c r="AC478" s="38"/>
    </row>
    <row r="479" spans="1:29" hidden="1" outlineLevel="2" x14ac:dyDescent="0.25">
      <c r="A479" s="158" t="s">
        <v>1272</v>
      </c>
      <c r="B479" s="187" t="str">
        <f t="shared" si="355"/>
        <v>3.5/6</v>
      </c>
      <c r="C479" s="246">
        <v>5.0999999999999996</v>
      </c>
      <c r="D479" s="161" t="s">
        <v>1868</v>
      </c>
      <c r="E479" s="170" t="s">
        <v>1384</v>
      </c>
      <c r="F479" s="40"/>
      <c r="G479" s="40"/>
      <c r="H479" s="33">
        <f t="shared" si="312"/>
        <v>0</v>
      </c>
      <c r="I479" s="504"/>
      <c r="J479" s="504">
        <f t="shared" si="340"/>
        <v>0</v>
      </c>
      <c r="K479" s="498"/>
      <c r="L479" s="498">
        <f t="shared" si="341"/>
        <v>0</v>
      </c>
      <c r="M479" s="34">
        <f t="shared" si="342"/>
        <v>0</v>
      </c>
      <c r="N479" s="163">
        <f t="shared" si="313"/>
        <v>0</v>
      </c>
      <c r="O479" s="172">
        <f t="shared" si="376"/>
        <v>0</v>
      </c>
      <c r="P479" s="520"/>
      <c r="Q479" s="520">
        <f t="shared" si="344"/>
        <v>0</v>
      </c>
      <c r="R479" s="525"/>
      <c r="S479" s="525">
        <f t="shared" si="345"/>
        <v>0</v>
      </c>
      <c r="T479" s="34">
        <f t="shared" si="339"/>
        <v>0</v>
      </c>
      <c r="U479" s="163">
        <f>+ROUND(T479*H479,2)</f>
        <v>0</v>
      </c>
      <c r="V479" s="173">
        <f t="shared" si="377"/>
        <v>0</v>
      </c>
      <c r="W479" s="164"/>
      <c r="X479" s="128" t="s">
        <v>1004</v>
      </c>
      <c r="Y479" s="37">
        <f>+ROUND((O479)*(1+SUMIF($Y$2:$Y$4,X479,$Z$2:$Z$4)),0)</f>
        <v>0</v>
      </c>
      <c r="Z479" s="37">
        <f t="shared" si="378"/>
        <v>0</v>
      </c>
      <c r="AA479" s="166"/>
      <c r="AB479" s="38"/>
      <c r="AC479" s="38"/>
    </row>
    <row r="480" spans="1:29" ht="24" hidden="1" outlineLevel="2" x14ac:dyDescent="0.25">
      <c r="A480" s="158" t="s">
        <v>1272</v>
      </c>
      <c r="B480" s="187" t="str">
        <f t="shared" si="355"/>
        <v>3.5/6</v>
      </c>
      <c r="C480" s="168" t="s">
        <v>1531</v>
      </c>
      <c r="D480" s="174" t="s">
        <v>1532</v>
      </c>
      <c r="E480" s="170" t="s">
        <v>1384</v>
      </c>
      <c r="F480" s="171"/>
      <c r="G480" s="171"/>
      <c r="H480" s="33">
        <f t="shared" si="312"/>
        <v>0</v>
      </c>
      <c r="I480" s="505"/>
      <c r="J480" s="505">
        <f t="shared" si="340"/>
        <v>0</v>
      </c>
      <c r="K480" s="499"/>
      <c r="L480" s="499">
        <f t="shared" si="341"/>
        <v>0</v>
      </c>
      <c r="M480" s="39">
        <f t="shared" si="342"/>
        <v>0</v>
      </c>
      <c r="N480" s="163">
        <f t="shared" si="313"/>
        <v>0</v>
      </c>
      <c r="O480" s="172">
        <f t="shared" si="376"/>
        <v>0</v>
      </c>
      <c r="P480" s="521"/>
      <c r="Q480" s="521">
        <f t="shared" si="344"/>
        <v>0</v>
      </c>
      <c r="R480" s="526"/>
      <c r="S480" s="526">
        <f t="shared" si="345"/>
        <v>0</v>
      </c>
      <c r="T480" s="39">
        <f t="shared" si="339"/>
        <v>0</v>
      </c>
      <c r="U480" s="163">
        <f>+ROUND(T480*H480,2)</f>
        <v>0</v>
      </c>
      <c r="V480" s="173">
        <f t="shared" si="377"/>
        <v>0</v>
      </c>
      <c r="W480" s="164"/>
      <c r="X480" s="128" t="s">
        <v>1004</v>
      </c>
      <c r="Y480" s="37">
        <f>+ROUND((O480)*(1+SUMIF($Y$2:$Y$4,X480,$Z$2:$Z$4)),0)</f>
        <v>0</v>
      </c>
      <c r="Z480" s="37">
        <f t="shared" si="378"/>
        <v>0</v>
      </c>
      <c r="AA480" s="166"/>
      <c r="AB480" s="38"/>
      <c r="AC480" s="38"/>
    </row>
    <row r="481" spans="1:29" hidden="1" outlineLevel="2" x14ac:dyDescent="0.25">
      <c r="A481" s="158" t="s">
        <v>1019</v>
      </c>
      <c r="B481" s="187" t="str">
        <f t="shared" si="355"/>
        <v>3.5/6</v>
      </c>
      <c r="C481" s="247">
        <v>6</v>
      </c>
      <c r="D481" s="161" t="s">
        <v>1533</v>
      </c>
      <c r="E481" s="170" t="s">
        <v>1384</v>
      </c>
      <c r="F481" s="40"/>
      <c r="G481" s="40"/>
      <c r="H481" s="33">
        <f t="shared" si="312"/>
        <v>0</v>
      </c>
      <c r="I481" s="504"/>
      <c r="J481" s="504">
        <f t="shared" si="340"/>
        <v>0</v>
      </c>
      <c r="K481" s="498"/>
      <c r="L481" s="498">
        <f t="shared" si="341"/>
        <v>0</v>
      </c>
      <c r="M481" s="34">
        <f t="shared" si="342"/>
        <v>0</v>
      </c>
      <c r="N481" s="163">
        <f t="shared" si="313"/>
        <v>0</v>
      </c>
      <c r="O481" s="172">
        <f t="shared" si="376"/>
        <v>0</v>
      </c>
      <c r="P481" s="520"/>
      <c r="Q481" s="520">
        <f t="shared" si="344"/>
        <v>0</v>
      </c>
      <c r="R481" s="525"/>
      <c r="S481" s="525">
        <f t="shared" si="345"/>
        <v>0</v>
      </c>
      <c r="T481" s="34">
        <f t="shared" si="339"/>
        <v>0</v>
      </c>
      <c r="U481" s="163">
        <f>+ROUND(T481*H481,2)</f>
        <v>0</v>
      </c>
      <c r="V481" s="173">
        <f t="shared" si="377"/>
        <v>0</v>
      </c>
      <c r="W481" s="164"/>
      <c r="X481" s="128" t="s">
        <v>1004</v>
      </c>
      <c r="Y481" s="37">
        <f>+ROUND((O481)*(1+SUMIF($Y$2:$Y$4,X481,$Z$2:$Z$4)),0)</f>
        <v>0</v>
      </c>
      <c r="Z481" s="37">
        <f t="shared" si="378"/>
        <v>0</v>
      </c>
      <c r="AA481" s="166"/>
      <c r="AB481" s="38"/>
      <c r="AC481" s="38"/>
    </row>
    <row r="482" spans="1:29" ht="24" hidden="1" outlineLevel="2" x14ac:dyDescent="0.25">
      <c r="A482" s="158" t="s">
        <v>1019</v>
      </c>
      <c r="B482" s="187" t="str">
        <f t="shared" si="355"/>
        <v>3.5/6</v>
      </c>
      <c r="C482" s="168">
        <v>6.1</v>
      </c>
      <c r="D482" s="174" t="s">
        <v>1596</v>
      </c>
      <c r="E482" s="170" t="s">
        <v>1384</v>
      </c>
      <c r="F482" s="171"/>
      <c r="G482" s="171"/>
      <c r="H482" s="33">
        <f t="shared" si="312"/>
        <v>0</v>
      </c>
      <c r="I482" s="505"/>
      <c r="J482" s="505">
        <f t="shared" si="340"/>
        <v>0</v>
      </c>
      <c r="K482" s="499"/>
      <c r="L482" s="499">
        <f t="shared" si="341"/>
        <v>0</v>
      </c>
      <c r="M482" s="39">
        <f t="shared" si="342"/>
        <v>0</v>
      </c>
      <c r="N482" s="163">
        <f t="shared" si="313"/>
        <v>0</v>
      </c>
      <c r="O482" s="172">
        <f t="shared" si="376"/>
        <v>0</v>
      </c>
      <c r="P482" s="521"/>
      <c r="Q482" s="521">
        <f t="shared" si="344"/>
        <v>0</v>
      </c>
      <c r="R482" s="526"/>
      <c r="S482" s="526">
        <f t="shared" si="345"/>
        <v>0</v>
      </c>
      <c r="T482" s="39">
        <f t="shared" si="339"/>
        <v>0</v>
      </c>
      <c r="U482" s="163">
        <f>+ROUND(T482*H482,2)</f>
        <v>0</v>
      </c>
      <c r="V482" s="173">
        <f t="shared" si="377"/>
        <v>0</v>
      </c>
      <c r="W482" s="164"/>
      <c r="X482" s="128" t="s">
        <v>1004</v>
      </c>
      <c r="Y482" s="37">
        <f>+ROUND((O482)*(1+SUMIF($Y$2:$Y$4,X482,$Z$2:$Z$4)),0)</f>
        <v>0</v>
      </c>
      <c r="Z482" s="37">
        <f t="shared" si="378"/>
        <v>0</v>
      </c>
      <c r="AA482" s="166"/>
      <c r="AB482" s="38"/>
      <c r="AC482" s="38"/>
    </row>
    <row r="483" spans="1:29" hidden="1" outlineLevel="2" x14ac:dyDescent="0.25">
      <c r="A483" s="158" t="s">
        <v>1019</v>
      </c>
      <c r="B483" s="187" t="str">
        <f t="shared" si="355"/>
        <v>3.5/6</v>
      </c>
      <c r="C483" s="248" t="s">
        <v>1535</v>
      </c>
      <c r="D483" s="174"/>
      <c r="E483" s="170" t="s">
        <v>1384</v>
      </c>
      <c r="F483" s="40"/>
      <c r="G483" s="40"/>
      <c r="H483" s="33">
        <f t="shared" si="312"/>
        <v>0</v>
      </c>
      <c r="I483" s="504"/>
      <c r="J483" s="504">
        <f t="shared" si="340"/>
        <v>0</v>
      </c>
      <c r="K483" s="498"/>
      <c r="L483" s="498">
        <f t="shared" si="341"/>
        <v>0</v>
      </c>
      <c r="M483" s="34">
        <f t="shared" si="342"/>
        <v>0</v>
      </c>
      <c r="N483" s="163">
        <f t="shared" si="313"/>
        <v>0</v>
      </c>
      <c r="O483" s="172">
        <f t="shared" si="376"/>
        <v>0</v>
      </c>
      <c r="P483" s="520"/>
      <c r="Q483" s="520">
        <f t="shared" si="344"/>
        <v>0</v>
      </c>
      <c r="R483" s="525"/>
      <c r="S483" s="525">
        <f t="shared" si="345"/>
        <v>0</v>
      </c>
      <c r="T483" s="34">
        <f t="shared" si="339"/>
        <v>0</v>
      </c>
      <c r="U483" s="163">
        <f>+ROUND(T483*H483,2)</f>
        <v>0</v>
      </c>
      <c r="V483" s="173">
        <f t="shared" si="377"/>
        <v>0</v>
      </c>
      <c r="W483" s="164"/>
      <c r="X483" s="128" t="s">
        <v>1004</v>
      </c>
      <c r="Y483" s="37">
        <f>+ROUND((O483)*(1+SUMIF($Y$2:$Y$4,X483,$Z$2:$Z$4)),0)</f>
        <v>0</v>
      </c>
      <c r="Z483" s="37">
        <f t="shared" si="378"/>
        <v>0</v>
      </c>
      <c r="AA483" s="166"/>
      <c r="AB483" s="38"/>
      <c r="AC483" s="38"/>
    </row>
    <row r="484" spans="1:29" hidden="1" outlineLevel="2" x14ac:dyDescent="0.25">
      <c r="A484" s="158" t="s">
        <v>1019</v>
      </c>
      <c r="B484" s="159" t="str">
        <f>+B483</f>
        <v>3.5/6</v>
      </c>
      <c r="C484" s="248" t="s">
        <v>1536</v>
      </c>
      <c r="D484" s="174"/>
      <c r="E484" s="170" t="s">
        <v>1384</v>
      </c>
      <c r="F484" s="40"/>
      <c r="G484" s="40"/>
      <c r="H484" s="33">
        <f t="shared" si="312"/>
        <v>0</v>
      </c>
      <c r="I484" s="504"/>
      <c r="J484" s="504">
        <f t="shared" si="340"/>
        <v>0</v>
      </c>
      <c r="K484" s="498"/>
      <c r="L484" s="498">
        <f t="shared" si="341"/>
        <v>0</v>
      </c>
      <c r="M484" s="34">
        <f t="shared" si="342"/>
        <v>0</v>
      </c>
      <c r="N484" s="163">
        <f t="shared" si="313"/>
        <v>0</v>
      </c>
      <c r="O484" s="172">
        <f t="shared" si="376"/>
        <v>0</v>
      </c>
      <c r="P484" s="520"/>
      <c r="Q484" s="520">
        <f t="shared" si="344"/>
        <v>0</v>
      </c>
      <c r="R484" s="525"/>
      <c r="S484" s="525">
        <f t="shared" si="345"/>
        <v>0</v>
      </c>
      <c r="T484" s="34">
        <f t="shared" si="339"/>
        <v>0</v>
      </c>
      <c r="U484" s="163">
        <f>+ROUND(T484*H484,2)</f>
        <v>0</v>
      </c>
      <c r="V484" s="173">
        <f t="shared" si="377"/>
        <v>0</v>
      </c>
      <c r="W484" s="164"/>
      <c r="X484" s="128" t="s">
        <v>1004</v>
      </c>
      <c r="Y484" s="37">
        <f>+ROUND((O484)*(1+SUMIF($Y$2:$Y$4,X484,$Z$2:$Z$4)),0)</f>
        <v>0</v>
      </c>
      <c r="Z484" s="37">
        <f t="shared" si="378"/>
        <v>0</v>
      </c>
      <c r="AA484" s="166"/>
      <c r="AB484" s="38"/>
      <c r="AC484" s="38"/>
    </row>
    <row r="485" spans="1:29" hidden="1" outlineLevel="1" x14ac:dyDescent="0.25">
      <c r="A485" s="506" t="s">
        <v>1022</v>
      </c>
      <c r="B485" s="512" t="str">
        <f>+B484</f>
        <v>3.5/6</v>
      </c>
      <c r="C485" s="508"/>
      <c r="D485" s="509" t="s">
        <v>1023</v>
      </c>
      <c r="E485" s="510"/>
      <c r="F485" s="511"/>
      <c r="G485" s="511"/>
      <c r="H485" s="512"/>
      <c r="I485" s="512"/>
      <c r="J485" s="512">
        <f t="shared" si="340"/>
        <v>0</v>
      </c>
      <c r="K485" s="512"/>
      <c r="L485" s="512">
        <f t="shared" si="341"/>
        <v>0</v>
      </c>
      <c r="M485" s="512">
        <f t="shared" si="342"/>
        <v>0</v>
      </c>
      <c r="N485" s="567">
        <f>SUM(N478:N484)</f>
        <v>0</v>
      </c>
      <c r="O485" s="566">
        <f>SUM(O478:O484)</f>
        <v>0</v>
      </c>
      <c r="P485" s="512"/>
      <c r="Q485" s="512">
        <f t="shared" si="344"/>
        <v>0</v>
      </c>
      <c r="R485" s="512"/>
      <c r="S485" s="512">
        <f t="shared" si="345"/>
        <v>0</v>
      </c>
      <c r="T485" s="512">
        <f t="shared" si="339"/>
        <v>0</v>
      </c>
      <c r="U485" s="567">
        <f>SUM(U478:U484)</f>
        <v>0</v>
      </c>
      <c r="V485" s="566">
        <f>SUM(V478:V484)</f>
        <v>0</v>
      </c>
      <c r="W485" s="507"/>
      <c r="X485" s="507"/>
      <c r="Y485" s="515">
        <f>+ROUND((O485)*(1+SUMIF($Y$2:$Y$4,X485,$Z$2:$Z$4)),0)</f>
        <v>0</v>
      </c>
      <c r="Z485" s="515">
        <f t="shared" si="378"/>
        <v>0</v>
      </c>
      <c r="AA485" s="166"/>
      <c r="AB485" s="38"/>
      <c r="AC485" s="38"/>
    </row>
    <row r="486" spans="1:29" hidden="1" outlineLevel="1" x14ac:dyDescent="0.25">
      <c r="A486" s="551" t="s">
        <v>1022</v>
      </c>
      <c r="B486" s="560" t="s">
        <v>1882</v>
      </c>
      <c r="C486" s="553"/>
      <c r="D486" s="564" t="s">
        <v>1024</v>
      </c>
      <c r="E486" s="555"/>
      <c r="F486" s="556"/>
      <c r="G486" s="556"/>
      <c r="H486" s="558"/>
      <c r="I486" s="558"/>
      <c r="J486" s="558">
        <f t="shared" si="340"/>
        <v>0</v>
      </c>
      <c r="K486" s="558"/>
      <c r="L486" s="558">
        <f t="shared" si="341"/>
        <v>0</v>
      </c>
      <c r="M486" s="558">
        <f t="shared" si="342"/>
        <v>0</v>
      </c>
      <c r="N486" s="559"/>
      <c r="O486" s="559"/>
      <c r="P486" s="558"/>
      <c r="Q486" s="558">
        <f t="shared" si="344"/>
        <v>0</v>
      </c>
      <c r="R486" s="558"/>
      <c r="S486" s="558">
        <f t="shared" si="345"/>
        <v>0</v>
      </c>
      <c r="T486" s="558">
        <f t="shared" si="339"/>
        <v>0</v>
      </c>
      <c r="U486" s="559"/>
      <c r="V486" s="559"/>
      <c r="W486" s="560"/>
      <c r="X486" s="560"/>
      <c r="Y486" s="558"/>
      <c r="Z486" s="558"/>
      <c r="AA486" s="166"/>
      <c r="AB486" s="38"/>
      <c r="AC486" s="38"/>
    </row>
    <row r="487" spans="1:29" hidden="1" outlineLevel="1" x14ac:dyDescent="0.25">
      <c r="A487" s="562" t="s">
        <v>1022</v>
      </c>
      <c r="B487" s="560" t="str">
        <f t="shared" ref="B487:B495" si="379">+B486</f>
        <v>3.5/7</v>
      </c>
      <c r="C487" s="553"/>
      <c r="D487" s="555"/>
      <c r="E487" s="555"/>
      <c r="F487" s="556"/>
      <c r="G487" s="556"/>
      <c r="H487" s="558"/>
      <c r="I487" s="558"/>
      <c r="J487" s="558">
        <f t="shared" si="340"/>
        <v>0</v>
      </c>
      <c r="K487" s="558"/>
      <c r="L487" s="558">
        <f t="shared" si="341"/>
        <v>0</v>
      </c>
      <c r="M487" s="558">
        <f t="shared" si="342"/>
        <v>0</v>
      </c>
      <c r="N487" s="559"/>
      <c r="O487" s="559"/>
      <c r="P487" s="558"/>
      <c r="Q487" s="558">
        <f t="shared" si="344"/>
        <v>0</v>
      </c>
      <c r="R487" s="558"/>
      <c r="S487" s="558">
        <f t="shared" si="345"/>
        <v>0</v>
      </c>
      <c r="T487" s="558">
        <f t="shared" si="339"/>
        <v>0</v>
      </c>
      <c r="U487" s="559"/>
      <c r="V487" s="559"/>
      <c r="W487" s="560"/>
      <c r="X487" s="560"/>
      <c r="Y487" s="558"/>
      <c r="Z487" s="558"/>
      <c r="AA487" s="166"/>
      <c r="AB487" s="38"/>
      <c r="AC487" s="38"/>
    </row>
    <row r="488" spans="1:29" hidden="1" outlineLevel="1" x14ac:dyDescent="0.25">
      <c r="A488" s="551" t="s">
        <v>1022</v>
      </c>
      <c r="B488" s="560" t="str">
        <f t="shared" si="379"/>
        <v>3.5/7</v>
      </c>
      <c r="C488" s="553"/>
      <c r="D488" s="555" t="s">
        <v>1876</v>
      </c>
      <c r="E488" s="555"/>
      <c r="F488" s="556"/>
      <c r="G488" s="556"/>
      <c r="H488" s="558"/>
      <c r="I488" s="558"/>
      <c r="J488" s="558">
        <f t="shared" si="340"/>
        <v>0</v>
      </c>
      <c r="K488" s="558"/>
      <c r="L488" s="558">
        <f t="shared" si="341"/>
        <v>0</v>
      </c>
      <c r="M488" s="558">
        <f t="shared" si="342"/>
        <v>0</v>
      </c>
      <c r="N488" s="559">
        <f>N413</f>
        <v>0</v>
      </c>
      <c r="O488" s="563">
        <f>O413</f>
        <v>0</v>
      </c>
      <c r="P488" s="558"/>
      <c r="Q488" s="558">
        <f t="shared" si="344"/>
        <v>0</v>
      </c>
      <c r="R488" s="558"/>
      <c r="S488" s="558">
        <f t="shared" si="345"/>
        <v>0</v>
      </c>
      <c r="T488" s="558">
        <f t="shared" si="339"/>
        <v>0</v>
      </c>
      <c r="U488" s="559">
        <f>U413</f>
        <v>0</v>
      </c>
      <c r="V488" s="563">
        <f>V413</f>
        <v>0</v>
      </c>
      <c r="W488" s="560"/>
      <c r="X488" s="560"/>
      <c r="Y488" s="563">
        <f>+Y413</f>
        <v>0</v>
      </c>
      <c r="Z488" s="563">
        <f>+Z413</f>
        <v>0</v>
      </c>
      <c r="AA488" s="166"/>
      <c r="AB488" s="38"/>
      <c r="AC488" s="38"/>
    </row>
    <row r="489" spans="1:29" hidden="1" outlineLevel="1" x14ac:dyDescent="0.25">
      <c r="A489" s="551" t="s">
        <v>1022</v>
      </c>
      <c r="B489" s="560" t="str">
        <f t="shared" si="379"/>
        <v>3.5/7</v>
      </c>
      <c r="C489" s="553"/>
      <c r="D489" s="555" t="s">
        <v>1877</v>
      </c>
      <c r="E489" s="555"/>
      <c r="F489" s="556"/>
      <c r="G489" s="556"/>
      <c r="H489" s="558"/>
      <c r="I489" s="558"/>
      <c r="J489" s="558">
        <f t="shared" si="340"/>
        <v>0</v>
      </c>
      <c r="K489" s="558"/>
      <c r="L489" s="558">
        <f t="shared" si="341"/>
        <v>0</v>
      </c>
      <c r="M489" s="558">
        <f t="shared" si="342"/>
        <v>0</v>
      </c>
      <c r="N489" s="559">
        <f>N432</f>
        <v>0</v>
      </c>
      <c r="O489" s="563">
        <f>O432</f>
        <v>0</v>
      </c>
      <c r="P489" s="558"/>
      <c r="Q489" s="558">
        <f t="shared" si="344"/>
        <v>0</v>
      </c>
      <c r="R489" s="558"/>
      <c r="S489" s="558">
        <f t="shared" si="345"/>
        <v>0</v>
      </c>
      <c r="T489" s="558">
        <f t="shared" si="339"/>
        <v>0</v>
      </c>
      <c r="U489" s="559">
        <f>U432</f>
        <v>0</v>
      </c>
      <c r="V489" s="563">
        <f>V432</f>
        <v>0</v>
      </c>
      <c r="W489" s="560"/>
      <c r="X489" s="560"/>
      <c r="Y489" s="563">
        <f>+Y432</f>
        <v>0</v>
      </c>
      <c r="Z489" s="563">
        <f>+Z432</f>
        <v>0</v>
      </c>
      <c r="AA489" s="166"/>
      <c r="AB489" s="38"/>
      <c r="AC489" s="38"/>
    </row>
    <row r="490" spans="1:29" hidden="1" outlineLevel="1" x14ac:dyDescent="0.25">
      <c r="A490" s="551" t="s">
        <v>1022</v>
      </c>
      <c r="B490" s="560" t="str">
        <f t="shared" si="379"/>
        <v>3.5/7</v>
      </c>
      <c r="C490" s="553"/>
      <c r="D490" s="555" t="s">
        <v>1878</v>
      </c>
      <c r="E490" s="555"/>
      <c r="F490" s="556"/>
      <c r="G490" s="556"/>
      <c r="H490" s="558"/>
      <c r="I490" s="558"/>
      <c r="J490" s="558">
        <f t="shared" si="340"/>
        <v>0</v>
      </c>
      <c r="K490" s="558"/>
      <c r="L490" s="558">
        <f t="shared" si="341"/>
        <v>0</v>
      </c>
      <c r="M490" s="558">
        <f t="shared" si="342"/>
        <v>0</v>
      </c>
      <c r="N490" s="559">
        <f>N448</f>
        <v>0</v>
      </c>
      <c r="O490" s="563">
        <f>O448</f>
        <v>0</v>
      </c>
      <c r="P490" s="558"/>
      <c r="Q490" s="558">
        <f t="shared" si="344"/>
        <v>0</v>
      </c>
      <c r="R490" s="558"/>
      <c r="S490" s="558">
        <f t="shared" si="345"/>
        <v>0</v>
      </c>
      <c r="T490" s="558">
        <f t="shared" si="339"/>
        <v>0</v>
      </c>
      <c r="U490" s="559">
        <f>U448</f>
        <v>0</v>
      </c>
      <c r="V490" s="563">
        <f>V448</f>
        <v>0</v>
      </c>
      <c r="W490" s="560"/>
      <c r="X490" s="560"/>
      <c r="Y490" s="563">
        <f>+Y448</f>
        <v>0</v>
      </c>
      <c r="Z490" s="563">
        <f>+Z448</f>
        <v>0</v>
      </c>
      <c r="AA490" s="166"/>
      <c r="AB490" s="38"/>
      <c r="AC490" s="38"/>
    </row>
    <row r="491" spans="1:29" hidden="1" outlineLevel="1" x14ac:dyDescent="0.25">
      <c r="A491" s="551" t="s">
        <v>1022</v>
      </c>
      <c r="B491" s="560" t="str">
        <f t="shared" si="379"/>
        <v>3.5/7</v>
      </c>
      <c r="C491" s="553"/>
      <c r="D491" s="555" t="s">
        <v>1879</v>
      </c>
      <c r="E491" s="555"/>
      <c r="F491" s="556"/>
      <c r="G491" s="556"/>
      <c r="H491" s="558"/>
      <c r="I491" s="558"/>
      <c r="J491" s="558">
        <f t="shared" si="340"/>
        <v>0</v>
      </c>
      <c r="K491" s="558"/>
      <c r="L491" s="558">
        <f t="shared" si="341"/>
        <v>0</v>
      </c>
      <c r="M491" s="558">
        <f t="shared" si="342"/>
        <v>0</v>
      </c>
      <c r="N491" s="559">
        <f>N461</f>
        <v>0</v>
      </c>
      <c r="O491" s="563">
        <f>O461</f>
        <v>0</v>
      </c>
      <c r="P491" s="558"/>
      <c r="Q491" s="558">
        <f t="shared" si="344"/>
        <v>0</v>
      </c>
      <c r="R491" s="558"/>
      <c r="S491" s="558">
        <f t="shared" si="345"/>
        <v>0</v>
      </c>
      <c r="T491" s="558">
        <f t="shared" si="339"/>
        <v>0</v>
      </c>
      <c r="U491" s="559">
        <f>U461</f>
        <v>0</v>
      </c>
      <c r="V491" s="563">
        <f>V461</f>
        <v>0</v>
      </c>
      <c r="W491" s="560"/>
      <c r="X491" s="560"/>
      <c r="Y491" s="563">
        <f>+Y461</f>
        <v>0</v>
      </c>
      <c r="Z491" s="563">
        <f>+Z461</f>
        <v>0</v>
      </c>
      <c r="AA491" s="166"/>
      <c r="AB491" s="38"/>
      <c r="AC491" s="38"/>
    </row>
    <row r="492" spans="1:29" hidden="1" outlineLevel="1" x14ac:dyDescent="0.25">
      <c r="A492" s="551" t="s">
        <v>1022</v>
      </c>
      <c r="B492" s="560" t="str">
        <f t="shared" si="379"/>
        <v>3.5/7</v>
      </c>
      <c r="C492" s="553"/>
      <c r="D492" s="555" t="s">
        <v>1880</v>
      </c>
      <c r="E492" s="555"/>
      <c r="F492" s="556"/>
      <c r="G492" s="556"/>
      <c r="H492" s="558"/>
      <c r="I492" s="558"/>
      <c r="J492" s="558">
        <f t="shared" si="340"/>
        <v>0</v>
      </c>
      <c r="K492" s="558"/>
      <c r="L492" s="558">
        <f t="shared" si="341"/>
        <v>0</v>
      </c>
      <c r="M492" s="558">
        <f t="shared" si="342"/>
        <v>0</v>
      </c>
      <c r="N492" s="559">
        <f>N477</f>
        <v>0</v>
      </c>
      <c r="O492" s="563">
        <f>O477</f>
        <v>0</v>
      </c>
      <c r="P492" s="558"/>
      <c r="Q492" s="558">
        <f t="shared" si="344"/>
        <v>0</v>
      </c>
      <c r="R492" s="558"/>
      <c r="S492" s="558">
        <f t="shared" si="345"/>
        <v>0</v>
      </c>
      <c r="T492" s="558">
        <f t="shared" si="339"/>
        <v>0</v>
      </c>
      <c r="U492" s="559">
        <f>U477</f>
        <v>0</v>
      </c>
      <c r="V492" s="563">
        <f>V477</f>
        <v>0</v>
      </c>
      <c r="W492" s="560"/>
      <c r="X492" s="560"/>
      <c r="Y492" s="563">
        <f>+Y477</f>
        <v>0</v>
      </c>
      <c r="Z492" s="563">
        <f>+Z477</f>
        <v>0</v>
      </c>
      <c r="AA492" s="166"/>
      <c r="AB492" s="38"/>
      <c r="AC492" s="38"/>
    </row>
    <row r="493" spans="1:29" hidden="1" outlineLevel="1" x14ac:dyDescent="0.25">
      <c r="A493" s="551" t="s">
        <v>1022</v>
      </c>
      <c r="B493" s="560" t="str">
        <f t="shared" si="379"/>
        <v>3.5/7</v>
      </c>
      <c r="C493" s="553"/>
      <c r="D493" s="555" t="s">
        <v>1881</v>
      </c>
      <c r="E493" s="555"/>
      <c r="F493" s="556"/>
      <c r="G493" s="556"/>
      <c r="H493" s="558"/>
      <c r="I493" s="558"/>
      <c r="J493" s="558">
        <f t="shared" si="340"/>
        <v>0</v>
      </c>
      <c r="K493" s="558"/>
      <c r="L493" s="558">
        <f t="shared" si="341"/>
        <v>0</v>
      </c>
      <c r="M493" s="558">
        <f t="shared" si="342"/>
        <v>0</v>
      </c>
      <c r="N493" s="559">
        <f>N485</f>
        <v>0</v>
      </c>
      <c r="O493" s="563">
        <f>O485</f>
        <v>0</v>
      </c>
      <c r="P493" s="558"/>
      <c r="Q493" s="558">
        <f t="shared" si="344"/>
        <v>0</v>
      </c>
      <c r="R493" s="558"/>
      <c r="S493" s="558">
        <f t="shared" si="345"/>
        <v>0</v>
      </c>
      <c r="T493" s="558">
        <f t="shared" si="339"/>
        <v>0</v>
      </c>
      <c r="U493" s="559">
        <f>U485</f>
        <v>0</v>
      </c>
      <c r="V493" s="563">
        <f>V485</f>
        <v>0</v>
      </c>
      <c r="W493" s="560"/>
      <c r="X493" s="560"/>
      <c r="Y493" s="563">
        <f>+Y485</f>
        <v>0</v>
      </c>
      <c r="Z493" s="563">
        <f>+Z485</f>
        <v>0</v>
      </c>
      <c r="AA493" s="166"/>
      <c r="AB493" s="38"/>
      <c r="AC493" s="38"/>
    </row>
    <row r="494" spans="1:29" hidden="1" outlineLevel="1" x14ac:dyDescent="0.25">
      <c r="A494" s="568" t="s">
        <v>1022</v>
      </c>
      <c r="B494" s="560" t="str">
        <f t="shared" si="379"/>
        <v>3.5/7</v>
      </c>
      <c r="C494" s="553"/>
      <c r="D494" s="555"/>
      <c r="E494" s="555"/>
      <c r="F494" s="556"/>
      <c r="G494" s="556"/>
      <c r="H494" s="558"/>
      <c r="I494" s="558"/>
      <c r="J494" s="558">
        <f t="shared" si="340"/>
        <v>0</v>
      </c>
      <c r="K494" s="558"/>
      <c r="L494" s="558">
        <f t="shared" si="341"/>
        <v>0</v>
      </c>
      <c r="M494" s="558">
        <f t="shared" si="342"/>
        <v>0</v>
      </c>
      <c r="N494" s="559"/>
      <c r="O494" s="563">
        <f>SUM(O488:O493)</f>
        <v>0</v>
      </c>
      <c r="P494" s="558"/>
      <c r="Q494" s="558">
        <f t="shared" si="344"/>
        <v>0</v>
      </c>
      <c r="R494" s="558"/>
      <c r="S494" s="558">
        <f t="shared" si="345"/>
        <v>0</v>
      </c>
      <c r="T494" s="558">
        <f t="shared" si="339"/>
        <v>0</v>
      </c>
      <c r="U494" s="559"/>
      <c r="V494" s="563">
        <f>SUM(V488:V493)</f>
        <v>0</v>
      </c>
      <c r="W494" s="560"/>
      <c r="X494" s="560"/>
      <c r="Y494" s="563">
        <f>SUM(Y488:Y493)</f>
        <v>0</v>
      </c>
      <c r="Z494" s="563">
        <f>SUM(Z488:Z493)</f>
        <v>0</v>
      </c>
      <c r="AA494" s="166"/>
      <c r="AB494" s="38"/>
      <c r="AC494" s="38"/>
    </row>
    <row r="495" spans="1:29" hidden="1" outlineLevel="1" x14ac:dyDescent="0.25">
      <c r="A495" s="562" t="s">
        <v>1022</v>
      </c>
      <c r="B495" s="560" t="str">
        <f t="shared" si="379"/>
        <v>3.5/7</v>
      </c>
      <c r="C495" s="553"/>
      <c r="D495" s="555"/>
      <c r="E495" s="555"/>
      <c r="F495" s="556"/>
      <c r="G495" s="556"/>
      <c r="H495" s="558"/>
      <c r="I495" s="558"/>
      <c r="J495" s="558">
        <f t="shared" si="340"/>
        <v>0</v>
      </c>
      <c r="K495" s="558"/>
      <c r="L495" s="558">
        <f t="shared" si="341"/>
        <v>0</v>
      </c>
      <c r="M495" s="558">
        <f t="shared" si="342"/>
        <v>0</v>
      </c>
      <c r="N495" s="559"/>
      <c r="O495" s="559"/>
      <c r="P495" s="558"/>
      <c r="Q495" s="558">
        <f t="shared" si="344"/>
        <v>0</v>
      </c>
      <c r="R495" s="558"/>
      <c r="S495" s="558">
        <f t="shared" si="345"/>
        <v>0</v>
      </c>
      <c r="T495" s="558">
        <f t="shared" si="339"/>
        <v>0</v>
      </c>
      <c r="U495" s="559"/>
      <c r="V495" s="559"/>
      <c r="W495" s="560"/>
      <c r="X495" s="560"/>
      <c r="Y495" s="558"/>
      <c r="Z495" s="558"/>
      <c r="AA495" s="166"/>
      <c r="AB495" s="38"/>
      <c r="AC495" s="38"/>
    </row>
    <row r="496" spans="1:29" collapsed="1" x14ac:dyDescent="0.25">
      <c r="A496" s="506" t="s">
        <v>1022</v>
      </c>
      <c r="B496" s="507" t="s">
        <v>1607</v>
      </c>
      <c r="C496" s="508"/>
      <c r="D496" s="509" t="s">
        <v>1024</v>
      </c>
      <c r="E496" s="510"/>
      <c r="F496" s="511"/>
      <c r="G496" s="511"/>
      <c r="H496" s="512"/>
      <c r="I496" s="512"/>
      <c r="J496" s="512">
        <f t="shared" si="340"/>
        <v>0</v>
      </c>
      <c r="K496" s="512"/>
      <c r="L496" s="512">
        <f t="shared" si="341"/>
        <v>0</v>
      </c>
      <c r="M496" s="512">
        <f t="shared" si="342"/>
        <v>0</v>
      </c>
      <c r="N496" s="513">
        <f>SUM(N487:N495)</f>
        <v>0</v>
      </c>
      <c r="O496" s="513">
        <f>SUM(O487:O495)</f>
        <v>0</v>
      </c>
      <c r="P496" s="512"/>
      <c r="Q496" s="512">
        <f t="shared" si="344"/>
        <v>0</v>
      </c>
      <c r="R496" s="512"/>
      <c r="S496" s="512">
        <f t="shared" si="345"/>
        <v>0</v>
      </c>
      <c r="T496" s="512">
        <f t="shared" si="339"/>
        <v>0</v>
      </c>
      <c r="U496" s="513">
        <f t="shared" ref="U496:V496" si="380">SUM(U487:U495)</f>
        <v>0</v>
      </c>
      <c r="V496" s="513">
        <f t="shared" si="380"/>
        <v>0</v>
      </c>
      <c r="W496" s="507"/>
      <c r="X496" s="507"/>
      <c r="Y496" s="513">
        <f t="shared" ref="Y496:Z496" si="381">SUM(Y487:Y495)</f>
        <v>0</v>
      </c>
      <c r="Z496" s="513">
        <f t="shared" si="381"/>
        <v>0</v>
      </c>
      <c r="AA496" s="166"/>
      <c r="AB496" s="38"/>
      <c r="AC496" s="38"/>
    </row>
    <row r="497" spans="1:30" x14ac:dyDescent="0.25">
      <c r="A497" s="569" t="s">
        <v>1022</v>
      </c>
      <c r="B497" s="570" t="str">
        <f t="shared" ref="B497:B502" si="382">+B496</f>
        <v>SECT3.SUM</v>
      </c>
      <c r="C497" s="433"/>
      <c r="D497" s="434"/>
      <c r="E497" s="434"/>
      <c r="F497" s="435"/>
      <c r="G497" s="435"/>
      <c r="H497" s="33"/>
      <c r="I497" s="436"/>
      <c r="J497" s="436"/>
      <c r="K497" s="436"/>
      <c r="L497" s="436"/>
      <c r="M497" s="436"/>
      <c r="N497" s="437"/>
      <c r="O497" s="573"/>
      <c r="P497" s="436"/>
      <c r="Q497" s="436"/>
      <c r="R497" s="436"/>
      <c r="S497" s="436"/>
      <c r="T497" s="436"/>
      <c r="U497" s="437"/>
      <c r="V497" s="575"/>
      <c r="W497" s="432"/>
      <c r="X497" s="432"/>
      <c r="Y497" s="577"/>
      <c r="Z497" s="577"/>
      <c r="AA497" s="166"/>
      <c r="AB497" s="38"/>
      <c r="AC497" s="38"/>
    </row>
    <row r="498" spans="1:30" x14ac:dyDescent="0.25">
      <c r="A498" s="571" t="s">
        <v>1022</v>
      </c>
      <c r="B498" s="570" t="str">
        <f t="shared" si="382"/>
        <v>SECT3.SUM</v>
      </c>
      <c r="C498" s="433"/>
      <c r="D498" s="434" t="s">
        <v>1378</v>
      </c>
      <c r="E498" s="434"/>
      <c r="F498" s="435"/>
      <c r="G498" s="435"/>
      <c r="H498" s="33"/>
      <c r="I498" s="436"/>
      <c r="J498" s="436"/>
      <c r="K498" s="436"/>
      <c r="L498" s="436"/>
      <c r="M498" s="436"/>
      <c r="N498" s="437"/>
      <c r="O498" s="574">
        <f>+O164</f>
        <v>0</v>
      </c>
      <c r="P498" s="436"/>
      <c r="Q498" s="436"/>
      <c r="R498" s="436"/>
      <c r="S498" s="436"/>
      <c r="T498" s="436"/>
      <c r="U498" s="437"/>
      <c r="V498" s="576">
        <f>+V164</f>
        <v>0</v>
      </c>
      <c r="W498" s="432"/>
      <c r="X498" s="432"/>
      <c r="Y498" s="280">
        <f>+Y164</f>
        <v>0</v>
      </c>
      <c r="Z498" s="280">
        <f>+Z164</f>
        <v>0</v>
      </c>
      <c r="AA498" s="166"/>
      <c r="AB498" s="38"/>
      <c r="AC498" s="38"/>
    </row>
    <row r="499" spans="1:30" x14ac:dyDescent="0.25">
      <c r="A499" s="571" t="s">
        <v>1022</v>
      </c>
      <c r="B499" s="570" t="str">
        <f t="shared" si="382"/>
        <v>SECT3.SUM</v>
      </c>
      <c r="C499" s="433"/>
      <c r="D499" s="434" t="s">
        <v>1546</v>
      </c>
      <c r="E499" s="434"/>
      <c r="F499" s="435"/>
      <c r="G499" s="435"/>
      <c r="H499" s="33"/>
      <c r="I499" s="436"/>
      <c r="J499" s="436"/>
      <c r="K499" s="436"/>
      <c r="L499" s="436"/>
      <c r="M499" s="436"/>
      <c r="N499" s="437"/>
      <c r="O499" s="574">
        <f>+O298</f>
        <v>0</v>
      </c>
      <c r="P499" s="436"/>
      <c r="Q499" s="436"/>
      <c r="R499" s="436"/>
      <c r="S499" s="436"/>
      <c r="T499" s="436"/>
      <c r="U499" s="437"/>
      <c r="V499" s="576">
        <f>+V298</f>
        <v>0</v>
      </c>
      <c r="W499" s="432"/>
      <c r="X499" s="432"/>
      <c r="Y499" s="280">
        <f>+Y298</f>
        <v>0</v>
      </c>
      <c r="Z499" s="280">
        <f>+Z298</f>
        <v>0</v>
      </c>
      <c r="AA499" s="166"/>
      <c r="AB499" s="38"/>
      <c r="AC499" s="38"/>
    </row>
    <row r="500" spans="1:30" x14ac:dyDescent="0.25">
      <c r="A500" s="571" t="s">
        <v>1022</v>
      </c>
      <c r="B500" s="570" t="str">
        <f t="shared" si="382"/>
        <v>SECT3.SUM</v>
      </c>
      <c r="C500" s="433"/>
      <c r="D500" s="434" t="s">
        <v>1598</v>
      </c>
      <c r="E500" s="434"/>
      <c r="F500" s="435"/>
      <c r="G500" s="435"/>
      <c r="H500" s="33"/>
      <c r="I500" s="436"/>
      <c r="J500" s="436"/>
      <c r="K500" s="436"/>
      <c r="L500" s="436"/>
      <c r="M500" s="436"/>
      <c r="N500" s="437"/>
      <c r="O500" s="574">
        <f>+O398</f>
        <v>0</v>
      </c>
      <c r="P500" s="436"/>
      <c r="Q500" s="436"/>
      <c r="R500" s="436"/>
      <c r="S500" s="436"/>
      <c r="T500" s="436"/>
      <c r="U500" s="437"/>
      <c r="V500" s="576">
        <f>+V398</f>
        <v>0</v>
      </c>
      <c r="W500" s="432"/>
      <c r="X500" s="432"/>
      <c r="Y500" s="280">
        <f>+Y398</f>
        <v>0</v>
      </c>
      <c r="Z500" s="280">
        <f>+Z398</f>
        <v>0</v>
      </c>
      <c r="AA500" s="166"/>
      <c r="AB500" s="38"/>
      <c r="AC500" s="38"/>
    </row>
    <row r="501" spans="1:30" x14ac:dyDescent="0.25">
      <c r="A501" s="571" t="s">
        <v>1022</v>
      </c>
      <c r="B501" s="570" t="str">
        <f t="shared" si="382"/>
        <v>SECT3.SUM</v>
      </c>
      <c r="C501" s="433"/>
      <c r="D501" s="434" t="s">
        <v>1603</v>
      </c>
      <c r="E501" s="434"/>
      <c r="F501" s="435"/>
      <c r="G501" s="435"/>
      <c r="H501" s="33"/>
      <c r="I501" s="436"/>
      <c r="J501" s="436"/>
      <c r="K501" s="436"/>
      <c r="L501" s="436"/>
      <c r="M501" s="436"/>
      <c r="N501" s="437"/>
      <c r="O501" s="574">
        <f>+O496</f>
        <v>0</v>
      </c>
      <c r="P501" s="436"/>
      <c r="Q501" s="436"/>
      <c r="R501" s="436"/>
      <c r="S501" s="436"/>
      <c r="T501" s="436"/>
      <c r="U501" s="437"/>
      <c r="V501" s="576">
        <f>+V496</f>
        <v>0</v>
      </c>
      <c r="W501" s="432"/>
      <c r="X501" s="432"/>
      <c r="Y501" s="280">
        <f>+Y496</f>
        <v>0</v>
      </c>
      <c r="Z501" s="280">
        <f>+Z496</f>
        <v>0</v>
      </c>
      <c r="AA501" s="166"/>
      <c r="AB501" s="38"/>
      <c r="AC501" s="38"/>
    </row>
    <row r="502" spans="1:30" ht="15.75" thickBot="1" x14ac:dyDescent="0.3">
      <c r="A502" s="572" t="s">
        <v>1022</v>
      </c>
      <c r="B502" s="570" t="str">
        <f t="shared" si="382"/>
        <v>SECT3.SUM</v>
      </c>
      <c r="C502" s="433"/>
      <c r="D502" s="434"/>
      <c r="E502" s="434"/>
      <c r="F502" s="435"/>
      <c r="G502" s="435"/>
      <c r="H502" s="33"/>
      <c r="I502" s="436"/>
      <c r="J502" s="436"/>
      <c r="K502" s="436"/>
      <c r="L502" s="436"/>
      <c r="M502" s="436"/>
      <c r="N502" s="437"/>
      <c r="O502" s="574"/>
      <c r="P502" s="436"/>
      <c r="Q502" s="436"/>
      <c r="R502" s="436"/>
      <c r="S502" s="436"/>
      <c r="T502" s="436"/>
      <c r="U502" s="437"/>
      <c r="V502" s="576"/>
      <c r="W502" s="432"/>
      <c r="X502" s="432"/>
      <c r="Y502" s="280"/>
      <c r="Z502" s="280"/>
      <c r="AA502" s="166"/>
      <c r="AB502" s="38"/>
      <c r="AC502" s="38"/>
    </row>
    <row r="503" spans="1:30" s="407" customFormat="1" ht="15.75" thickBot="1" x14ac:dyDescent="0.3">
      <c r="A503" s="401" t="s">
        <v>1022</v>
      </c>
      <c r="B503" s="402"/>
      <c r="C503" s="403"/>
      <c r="D503" s="402" t="s">
        <v>1000</v>
      </c>
      <c r="E503" s="404"/>
      <c r="F503" s="404"/>
      <c r="G503" s="404"/>
      <c r="H503" s="405"/>
      <c r="I503" s="405"/>
      <c r="J503" s="405"/>
      <c r="K503" s="405"/>
      <c r="L503" s="405"/>
      <c r="M503" s="405"/>
      <c r="N503" s="402"/>
      <c r="O503" s="406">
        <f>SUM(O498:O502)</f>
        <v>0</v>
      </c>
      <c r="P503" s="405"/>
      <c r="Q503" s="405"/>
      <c r="R503" s="405"/>
      <c r="S503" s="405"/>
      <c r="T503" s="406" t="b">
        <f>+O503=SUM(N7:N497)/4</f>
        <v>1</v>
      </c>
      <c r="U503" s="402"/>
      <c r="V503" s="406">
        <f>SUM(V498:V502)</f>
        <v>0</v>
      </c>
      <c r="W503" s="406" t="b">
        <f>+V503=SUM(U7:U497)/4</f>
        <v>1</v>
      </c>
      <c r="X503" s="402"/>
      <c r="Y503" s="406">
        <f>SUM(Y498:Y502)</f>
        <v>0</v>
      </c>
      <c r="Z503" s="406">
        <f>SUM(Z498:Z502)</f>
        <v>0</v>
      </c>
      <c r="AA503" s="166"/>
      <c r="AB503" s="38"/>
      <c r="AC503" s="38"/>
      <c r="AD503" s="25"/>
    </row>
    <row r="504" spans="1:30" x14ac:dyDescent="0.25">
      <c r="A504" s="289">
        <v>0</v>
      </c>
      <c r="B504" s="290"/>
      <c r="C504" s="291"/>
      <c r="D504" s="292"/>
      <c r="E504" s="292"/>
      <c r="F504" s="292"/>
      <c r="G504" s="292"/>
      <c r="H504" s="293"/>
      <c r="I504" s="293"/>
      <c r="J504" s="293"/>
      <c r="K504" s="293"/>
      <c r="L504" s="293"/>
      <c r="M504" s="293"/>
      <c r="N504" s="290"/>
      <c r="O504" s="290"/>
      <c r="P504" s="293"/>
      <c r="Q504" s="293"/>
      <c r="R504" s="293"/>
      <c r="S504" s="293"/>
      <c r="T504" s="293"/>
      <c r="U504" s="290"/>
      <c r="V504" s="290"/>
      <c r="W504" s="290"/>
      <c r="X504" s="290"/>
      <c r="Y504" s="293"/>
      <c r="Z504" s="293"/>
      <c r="AA504" s="166"/>
      <c r="AB504" s="38"/>
      <c r="AC504" s="38"/>
    </row>
    <row r="505" spans="1:30" x14ac:dyDescent="0.25">
      <c r="A505" s="294">
        <v>0</v>
      </c>
      <c r="B505" s="166"/>
      <c r="C505" s="295"/>
      <c r="D505" s="38"/>
      <c r="E505" s="38"/>
      <c r="F505" s="38"/>
      <c r="G505" s="38"/>
      <c r="H505" s="296"/>
      <c r="I505" s="296"/>
      <c r="J505" s="296"/>
      <c r="K505" s="296"/>
      <c r="L505" s="296"/>
      <c r="M505" s="296"/>
      <c r="N505" s="166"/>
      <c r="O505" s="297"/>
      <c r="P505" s="296"/>
      <c r="Q505" s="296"/>
      <c r="R505" s="296"/>
      <c r="S505" s="296"/>
      <c r="T505" s="296"/>
      <c r="U505" s="166"/>
      <c r="V505" s="297"/>
      <c r="W505" s="166"/>
      <c r="X505" s="166"/>
      <c r="Y505" s="296"/>
      <c r="Z505" s="296"/>
      <c r="AA505" s="166"/>
      <c r="AB505" s="38"/>
      <c r="AC505" s="38"/>
    </row>
    <row r="506" spans="1:30" x14ac:dyDescent="0.25">
      <c r="A506" s="294">
        <v>0</v>
      </c>
      <c r="B506" s="166"/>
      <c r="C506" s="295"/>
      <c r="D506" s="38"/>
      <c r="E506" s="38"/>
      <c r="F506" s="38"/>
      <c r="G506" s="38"/>
      <c r="H506" s="296"/>
      <c r="I506" s="296"/>
      <c r="J506" s="296"/>
      <c r="K506" s="296"/>
      <c r="L506" s="296"/>
      <c r="M506" s="296"/>
      <c r="N506" s="166"/>
      <c r="O506" s="297"/>
      <c r="P506" s="296"/>
      <c r="Q506" s="296"/>
      <c r="R506" s="296"/>
      <c r="S506" s="296"/>
      <c r="T506" s="296"/>
      <c r="U506" s="166"/>
      <c r="V506" s="297"/>
      <c r="W506" s="166"/>
      <c r="X506" s="166"/>
      <c r="Y506" s="296"/>
      <c r="Z506" s="296"/>
      <c r="AA506" s="166"/>
      <c r="AB506" s="38"/>
      <c r="AC506" s="38"/>
    </row>
    <row r="507" spans="1:30" x14ac:dyDescent="0.25">
      <c r="A507" s="294">
        <v>0</v>
      </c>
      <c r="B507" s="166"/>
      <c r="C507" s="295"/>
      <c r="D507" s="38"/>
      <c r="E507" s="38"/>
      <c r="F507" s="38"/>
      <c r="G507" s="38"/>
      <c r="H507" s="296"/>
      <c r="I507" s="296"/>
      <c r="J507" s="296"/>
      <c r="K507" s="296"/>
      <c r="L507" s="296"/>
      <c r="M507" s="296"/>
      <c r="N507" s="166"/>
      <c r="O507" s="297"/>
      <c r="P507" s="296"/>
      <c r="Q507" s="296"/>
      <c r="R507" s="296"/>
      <c r="S507" s="296"/>
      <c r="T507" s="296"/>
      <c r="U507" s="166"/>
      <c r="V507" s="297"/>
      <c r="W507" s="166"/>
      <c r="X507" s="166"/>
      <c r="Y507" s="296"/>
      <c r="Z507" s="296"/>
      <c r="AA507" s="166"/>
      <c r="AB507" s="38"/>
      <c r="AC507" s="38"/>
    </row>
    <row r="508" spans="1:30" x14ac:dyDescent="0.25">
      <c r="A508" s="294">
        <v>0</v>
      </c>
      <c r="B508" s="166"/>
      <c r="C508" s="295"/>
      <c r="D508" s="38"/>
      <c r="E508" s="38"/>
      <c r="F508" s="38"/>
      <c r="G508" s="38"/>
      <c r="H508" s="296"/>
      <c r="I508" s="296"/>
      <c r="J508" s="296"/>
      <c r="K508" s="296"/>
      <c r="L508" s="296"/>
      <c r="M508" s="296"/>
      <c r="N508" s="166"/>
      <c r="O508" s="297"/>
      <c r="P508" s="296"/>
      <c r="Q508" s="296"/>
      <c r="R508" s="296"/>
      <c r="S508" s="296"/>
      <c r="T508" s="296"/>
      <c r="U508" s="166"/>
      <c r="V508" s="297"/>
      <c r="W508" s="166"/>
      <c r="X508" s="166"/>
      <c r="Y508" s="296"/>
      <c r="Z508" s="296"/>
      <c r="AA508" s="166"/>
      <c r="AB508" s="38"/>
      <c r="AC508" s="38"/>
    </row>
    <row r="509" spans="1:30" x14ac:dyDescent="0.25">
      <c r="A509" s="294">
        <v>0</v>
      </c>
      <c r="B509" s="166"/>
      <c r="C509" s="295"/>
      <c r="D509" s="38"/>
      <c r="E509" s="38"/>
      <c r="F509" s="38"/>
      <c r="G509" s="38"/>
      <c r="H509" s="296"/>
      <c r="I509" s="296"/>
      <c r="J509" s="296"/>
      <c r="K509" s="296"/>
      <c r="L509" s="296"/>
      <c r="M509" s="296"/>
      <c r="N509" s="166"/>
      <c r="O509" s="297"/>
      <c r="P509" s="296"/>
      <c r="Q509" s="296"/>
      <c r="R509" s="296"/>
      <c r="S509" s="296"/>
      <c r="T509" s="296"/>
      <c r="U509" s="166"/>
      <c r="V509" s="297"/>
      <c r="W509" s="166"/>
      <c r="X509" s="166"/>
      <c r="Y509" s="296"/>
      <c r="Z509" s="296"/>
      <c r="AA509" s="166"/>
      <c r="AB509" s="38"/>
      <c r="AC509" s="38"/>
    </row>
    <row r="510" spans="1:30" x14ac:dyDescent="0.25">
      <c r="A510" s="294">
        <v>0</v>
      </c>
      <c r="B510" s="166"/>
      <c r="C510" s="295"/>
      <c r="D510" s="38"/>
      <c r="E510" s="38"/>
      <c r="F510" s="38"/>
      <c r="G510" s="38"/>
      <c r="H510" s="296"/>
      <c r="I510" s="296"/>
      <c r="J510" s="296"/>
      <c r="K510" s="296"/>
      <c r="L510" s="296"/>
      <c r="M510" s="296"/>
      <c r="N510" s="166"/>
      <c r="O510" s="297"/>
      <c r="P510" s="296"/>
      <c r="Q510" s="296"/>
      <c r="R510" s="296"/>
      <c r="S510" s="296"/>
      <c r="T510" s="296"/>
      <c r="U510" s="166"/>
      <c r="V510" s="297"/>
      <c r="W510" s="166"/>
      <c r="X510" s="166"/>
      <c r="Y510" s="296"/>
      <c r="Z510" s="296"/>
      <c r="AA510" s="166"/>
      <c r="AB510" s="38"/>
      <c r="AC510" s="38"/>
    </row>
    <row r="511" spans="1:30" ht="15.75" thickBot="1" x14ac:dyDescent="0.3">
      <c r="A511" s="298">
        <v>0</v>
      </c>
      <c r="B511" s="299"/>
      <c r="C511" s="300"/>
      <c r="D511" s="301"/>
      <c r="E511" s="301"/>
      <c r="F511" s="301"/>
      <c r="G511" s="301"/>
      <c r="H511" s="302"/>
      <c r="I511" s="302"/>
      <c r="J511" s="302"/>
      <c r="K511" s="302"/>
      <c r="L511" s="302"/>
      <c r="M511" s="302"/>
      <c r="N511" s="299"/>
      <c r="O511" s="303" t="b">
        <f>+O673=O503</f>
        <v>1</v>
      </c>
      <c r="P511" s="302"/>
      <c r="Q511" s="302"/>
      <c r="R511" s="302"/>
      <c r="S511" s="302"/>
      <c r="T511" s="302"/>
      <c r="U511" s="299"/>
      <c r="V511" s="303" t="b">
        <f>+V673=V503</f>
        <v>1</v>
      </c>
      <c r="W511" s="299"/>
      <c r="X511" s="299"/>
      <c r="Y511" s="303" t="b">
        <f>+Y673=Y503</f>
        <v>1</v>
      </c>
      <c r="Z511" s="303" t="b">
        <f>+Z673=Z503</f>
        <v>1</v>
      </c>
      <c r="AA511" s="166"/>
      <c r="AB511" s="38"/>
      <c r="AC511" s="38"/>
    </row>
    <row r="512" spans="1:30" customFormat="1" ht="16.5" thickBot="1" x14ac:dyDescent="0.3">
      <c r="A512" s="136" t="s">
        <v>1049</v>
      </c>
      <c r="B512" s="137"/>
      <c r="C512" s="137"/>
      <c r="D512" s="258" t="s">
        <v>1883</v>
      </c>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customFormat="1" ht="36.75" thickBot="1" x14ac:dyDescent="0.3">
      <c r="A513" s="140" t="s">
        <v>618</v>
      </c>
      <c r="B513" s="251" t="s">
        <v>622</v>
      </c>
      <c r="C513" s="141"/>
      <c r="D513" s="141"/>
      <c r="E513" s="141"/>
      <c r="F513" s="141"/>
      <c r="G513" s="141"/>
      <c r="H513" s="141"/>
      <c r="I513" s="141"/>
      <c r="J513" s="141"/>
      <c r="K513" s="141"/>
      <c r="L513" s="141"/>
      <c r="M513" s="141"/>
      <c r="N513" s="141"/>
      <c r="O513" s="236" t="s">
        <v>1013</v>
      </c>
      <c r="P513" s="141"/>
      <c r="Q513" s="141"/>
      <c r="R513" s="141"/>
      <c r="S513" s="141"/>
      <c r="T513" s="237"/>
      <c r="U513" s="237"/>
      <c r="V513" s="238" t="s">
        <v>1016</v>
      </c>
      <c r="W513" s="237"/>
      <c r="X513" s="142" t="s">
        <v>1017</v>
      </c>
      <c r="Y513" s="142" t="s">
        <v>1375</v>
      </c>
      <c r="Z513" s="142" t="s">
        <v>1376</v>
      </c>
    </row>
    <row r="514" spans="1:26" hidden="1" outlineLevel="1" x14ac:dyDescent="0.25">
      <c r="A514" s="189" t="s">
        <v>1067</v>
      </c>
      <c r="B514" s="252" t="s">
        <v>1068</v>
      </c>
      <c r="C514" s="190"/>
      <c r="D514" s="191"/>
      <c r="E514" s="191"/>
      <c r="F514" s="192"/>
      <c r="G514" s="192"/>
      <c r="H514" s="48"/>
      <c r="I514" s="49"/>
      <c r="J514" s="49"/>
      <c r="K514" s="49"/>
      <c r="L514" s="49"/>
      <c r="M514" s="49"/>
      <c r="N514" s="193"/>
      <c r="O514" s="172">
        <f>SUMIF($A$7:$A$502,A514,$O$7:$O$502)</f>
        <v>0</v>
      </c>
      <c r="P514" s="49"/>
      <c r="Q514" s="49"/>
      <c r="R514" s="49"/>
      <c r="S514" s="49"/>
      <c r="T514" s="49"/>
      <c r="U514" s="193"/>
      <c r="V514" s="173">
        <f>SUMIF($A$7:$A$502,A514,$V$7:$V$502)</f>
        <v>0</v>
      </c>
      <c r="W514" s="194"/>
      <c r="X514" s="165" t="s">
        <v>1004</v>
      </c>
      <c r="Y514" s="37">
        <f>+ROUND((O514+V514)*(1+SUMIF($Y$2:$Y$4,X514,$Z$2:$Z$4)),0)</f>
        <v>0</v>
      </c>
      <c r="Z514" s="37">
        <f t="shared" ref="Z514:Z545" si="383">+ROUND((T514+W514)*(1+SUMIF($Y$2:$Y$4,Y514,$Z$2:$Z$4)),0)</f>
        <v>0</v>
      </c>
    </row>
    <row r="515" spans="1:26" hidden="1" outlineLevel="1" x14ac:dyDescent="0.25">
      <c r="A515" s="189" t="s">
        <v>1069</v>
      </c>
      <c r="B515" s="253" t="s">
        <v>1070</v>
      </c>
      <c r="C515" s="195"/>
      <c r="D515" s="196"/>
      <c r="E515" s="196"/>
      <c r="F515" s="192"/>
      <c r="G515" s="192"/>
      <c r="H515" s="50"/>
      <c r="I515" s="49"/>
      <c r="J515" s="49"/>
      <c r="K515" s="49"/>
      <c r="L515" s="49"/>
      <c r="M515" s="49"/>
      <c r="N515" s="193"/>
      <c r="O515" s="172">
        <f>SUMIF($A$7:$A$502,A515,$O$7:$O$502)</f>
        <v>0</v>
      </c>
      <c r="P515" s="49"/>
      <c r="Q515" s="49"/>
      <c r="R515" s="49"/>
      <c r="S515" s="49"/>
      <c r="T515" s="49"/>
      <c r="U515" s="193"/>
      <c r="V515" s="173">
        <f>SUMIF($A$7:$A$502,A515,$V$7:$V$502)</f>
        <v>0</v>
      </c>
      <c r="W515" s="197"/>
      <c r="X515" s="165" t="s">
        <v>1004</v>
      </c>
      <c r="Y515" s="37">
        <f>+ROUND((O515+V515)*(1+SUMIF($Y$2:$Y$4,X515,$Z$2:$Z$4)),0)</f>
        <v>0</v>
      </c>
      <c r="Z515" s="37">
        <f t="shared" si="383"/>
        <v>0</v>
      </c>
    </row>
    <row r="516" spans="1:26" hidden="1" outlineLevel="1" x14ac:dyDescent="0.25">
      <c r="A516" s="189" t="s">
        <v>1071</v>
      </c>
      <c r="B516" s="252" t="s">
        <v>1072</v>
      </c>
      <c r="C516" s="190"/>
      <c r="D516" s="191"/>
      <c r="E516" s="191"/>
      <c r="F516" s="192"/>
      <c r="G516" s="192"/>
      <c r="H516" s="48"/>
      <c r="I516" s="49"/>
      <c r="J516" s="49"/>
      <c r="K516" s="49"/>
      <c r="L516" s="49"/>
      <c r="M516" s="49"/>
      <c r="N516" s="193"/>
      <c r="O516" s="172">
        <f>SUMIF($A$7:$A$502,A516,$O$7:$O$502)</f>
        <v>0</v>
      </c>
      <c r="P516" s="49"/>
      <c r="Q516" s="49"/>
      <c r="R516" s="49"/>
      <c r="S516" s="49"/>
      <c r="T516" s="49"/>
      <c r="U516" s="193"/>
      <c r="V516" s="173">
        <f>SUMIF($A$7:$A$502,A516,$V$7:$V$502)</f>
        <v>0</v>
      </c>
      <c r="W516" s="194"/>
      <c r="X516" s="165" t="s">
        <v>1004</v>
      </c>
      <c r="Y516" s="37">
        <f>+ROUND((O516+V516)*(1+SUMIF($Y$2:$Y$4,X516,$Z$2:$Z$4)),0)</f>
        <v>0</v>
      </c>
      <c r="Z516" s="37">
        <f t="shared" si="383"/>
        <v>0</v>
      </c>
    </row>
    <row r="517" spans="1:26" hidden="1" outlineLevel="1" x14ac:dyDescent="0.25">
      <c r="A517" s="189" t="s">
        <v>1073</v>
      </c>
      <c r="B517" s="253" t="s">
        <v>1074</v>
      </c>
      <c r="C517" s="195"/>
      <c r="D517" s="196"/>
      <c r="E517" s="196"/>
      <c r="F517" s="192"/>
      <c r="G517" s="192"/>
      <c r="H517" s="50"/>
      <c r="I517" s="49"/>
      <c r="J517" s="49"/>
      <c r="K517" s="49"/>
      <c r="L517" s="49"/>
      <c r="M517" s="49"/>
      <c r="N517" s="193"/>
      <c r="O517" s="172">
        <f>SUMIF($A$7:$A$502,A517,$O$7:$O$502)</f>
        <v>0</v>
      </c>
      <c r="P517" s="49"/>
      <c r="Q517" s="49"/>
      <c r="R517" s="49"/>
      <c r="S517" s="49"/>
      <c r="T517" s="49"/>
      <c r="U517" s="193"/>
      <c r="V517" s="173">
        <f>SUMIF($A$7:$A$502,A517,$V$7:$V$502)</f>
        <v>0</v>
      </c>
      <c r="W517" s="197"/>
      <c r="X517" s="165" t="s">
        <v>1004</v>
      </c>
      <c r="Y517" s="37">
        <f>+ROUND((O517+V517)*(1+SUMIF($Y$2:$Y$4,X517,$Z$2:$Z$4)),0)</f>
        <v>0</v>
      </c>
      <c r="Z517" s="37">
        <f t="shared" si="383"/>
        <v>0</v>
      </c>
    </row>
    <row r="518" spans="1:26" hidden="1" outlineLevel="1" x14ac:dyDescent="0.25">
      <c r="A518" s="189" t="s">
        <v>1075</v>
      </c>
      <c r="B518" s="252" t="s">
        <v>1076</v>
      </c>
      <c r="C518" s="190"/>
      <c r="D518" s="191"/>
      <c r="E518" s="191"/>
      <c r="F518" s="192"/>
      <c r="G518" s="192"/>
      <c r="H518" s="48"/>
      <c r="I518" s="49"/>
      <c r="J518" s="49"/>
      <c r="K518" s="49"/>
      <c r="L518" s="49"/>
      <c r="M518" s="49"/>
      <c r="N518" s="193"/>
      <c r="O518" s="172">
        <f>SUMIF($A$7:$A$502,A518,$O$7:$O$502)</f>
        <v>0</v>
      </c>
      <c r="P518" s="49"/>
      <c r="Q518" s="49"/>
      <c r="R518" s="49"/>
      <c r="S518" s="49"/>
      <c r="T518" s="49"/>
      <c r="U518" s="193"/>
      <c r="V518" s="173">
        <f>SUMIF($A$7:$A$502,A518,$V$7:$V$502)</f>
        <v>0</v>
      </c>
      <c r="W518" s="194"/>
      <c r="X518" s="165" t="s">
        <v>1004</v>
      </c>
      <c r="Y518" s="37">
        <f>+ROUND((O518+V518)*(1+SUMIF($Y$2:$Y$4,X518,$Z$2:$Z$4)),0)</f>
        <v>0</v>
      </c>
      <c r="Z518" s="37">
        <f t="shared" si="383"/>
        <v>0</v>
      </c>
    </row>
    <row r="519" spans="1:26" hidden="1" outlineLevel="1" x14ac:dyDescent="0.25">
      <c r="A519" s="189" t="s">
        <v>1077</v>
      </c>
      <c r="B519" s="253" t="s">
        <v>1078</v>
      </c>
      <c r="C519" s="195"/>
      <c r="D519" s="196"/>
      <c r="E519" s="196"/>
      <c r="F519" s="192"/>
      <c r="G519" s="192"/>
      <c r="H519" s="50"/>
      <c r="I519" s="49"/>
      <c r="J519" s="49"/>
      <c r="K519" s="49"/>
      <c r="L519" s="49"/>
      <c r="M519" s="49"/>
      <c r="N519" s="193"/>
      <c r="O519" s="172">
        <f>SUMIF($A$7:$A$502,A519,$O$7:$O$502)</f>
        <v>0</v>
      </c>
      <c r="P519" s="49"/>
      <c r="Q519" s="49"/>
      <c r="R519" s="49"/>
      <c r="S519" s="49"/>
      <c r="T519" s="49"/>
      <c r="U519" s="193"/>
      <c r="V519" s="173">
        <f>SUMIF($A$7:$A$502,A519,$V$7:$V$502)</f>
        <v>0</v>
      </c>
      <c r="W519" s="197"/>
      <c r="X519" s="165" t="s">
        <v>1004</v>
      </c>
      <c r="Y519" s="37">
        <f>+ROUND((O519+V519)*(1+SUMIF($Y$2:$Y$4,X519,$Z$2:$Z$4)),0)</f>
        <v>0</v>
      </c>
      <c r="Z519" s="37">
        <f t="shared" si="383"/>
        <v>0</v>
      </c>
    </row>
    <row r="520" spans="1:26" hidden="1" outlineLevel="1" x14ac:dyDescent="0.25">
      <c r="A520" s="189" t="s">
        <v>1079</v>
      </c>
      <c r="B520" s="252" t="s">
        <v>1080</v>
      </c>
      <c r="C520" s="190"/>
      <c r="D520" s="191"/>
      <c r="E520" s="191"/>
      <c r="F520" s="192"/>
      <c r="G520" s="192"/>
      <c r="H520" s="48"/>
      <c r="I520" s="49"/>
      <c r="J520" s="49"/>
      <c r="K520" s="49"/>
      <c r="L520" s="49"/>
      <c r="M520" s="49"/>
      <c r="N520" s="193"/>
      <c r="O520" s="172">
        <f>SUMIF($A$7:$A$502,A520,$O$7:$O$502)</f>
        <v>0</v>
      </c>
      <c r="P520" s="49"/>
      <c r="Q520" s="49"/>
      <c r="R520" s="49"/>
      <c r="S520" s="49"/>
      <c r="T520" s="49"/>
      <c r="U520" s="193"/>
      <c r="V520" s="173">
        <f>SUMIF($A$7:$A$502,A520,$V$7:$V$502)</f>
        <v>0</v>
      </c>
      <c r="W520" s="194"/>
      <c r="X520" s="165" t="s">
        <v>1004</v>
      </c>
      <c r="Y520" s="37">
        <f>+ROUND((O520+V520)*(1+SUMIF($Y$2:$Y$4,X520,$Z$2:$Z$4)),0)</f>
        <v>0</v>
      </c>
      <c r="Z520" s="37">
        <f t="shared" si="383"/>
        <v>0</v>
      </c>
    </row>
    <row r="521" spans="1:26" hidden="1" outlineLevel="1" x14ac:dyDescent="0.25">
      <c r="A521" s="189" t="s">
        <v>1081</v>
      </c>
      <c r="B521" s="253" t="s">
        <v>1082</v>
      </c>
      <c r="C521" s="195"/>
      <c r="D521" s="196"/>
      <c r="E521" s="196"/>
      <c r="F521" s="192"/>
      <c r="G521" s="192"/>
      <c r="H521" s="50"/>
      <c r="I521" s="49"/>
      <c r="J521" s="49"/>
      <c r="K521" s="49"/>
      <c r="L521" s="49"/>
      <c r="M521" s="49"/>
      <c r="N521" s="193"/>
      <c r="O521" s="172">
        <f>SUMIF($A$7:$A$502,A521,$O$7:$O$502)</f>
        <v>0</v>
      </c>
      <c r="P521" s="49"/>
      <c r="Q521" s="49"/>
      <c r="R521" s="49"/>
      <c r="S521" s="49"/>
      <c r="T521" s="49"/>
      <c r="U521" s="193"/>
      <c r="V521" s="173">
        <f>SUMIF($A$7:$A$502,A521,$V$7:$V$502)</f>
        <v>0</v>
      </c>
      <c r="W521" s="197"/>
      <c r="X521" s="165" t="s">
        <v>1004</v>
      </c>
      <c r="Y521" s="37">
        <f>+ROUND((O521+V521)*(1+SUMIF($Y$2:$Y$4,X521,$Z$2:$Z$4)),0)</f>
        <v>0</v>
      </c>
      <c r="Z521" s="37">
        <f t="shared" si="383"/>
        <v>0</v>
      </c>
    </row>
    <row r="522" spans="1:26" hidden="1" outlineLevel="1" x14ac:dyDescent="0.25">
      <c r="A522" s="189" t="s">
        <v>1083</v>
      </c>
      <c r="B522" s="252" t="s">
        <v>1084</v>
      </c>
      <c r="C522" s="190"/>
      <c r="D522" s="191"/>
      <c r="E522" s="191"/>
      <c r="F522" s="192"/>
      <c r="G522" s="192"/>
      <c r="H522" s="48"/>
      <c r="I522" s="49"/>
      <c r="J522" s="49"/>
      <c r="K522" s="49"/>
      <c r="L522" s="49"/>
      <c r="M522" s="49"/>
      <c r="N522" s="193"/>
      <c r="O522" s="172">
        <f>SUMIF($A$7:$A$502,A522,$O$7:$O$502)</f>
        <v>0</v>
      </c>
      <c r="P522" s="49"/>
      <c r="Q522" s="49"/>
      <c r="R522" s="49"/>
      <c r="S522" s="49"/>
      <c r="T522" s="49"/>
      <c r="U522" s="193"/>
      <c r="V522" s="173">
        <f>SUMIF($A$7:$A$502,A522,$V$7:$V$502)</f>
        <v>0</v>
      </c>
      <c r="W522" s="194"/>
      <c r="X522" s="165" t="s">
        <v>1004</v>
      </c>
      <c r="Y522" s="37">
        <f>+ROUND((O522+V522)*(1+SUMIF($Y$2:$Y$4,X522,$Z$2:$Z$4)),0)</f>
        <v>0</v>
      </c>
      <c r="Z522" s="37">
        <f t="shared" si="383"/>
        <v>0</v>
      </c>
    </row>
    <row r="523" spans="1:26" hidden="1" outlineLevel="1" x14ac:dyDescent="0.25">
      <c r="A523" s="189" t="s">
        <v>1085</v>
      </c>
      <c r="B523" s="253" t="s">
        <v>1086</v>
      </c>
      <c r="C523" s="195"/>
      <c r="D523" s="196"/>
      <c r="E523" s="196"/>
      <c r="F523" s="192"/>
      <c r="G523" s="192"/>
      <c r="H523" s="50"/>
      <c r="I523" s="49"/>
      <c r="J523" s="49"/>
      <c r="K523" s="49"/>
      <c r="L523" s="49"/>
      <c r="M523" s="49"/>
      <c r="N523" s="193"/>
      <c r="O523" s="172">
        <f>SUMIF($A$7:$A$502,A523,$O$7:$O$502)</f>
        <v>0</v>
      </c>
      <c r="P523" s="49"/>
      <c r="Q523" s="49"/>
      <c r="R523" s="49"/>
      <c r="S523" s="49"/>
      <c r="T523" s="49"/>
      <c r="U523" s="193"/>
      <c r="V523" s="173">
        <f>SUMIF($A$7:$A$502,A523,$V$7:$V$502)</f>
        <v>0</v>
      </c>
      <c r="W523" s="197"/>
      <c r="X523" s="165" t="s">
        <v>1004</v>
      </c>
      <c r="Y523" s="37">
        <f>+ROUND((O523+V523)*(1+SUMIF($Y$2:$Y$4,X523,$Z$2:$Z$4)),0)</f>
        <v>0</v>
      </c>
      <c r="Z523" s="37">
        <f t="shared" si="383"/>
        <v>0</v>
      </c>
    </row>
    <row r="524" spans="1:26" hidden="1" outlineLevel="1" x14ac:dyDescent="0.25">
      <c r="A524" s="189" t="s">
        <v>1087</v>
      </c>
      <c r="B524" s="252" t="s">
        <v>1088</v>
      </c>
      <c r="C524" s="190"/>
      <c r="D524" s="191"/>
      <c r="E524" s="191"/>
      <c r="F524" s="192"/>
      <c r="G524" s="192"/>
      <c r="H524" s="48"/>
      <c r="I524" s="49"/>
      <c r="J524" s="49"/>
      <c r="K524" s="49"/>
      <c r="L524" s="49"/>
      <c r="M524" s="49"/>
      <c r="N524" s="193"/>
      <c r="O524" s="172">
        <f>SUMIF($A$7:$A$502,A524,$O$7:$O$502)</f>
        <v>0</v>
      </c>
      <c r="P524" s="49"/>
      <c r="Q524" s="49"/>
      <c r="R524" s="49"/>
      <c r="S524" s="49"/>
      <c r="T524" s="49"/>
      <c r="U524" s="193"/>
      <c r="V524" s="173">
        <f>SUMIF($A$7:$A$502,A524,$V$7:$V$502)</f>
        <v>0</v>
      </c>
      <c r="W524" s="194"/>
      <c r="X524" s="165" t="s">
        <v>1004</v>
      </c>
      <c r="Y524" s="37">
        <f>+ROUND((O524+V524)*(1+SUMIF($Y$2:$Y$4,X524,$Z$2:$Z$4)),0)</f>
        <v>0</v>
      </c>
      <c r="Z524" s="37">
        <f t="shared" si="383"/>
        <v>0</v>
      </c>
    </row>
    <row r="525" spans="1:26" hidden="1" outlineLevel="1" x14ac:dyDescent="0.25">
      <c r="A525" s="189" t="s">
        <v>1089</v>
      </c>
      <c r="B525" s="253" t="s">
        <v>1090</v>
      </c>
      <c r="C525" s="195"/>
      <c r="D525" s="196"/>
      <c r="E525" s="196"/>
      <c r="F525" s="192"/>
      <c r="G525" s="192"/>
      <c r="H525" s="50"/>
      <c r="I525" s="49"/>
      <c r="J525" s="49"/>
      <c r="K525" s="49"/>
      <c r="L525" s="49"/>
      <c r="M525" s="49"/>
      <c r="N525" s="193"/>
      <c r="O525" s="172">
        <f>SUMIF($A$7:$A$502,A525,$O$7:$O$502)</f>
        <v>0</v>
      </c>
      <c r="P525" s="49"/>
      <c r="Q525" s="49"/>
      <c r="R525" s="49"/>
      <c r="S525" s="49"/>
      <c r="T525" s="49"/>
      <c r="U525" s="193"/>
      <c r="V525" s="173">
        <f>SUMIF($A$7:$A$502,A525,$V$7:$V$502)</f>
        <v>0</v>
      </c>
      <c r="W525" s="197"/>
      <c r="X525" s="165" t="s">
        <v>1004</v>
      </c>
      <c r="Y525" s="37">
        <f>+ROUND((O525+V525)*(1+SUMIF($Y$2:$Y$4,X525,$Z$2:$Z$4)),0)</f>
        <v>0</v>
      </c>
      <c r="Z525" s="37">
        <f t="shared" si="383"/>
        <v>0</v>
      </c>
    </row>
    <row r="526" spans="1:26" hidden="1" outlineLevel="1" x14ac:dyDescent="0.25">
      <c r="A526" s="189" t="s">
        <v>1091</v>
      </c>
      <c r="B526" s="252" t="s">
        <v>1092</v>
      </c>
      <c r="C526" s="190"/>
      <c r="D526" s="191"/>
      <c r="E526" s="191"/>
      <c r="F526" s="192"/>
      <c r="G526" s="192"/>
      <c r="H526" s="48"/>
      <c r="I526" s="49"/>
      <c r="J526" s="49"/>
      <c r="K526" s="49"/>
      <c r="L526" s="49"/>
      <c r="M526" s="49"/>
      <c r="N526" s="193"/>
      <c r="O526" s="172">
        <f>SUMIF($A$7:$A$502,A526,$O$7:$O$502)</f>
        <v>0</v>
      </c>
      <c r="P526" s="49"/>
      <c r="Q526" s="49"/>
      <c r="R526" s="49"/>
      <c r="S526" s="49"/>
      <c r="T526" s="49"/>
      <c r="U526" s="193"/>
      <c r="V526" s="173">
        <f>SUMIF($A$7:$A$502,A526,$V$7:$V$502)</f>
        <v>0</v>
      </c>
      <c r="W526" s="194"/>
      <c r="X526" s="165" t="s">
        <v>1004</v>
      </c>
      <c r="Y526" s="37">
        <f>+ROUND((O526+V526)*(1+SUMIF($Y$2:$Y$4,X526,$Z$2:$Z$4)),0)</f>
        <v>0</v>
      </c>
      <c r="Z526" s="37">
        <f t="shared" si="383"/>
        <v>0</v>
      </c>
    </row>
    <row r="527" spans="1:26" hidden="1" outlineLevel="1" x14ac:dyDescent="0.25">
      <c r="A527" s="189" t="s">
        <v>1093</v>
      </c>
      <c r="B527" s="253" t="s">
        <v>1094</v>
      </c>
      <c r="C527" s="195"/>
      <c r="D527" s="196"/>
      <c r="E527" s="196"/>
      <c r="F527" s="192"/>
      <c r="G527" s="192"/>
      <c r="H527" s="50"/>
      <c r="I527" s="49"/>
      <c r="J527" s="49"/>
      <c r="K527" s="49"/>
      <c r="L527" s="49"/>
      <c r="M527" s="49"/>
      <c r="N527" s="193"/>
      <c r="O527" s="172">
        <f>SUMIF($A$7:$A$502,A527,$O$7:$O$502)</f>
        <v>0</v>
      </c>
      <c r="P527" s="49"/>
      <c r="Q527" s="49"/>
      <c r="R527" s="49"/>
      <c r="S527" s="49"/>
      <c r="T527" s="49"/>
      <c r="U527" s="193"/>
      <c r="V527" s="173">
        <f>SUMIF($A$7:$A$502,A527,$V$7:$V$502)</f>
        <v>0</v>
      </c>
      <c r="W527" s="197"/>
      <c r="X527" s="165" t="s">
        <v>1004</v>
      </c>
      <c r="Y527" s="37">
        <f>+ROUND((O527+V527)*(1+SUMIF($Y$2:$Y$4,X527,$Z$2:$Z$4)),0)</f>
        <v>0</v>
      </c>
      <c r="Z527" s="37">
        <f t="shared" si="383"/>
        <v>0</v>
      </c>
    </row>
    <row r="528" spans="1:26" hidden="1" outlineLevel="1" x14ac:dyDescent="0.25">
      <c r="A528" s="189" t="s">
        <v>1095</v>
      </c>
      <c r="B528" s="252" t="s">
        <v>1096</v>
      </c>
      <c r="C528" s="190"/>
      <c r="D528" s="191"/>
      <c r="E528" s="191"/>
      <c r="F528" s="192"/>
      <c r="G528" s="192"/>
      <c r="H528" s="48"/>
      <c r="I528" s="49"/>
      <c r="J528" s="49"/>
      <c r="K528" s="49"/>
      <c r="L528" s="49"/>
      <c r="M528" s="49"/>
      <c r="N528" s="193"/>
      <c r="O528" s="172">
        <f>SUMIF($A$7:$A$502,A528,$O$7:$O$502)</f>
        <v>0</v>
      </c>
      <c r="P528" s="49"/>
      <c r="Q528" s="49"/>
      <c r="R528" s="49"/>
      <c r="S528" s="49"/>
      <c r="T528" s="49"/>
      <c r="U528" s="193"/>
      <c r="V528" s="173">
        <f>SUMIF($A$7:$A$502,A528,$V$7:$V$502)</f>
        <v>0</v>
      </c>
      <c r="W528" s="194"/>
      <c r="X528" s="165" t="s">
        <v>1004</v>
      </c>
      <c r="Y528" s="37">
        <f>+ROUND((O528+V528)*(1+SUMIF($Y$2:$Y$4,X528,$Z$2:$Z$4)),0)</f>
        <v>0</v>
      </c>
      <c r="Z528" s="37">
        <f t="shared" si="383"/>
        <v>0</v>
      </c>
    </row>
    <row r="529" spans="1:26" hidden="1" outlineLevel="1" x14ac:dyDescent="0.25">
      <c r="A529" s="189" t="s">
        <v>1097</v>
      </c>
      <c r="B529" s="253" t="s">
        <v>1098</v>
      </c>
      <c r="C529" s="195"/>
      <c r="D529" s="196"/>
      <c r="E529" s="196"/>
      <c r="F529" s="192"/>
      <c r="G529" s="192"/>
      <c r="H529" s="50"/>
      <c r="I529" s="49"/>
      <c r="J529" s="49"/>
      <c r="K529" s="49"/>
      <c r="L529" s="49"/>
      <c r="M529" s="49"/>
      <c r="N529" s="193"/>
      <c r="O529" s="172">
        <f>SUMIF($A$7:$A$502,A529,$O$7:$O$502)</f>
        <v>0</v>
      </c>
      <c r="P529" s="49"/>
      <c r="Q529" s="49"/>
      <c r="R529" s="49"/>
      <c r="S529" s="49"/>
      <c r="T529" s="49"/>
      <c r="U529" s="193"/>
      <c r="V529" s="173">
        <f>SUMIF($A$7:$A$502,A529,$V$7:$V$502)</f>
        <v>0</v>
      </c>
      <c r="W529" s="197"/>
      <c r="X529" s="165" t="s">
        <v>1004</v>
      </c>
      <c r="Y529" s="37">
        <f>+ROUND((O529+V529)*(1+SUMIF($Y$2:$Y$4,X529,$Z$2:$Z$4)),0)</f>
        <v>0</v>
      </c>
      <c r="Z529" s="37">
        <f t="shared" si="383"/>
        <v>0</v>
      </c>
    </row>
    <row r="530" spans="1:26" hidden="1" outlineLevel="1" x14ac:dyDescent="0.25">
      <c r="A530" s="189" t="s">
        <v>1099</v>
      </c>
      <c r="B530" s="252" t="s">
        <v>1100</v>
      </c>
      <c r="C530" s="190"/>
      <c r="D530" s="191"/>
      <c r="E530" s="191"/>
      <c r="F530" s="192"/>
      <c r="G530" s="192"/>
      <c r="H530" s="48"/>
      <c r="I530" s="49"/>
      <c r="J530" s="49"/>
      <c r="K530" s="49"/>
      <c r="L530" s="49"/>
      <c r="M530" s="49"/>
      <c r="N530" s="193"/>
      <c r="O530" s="172">
        <f>SUMIF($A$7:$A$502,A530,$O$7:$O$502)</f>
        <v>0</v>
      </c>
      <c r="P530" s="49"/>
      <c r="Q530" s="49"/>
      <c r="R530" s="49"/>
      <c r="S530" s="49"/>
      <c r="T530" s="49"/>
      <c r="U530" s="193"/>
      <c r="V530" s="173">
        <f>SUMIF($A$7:$A$502,A530,$V$7:$V$502)</f>
        <v>0</v>
      </c>
      <c r="W530" s="194"/>
      <c r="X530" s="165" t="s">
        <v>1004</v>
      </c>
      <c r="Y530" s="37">
        <f>+ROUND((O530+V530)*(1+SUMIF($Y$2:$Y$4,X530,$Z$2:$Z$4)),0)</f>
        <v>0</v>
      </c>
      <c r="Z530" s="37">
        <f t="shared" si="383"/>
        <v>0</v>
      </c>
    </row>
    <row r="531" spans="1:26" hidden="1" outlineLevel="1" x14ac:dyDescent="0.25">
      <c r="A531" s="189" t="s">
        <v>1101</v>
      </c>
      <c r="B531" s="253" t="s">
        <v>1102</v>
      </c>
      <c r="C531" s="195"/>
      <c r="D531" s="196"/>
      <c r="E531" s="196"/>
      <c r="F531" s="192"/>
      <c r="G531" s="192"/>
      <c r="H531" s="50"/>
      <c r="I531" s="49"/>
      <c r="J531" s="49"/>
      <c r="K531" s="49"/>
      <c r="L531" s="49"/>
      <c r="M531" s="49"/>
      <c r="N531" s="193"/>
      <c r="O531" s="172">
        <f>SUMIF($A$7:$A$502,A531,$O$7:$O$502)</f>
        <v>0</v>
      </c>
      <c r="P531" s="49"/>
      <c r="Q531" s="49"/>
      <c r="R531" s="49"/>
      <c r="S531" s="49"/>
      <c r="T531" s="49"/>
      <c r="U531" s="193"/>
      <c r="V531" s="173">
        <f>SUMIF($A$7:$A$502,A531,$V$7:$V$502)</f>
        <v>0</v>
      </c>
      <c r="W531" s="197"/>
      <c r="X531" s="165" t="s">
        <v>1004</v>
      </c>
      <c r="Y531" s="37">
        <f>+ROUND((O531+V531)*(1+SUMIF($Y$2:$Y$4,X531,$Z$2:$Z$4)),0)</f>
        <v>0</v>
      </c>
      <c r="Z531" s="37">
        <f t="shared" si="383"/>
        <v>0</v>
      </c>
    </row>
    <row r="532" spans="1:26" hidden="1" outlineLevel="1" x14ac:dyDescent="0.25">
      <c r="A532" s="189" t="s">
        <v>1103</v>
      </c>
      <c r="B532" s="252" t="s">
        <v>1104</v>
      </c>
      <c r="C532" s="190"/>
      <c r="D532" s="191"/>
      <c r="E532" s="191"/>
      <c r="F532" s="192"/>
      <c r="G532" s="192"/>
      <c r="H532" s="48"/>
      <c r="I532" s="49"/>
      <c r="J532" s="49"/>
      <c r="K532" s="49"/>
      <c r="L532" s="49"/>
      <c r="M532" s="49"/>
      <c r="N532" s="193"/>
      <c r="O532" s="172">
        <f>SUMIF($A$7:$A$502,A532,$O$7:$O$502)</f>
        <v>0</v>
      </c>
      <c r="P532" s="49"/>
      <c r="Q532" s="49"/>
      <c r="R532" s="49"/>
      <c r="S532" s="49"/>
      <c r="T532" s="49"/>
      <c r="U532" s="193"/>
      <c r="V532" s="173">
        <f>SUMIF($A$7:$A$502,A532,$V$7:$V$502)</f>
        <v>0</v>
      </c>
      <c r="W532" s="194"/>
      <c r="X532" s="165" t="s">
        <v>1004</v>
      </c>
      <c r="Y532" s="37">
        <f>+ROUND((O532+V532)*(1+SUMIF($Y$2:$Y$4,X532,$Z$2:$Z$4)),0)</f>
        <v>0</v>
      </c>
      <c r="Z532" s="37">
        <f t="shared" si="383"/>
        <v>0</v>
      </c>
    </row>
    <row r="533" spans="1:26" hidden="1" outlineLevel="1" x14ac:dyDescent="0.25">
      <c r="A533" s="189" t="s">
        <v>1105</v>
      </c>
      <c r="B533" s="253" t="s">
        <v>1106</v>
      </c>
      <c r="C533" s="195"/>
      <c r="D533" s="196"/>
      <c r="E533" s="196"/>
      <c r="F533" s="192"/>
      <c r="G533" s="192"/>
      <c r="H533" s="50"/>
      <c r="I533" s="49"/>
      <c r="J533" s="49"/>
      <c r="K533" s="49"/>
      <c r="L533" s="49"/>
      <c r="M533" s="49"/>
      <c r="N533" s="193"/>
      <c r="O533" s="172">
        <f>SUMIF($A$7:$A$502,A533,$O$7:$O$502)</f>
        <v>0</v>
      </c>
      <c r="P533" s="49"/>
      <c r="Q533" s="49"/>
      <c r="R533" s="49"/>
      <c r="S533" s="49"/>
      <c r="T533" s="49"/>
      <c r="U533" s="193"/>
      <c r="V533" s="173">
        <f>SUMIF($A$7:$A$502,A533,$V$7:$V$502)</f>
        <v>0</v>
      </c>
      <c r="W533" s="197"/>
      <c r="X533" s="165" t="s">
        <v>1004</v>
      </c>
      <c r="Y533" s="37">
        <f>+ROUND((O533+V533)*(1+SUMIF($Y$2:$Y$4,X533,$Z$2:$Z$4)),0)</f>
        <v>0</v>
      </c>
      <c r="Z533" s="37">
        <f t="shared" si="383"/>
        <v>0</v>
      </c>
    </row>
    <row r="534" spans="1:26" hidden="1" outlineLevel="1" x14ac:dyDescent="0.25">
      <c r="A534" s="189" t="s">
        <v>1107</v>
      </c>
      <c r="B534" s="252" t="s">
        <v>1108</v>
      </c>
      <c r="C534" s="190"/>
      <c r="D534" s="191"/>
      <c r="E534" s="191"/>
      <c r="F534" s="192"/>
      <c r="G534" s="192"/>
      <c r="H534" s="48"/>
      <c r="I534" s="49"/>
      <c r="J534" s="49"/>
      <c r="K534" s="49"/>
      <c r="L534" s="49"/>
      <c r="M534" s="49"/>
      <c r="N534" s="193"/>
      <c r="O534" s="172">
        <f>SUMIF($A$7:$A$502,A534,$O$7:$O$502)</f>
        <v>0</v>
      </c>
      <c r="P534" s="49"/>
      <c r="Q534" s="49"/>
      <c r="R534" s="49"/>
      <c r="S534" s="49"/>
      <c r="T534" s="49"/>
      <c r="U534" s="193"/>
      <c r="V534" s="173">
        <f>SUMIF($A$7:$A$502,A534,$V$7:$V$502)</f>
        <v>0</v>
      </c>
      <c r="W534" s="194"/>
      <c r="X534" s="165" t="s">
        <v>1004</v>
      </c>
      <c r="Y534" s="37">
        <f>+ROUND((O534+V534)*(1+SUMIF($Y$2:$Y$4,X534,$Z$2:$Z$4)),0)</f>
        <v>0</v>
      </c>
      <c r="Z534" s="37">
        <f t="shared" si="383"/>
        <v>0</v>
      </c>
    </row>
    <row r="535" spans="1:26" hidden="1" outlineLevel="1" x14ac:dyDescent="0.25">
      <c r="A535" s="189" t="s">
        <v>1109</v>
      </c>
      <c r="B535" s="253" t="s">
        <v>1110</v>
      </c>
      <c r="C535" s="195"/>
      <c r="D535" s="196"/>
      <c r="E535" s="196"/>
      <c r="F535" s="192"/>
      <c r="G535" s="192"/>
      <c r="H535" s="50"/>
      <c r="I535" s="49"/>
      <c r="J535" s="49"/>
      <c r="K535" s="49"/>
      <c r="L535" s="49"/>
      <c r="M535" s="49"/>
      <c r="N535" s="193"/>
      <c r="O535" s="172">
        <f>SUMIF($A$7:$A$502,A535,$O$7:$O$502)</f>
        <v>0</v>
      </c>
      <c r="P535" s="49"/>
      <c r="Q535" s="49"/>
      <c r="R535" s="49"/>
      <c r="S535" s="49"/>
      <c r="T535" s="49"/>
      <c r="U535" s="193"/>
      <c r="V535" s="173">
        <f>SUMIF($A$7:$A$502,A535,$V$7:$V$502)</f>
        <v>0</v>
      </c>
      <c r="W535" s="197"/>
      <c r="X535" s="165" t="s">
        <v>1004</v>
      </c>
      <c r="Y535" s="37">
        <f>+ROUND((O535+V535)*(1+SUMIF($Y$2:$Y$4,X535,$Z$2:$Z$4)),0)</f>
        <v>0</v>
      </c>
      <c r="Z535" s="37">
        <f t="shared" si="383"/>
        <v>0</v>
      </c>
    </row>
    <row r="536" spans="1:26" hidden="1" outlineLevel="1" x14ac:dyDescent="0.25">
      <c r="A536" s="189" t="s">
        <v>1111</v>
      </c>
      <c r="B536" s="252" t="s">
        <v>1112</v>
      </c>
      <c r="C536" s="190"/>
      <c r="D536" s="191"/>
      <c r="E536" s="191"/>
      <c r="F536" s="192"/>
      <c r="G536" s="192"/>
      <c r="H536" s="48"/>
      <c r="I536" s="49"/>
      <c r="J536" s="49"/>
      <c r="K536" s="49"/>
      <c r="L536" s="49"/>
      <c r="M536" s="49"/>
      <c r="N536" s="193"/>
      <c r="O536" s="172">
        <f>SUMIF($A$7:$A$502,A536,$O$7:$O$502)</f>
        <v>0</v>
      </c>
      <c r="P536" s="49"/>
      <c r="Q536" s="49"/>
      <c r="R536" s="49"/>
      <c r="S536" s="49"/>
      <c r="T536" s="49"/>
      <c r="U536" s="193"/>
      <c r="V536" s="173">
        <f>SUMIF($A$7:$A$502,A536,$V$7:$V$502)</f>
        <v>0</v>
      </c>
      <c r="W536" s="194"/>
      <c r="X536" s="165" t="s">
        <v>1004</v>
      </c>
      <c r="Y536" s="37">
        <f>+ROUND((O536+V536)*(1+SUMIF($Y$2:$Y$4,X536,$Z$2:$Z$4)),0)</f>
        <v>0</v>
      </c>
      <c r="Z536" s="37">
        <f t="shared" si="383"/>
        <v>0</v>
      </c>
    </row>
    <row r="537" spans="1:26" hidden="1" outlineLevel="1" x14ac:dyDescent="0.25">
      <c r="A537" s="189" t="s">
        <v>1113</v>
      </c>
      <c r="B537" s="253" t="s">
        <v>1114</v>
      </c>
      <c r="C537" s="195"/>
      <c r="D537" s="196"/>
      <c r="E537" s="196"/>
      <c r="F537" s="192"/>
      <c r="G537" s="192"/>
      <c r="H537" s="50"/>
      <c r="I537" s="49"/>
      <c r="J537" s="49"/>
      <c r="K537" s="49"/>
      <c r="L537" s="49"/>
      <c r="M537" s="49"/>
      <c r="N537" s="193"/>
      <c r="O537" s="172">
        <f>SUMIF($A$7:$A$502,A537,$O$7:$O$502)</f>
        <v>0</v>
      </c>
      <c r="P537" s="49"/>
      <c r="Q537" s="49"/>
      <c r="R537" s="49"/>
      <c r="S537" s="49"/>
      <c r="T537" s="49"/>
      <c r="U537" s="193"/>
      <c r="V537" s="173">
        <f>SUMIF($A$7:$A$502,A537,$V$7:$V$502)</f>
        <v>0</v>
      </c>
      <c r="W537" s="197"/>
      <c r="X537" s="165" t="s">
        <v>1004</v>
      </c>
      <c r="Y537" s="37">
        <f>+ROUND((O537+V537)*(1+SUMIF($Y$2:$Y$4,X537,$Z$2:$Z$4)),0)</f>
        <v>0</v>
      </c>
      <c r="Z537" s="37">
        <f t="shared" si="383"/>
        <v>0</v>
      </c>
    </row>
    <row r="538" spans="1:26" hidden="1" outlineLevel="1" x14ac:dyDescent="0.25">
      <c r="A538" s="189" t="s">
        <v>1115</v>
      </c>
      <c r="B538" s="252" t="s">
        <v>1116</v>
      </c>
      <c r="C538" s="190"/>
      <c r="D538" s="191"/>
      <c r="E538" s="191"/>
      <c r="F538" s="192"/>
      <c r="G538" s="192"/>
      <c r="H538" s="48"/>
      <c r="I538" s="49"/>
      <c r="J538" s="49"/>
      <c r="K538" s="49"/>
      <c r="L538" s="49"/>
      <c r="M538" s="49"/>
      <c r="N538" s="193"/>
      <c r="O538" s="172">
        <f>SUMIF($A$7:$A$502,A538,$O$7:$O$502)</f>
        <v>0</v>
      </c>
      <c r="P538" s="49"/>
      <c r="Q538" s="49"/>
      <c r="R538" s="49"/>
      <c r="S538" s="49"/>
      <c r="T538" s="49"/>
      <c r="U538" s="193"/>
      <c r="V538" s="173">
        <f>SUMIF($A$7:$A$502,A538,$V$7:$V$502)</f>
        <v>0</v>
      </c>
      <c r="W538" s="194"/>
      <c r="X538" s="165" t="s">
        <v>1004</v>
      </c>
      <c r="Y538" s="37">
        <f>+ROUND((O538+V538)*(1+SUMIF($Y$2:$Y$4,X538,$Z$2:$Z$4)),0)</f>
        <v>0</v>
      </c>
      <c r="Z538" s="37">
        <f t="shared" si="383"/>
        <v>0</v>
      </c>
    </row>
    <row r="539" spans="1:26" hidden="1" outlineLevel="1" x14ac:dyDescent="0.25">
      <c r="A539" s="189" t="s">
        <v>1117</v>
      </c>
      <c r="B539" s="253" t="s">
        <v>1118</v>
      </c>
      <c r="C539" s="195"/>
      <c r="D539" s="196"/>
      <c r="E539" s="196"/>
      <c r="F539" s="192"/>
      <c r="G539" s="192"/>
      <c r="H539" s="50"/>
      <c r="I539" s="49"/>
      <c r="J539" s="49"/>
      <c r="K539" s="49"/>
      <c r="L539" s="49"/>
      <c r="M539" s="49"/>
      <c r="N539" s="193"/>
      <c r="O539" s="172">
        <f>SUMIF($A$7:$A$502,A539,$O$7:$O$502)</f>
        <v>0</v>
      </c>
      <c r="P539" s="49"/>
      <c r="Q539" s="49"/>
      <c r="R539" s="49"/>
      <c r="S539" s="49"/>
      <c r="T539" s="49"/>
      <c r="U539" s="193"/>
      <c r="V539" s="173">
        <f>SUMIF($A$7:$A$502,A539,$V$7:$V$502)</f>
        <v>0</v>
      </c>
      <c r="W539" s="197"/>
      <c r="X539" s="165" t="s">
        <v>1004</v>
      </c>
      <c r="Y539" s="37">
        <f>+ROUND((O539+V539)*(1+SUMIF($Y$2:$Y$4,X539,$Z$2:$Z$4)),0)</f>
        <v>0</v>
      </c>
      <c r="Z539" s="37">
        <f t="shared" si="383"/>
        <v>0</v>
      </c>
    </row>
    <row r="540" spans="1:26" hidden="1" outlineLevel="1" x14ac:dyDescent="0.25">
      <c r="A540" s="189" t="s">
        <v>1119</v>
      </c>
      <c r="B540" s="252" t="s">
        <v>1120</v>
      </c>
      <c r="C540" s="190"/>
      <c r="D540" s="191"/>
      <c r="E540" s="191"/>
      <c r="F540" s="192"/>
      <c r="G540" s="192"/>
      <c r="H540" s="48"/>
      <c r="I540" s="49"/>
      <c r="J540" s="49"/>
      <c r="K540" s="49"/>
      <c r="L540" s="49"/>
      <c r="M540" s="49"/>
      <c r="N540" s="193"/>
      <c r="O540" s="172">
        <f>SUMIF($A$7:$A$502,A540,$O$7:$O$502)</f>
        <v>0</v>
      </c>
      <c r="P540" s="49"/>
      <c r="Q540" s="49"/>
      <c r="R540" s="49"/>
      <c r="S540" s="49"/>
      <c r="T540" s="49"/>
      <c r="U540" s="193"/>
      <c r="V540" s="173">
        <f>SUMIF($A$7:$A$502,A540,$V$7:$V$502)</f>
        <v>0</v>
      </c>
      <c r="W540" s="194"/>
      <c r="X540" s="165" t="s">
        <v>1004</v>
      </c>
      <c r="Y540" s="37">
        <f>+ROUND((O540+V540)*(1+SUMIF($Y$2:$Y$4,X540,$Z$2:$Z$4)),0)</f>
        <v>0</v>
      </c>
      <c r="Z540" s="37">
        <f t="shared" si="383"/>
        <v>0</v>
      </c>
    </row>
    <row r="541" spans="1:26" hidden="1" outlineLevel="1" x14ac:dyDescent="0.25">
      <c r="A541" s="189" t="s">
        <v>1121</v>
      </c>
      <c r="B541" s="253" t="s">
        <v>1122</v>
      </c>
      <c r="C541" s="195"/>
      <c r="D541" s="196"/>
      <c r="E541" s="196"/>
      <c r="F541" s="192"/>
      <c r="G541" s="192"/>
      <c r="H541" s="50"/>
      <c r="I541" s="49"/>
      <c r="J541" s="49"/>
      <c r="K541" s="49"/>
      <c r="L541" s="49"/>
      <c r="M541" s="49"/>
      <c r="N541" s="193"/>
      <c r="O541" s="172">
        <f>SUMIF($A$7:$A$502,A541,$O$7:$O$502)</f>
        <v>0</v>
      </c>
      <c r="P541" s="49"/>
      <c r="Q541" s="49"/>
      <c r="R541" s="49"/>
      <c r="S541" s="49"/>
      <c r="T541" s="49"/>
      <c r="U541" s="193"/>
      <c r="V541" s="173">
        <f>SUMIF($A$7:$A$502,A541,$V$7:$V$502)</f>
        <v>0</v>
      </c>
      <c r="W541" s="197"/>
      <c r="X541" s="165" t="s">
        <v>1004</v>
      </c>
      <c r="Y541" s="37">
        <f>+ROUND((O541+V541)*(1+SUMIF($Y$2:$Y$4,X541,$Z$2:$Z$4)),0)</f>
        <v>0</v>
      </c>
      <c r="Z541" s="37">
        <f t="shared" si="383"/>
        <v>0</v>
      </c>
    </row>
    <row r="542" spans="1:26" hidden="1" outlineLevel="1" x14ac:dyDescent="0.25">
      <c r="A542" s="189" t="s">
        <v>1123</v>
      </c>
      <c r="B542" s="252" t="s">
        <v>1124</v>
      </c>
      <c r="C542" s="190"/>
      <c r="D542" s="191"/>
      <c r="E542" s="191"/>
      <c r="F542" s="192"/>
      <c r="G542" s="192"/>
      <c r="H542" s="48"/>
      <c r="I542" s="49"/>
      <c r="J542" s="49"/>
      <c r="K542" s="49"/>
      <c r="L542" s="49"/>
      <c r="M542" s="49"/>
      <c r="N542" s="193"/>
      <c r="O542" s="172">
        <f>SUMIF($A$7:$A$502,A542,$O$7:$O$502)</f>
        <v>0</v>
      </c>
      <c r="P542" s="49"/>
      <c r="Q542" s="49"/>
      <c r="R542" s="49"/>
      <c r="S542" s="49"/>
      <c r="T542" s="49"/>
      <c r="U542" s="193"/>
      <c r="V542" s="173">
        <f>SUMIF($A$7:$A$502,A542,$V$7:$V$502)</f>
        <v>0</v>
      </c>
      <c r="W542" s="194"/>
      <c r="X542" s="165" t="s">
        <v>1004</v>
      </c>
      <c r="Y542" s="37">
        <f>+ROUND((O542+V542)*(1+SUMIF($Y$2:$Y$4,X542,$Z$2:$Z$4)),0)</f>
        <v>0</v>
      </c>
      <c r="Z542" s="37">
        <f t="shared" si="383"/>
        <v>0</v>
      </c>
    </row>
    <row r="543" spans="1:26" hidden="1" outlineLevel="1" x14ac:dyDescent="0.25">
      <c r="A543" s="189" t="s">
        <v>1125</v>
      </c>
      <c r="B543" s="253" t="s">
        <v>1126</v>
      </c>
      <c r="C543" s="195"/>
      <c r="D543" s="196"/>
      <c r="E543" s="196"/>
      <c r="F543" s="192"/>
      <c r="G543" s="192"/>
      <c r="H543" s="50"/>
      <c r="I543" s="49"/>
      <c r="J543" s="49"/>
      <c r="K543" s="49"/>
      <c r="L543" s="49"/>
      <c r="M543" s="49"/>
      <c r="N543" s="193"/>
      <c r="O543" s="172">
        <f>SUMIF($A$7:$A$502,A543,$O$7:$O$502)</f>
        <v>0</v>
      </c>
      <c r="P543" s="49"/>
      <c r="Q543" s="49"/>
      <c r="R543" s="49"/>
      <c r="S543" s="49"/>
      <c r="T543" s="49"/>
      <c r="U543" s="193"/>
      <c r="V543" s="173">
        <f>SUMIF($A$7:$A$502,A543,$V$7:$V$502)</f>
        <v>0</v>
      </c>
      <c r="W543" s="197"/>
      <c r="X543" s="165" t="s">
        <v>1004</v>
      </c>
      <c r="Y543" s="37">
        <f>+ROUND((O543+V543)*(1+SUMIF($Y$2:$Y$4,X543,$Z$2:$Z$4)),0)</f>
        <v>0</v>
      </c>
      <c r="Z543" s="37">
        <f t="shared" si="383"/>
        <v>0</v>
      </c>
    </row>
    <row r="544" spans="1:26" hidden="1" outlineLevel="1" x14ac:dyDescent="0.25">
      <c r="A544" s="189" t="s">
        <v>1127</v>
      </c>
      <c r="B544" s="252" t="s">
        <v>1128</v>
      </c>
      <c r="C544" s="190"/>
      <c r="D544" s="191"/>
      <c r="E544" s="191"/>
      <c r="F544" s="192"/>
      <c r="G544" s="192"/>
      <c r="H544" s="48"/>
      <c r="I544" s="49"/>
      <c r="J544" s="49"/>
      <c r="K544" s="49"/>
      <c r="L544" s="49"/>
      <c r="M544" s="49"/>
      <c r="N544" s="193"/>
      <c r="O544" s="172">
        <f>SUMIF($A$7:$A$502,A544,$O$7:$O$502)</f>
        <v>0</v>
      </c>
      <c r="P544" s="49"/>
      <c r="Q544" s="49"/>
      <c r="R544" s="49"/>
      <c r="S544" s="49"/>
      <c r="T544" s="49"/>
      <c r="U544" s="193"/>
      <c r="V544" s="173">
        <f>SUMIF($A$7:$A$502,A544,$V$7:$V$502)</f>
        <v>0</v>
      </c>
      <c r="W544" s="194"/>
      <c r="X544" s="165" t="s">
        <v>1004</v>
      </c>
      <c r="Y544" s="37">
        <f>+ROUND((O544+V544)*(1+SUMIF($Y$2:$Y$4,X544,$Z$2:$Z$4)),0)</f>
        <v>0</v>
      </c>
      <c r="Z544" s="37">
        <f t="shared" si="383"/>
        <v>0</v>
      </c>
    </row>
    <row r="545" spans="1:26" hidden="1" outlineLevel="1" x14ac:dyDescent="0.25">
      <c r="A545" s="189" t="s">
        <v>1129</v>
      </c>
      <c r="B545" s="253" t="s">
        <v>1130</v>
      </c>
      <c r="C545" s="195"/>
      <c r="D545" s="196"/>
      <c r="E545" s="196"/>
      <c r="F545" s="192"/>
      <c r="G545" s="192"/>
      <c r="H545" s="50"/>
      <c r="I545" s="49"/>
      <c r="J545" s="49"/>
      <c r="K545" s="49"/>
      <c r="L545" s="49"/>
      <c r="M545" s="49"/>
      <c r="N545" s="193"/>
      <c r="O545" s="172">
        <f>SUMIF($A$7:$A$502,A545,$O$7:$O$502)</f>
        <v>0</v>
      </c>
      <c r="P545" s="49"/>
      <c r="Q545" s="49"/>
      <c r="R545" s="49"/>
      <c r="S545" s="49"/>
      <c r="T545" s="49"/>
      <c r="U545" s="193"/>
      <c r="V545" s="173">
        <f>SUMIF($A$7:$A$502,A545,$V$7:$V$502)</f>
        <v>0</v>
      </c>
      <c r="W545" s="197"/>
      <c r="X545" s="165" t="s">
        <v>1004</v>
      </c>
      <c r="Y545" s="37">
        <f>+ROUND((O545+V545)*(1+SUMIF($Y$2:$Y$4,X545,$Z$2:$Z$4)),0)</f>
        <v>0</v>
      </c>
      <c r="Z545" s="37">
        <f t="shared" si="383"/>
        <v>0</v>
      </c>
    </row>
    <row r="546" spans="1:26" hidden="1" outlineLevel="1" x14ac:dyDescent="0.25">
      <c r="A546" s="189" t="s">
        <v>1131</v>
      </c>
      <c r="B546" s="252" t="s">
        <v>1132</v>
      </c>
      <c r="C546" s="190"/>
      <c r="D546" s="191"/>
      <c r="E546" s="191"/>
      <c r="F546" s="192"/>
      <c r="G546" s="192"/>
      <c r="H546" s="48"/>
      <c r="I546" s="49"/>
      <c r="J546" s="49"/>
      <c r="K546" s="49"/>
      <c r="L546" s="49"/>
      <c r="M546" s="49"/>
      <c r="N546" s="193"/>
      <c r="O546" s="172">
        <f>SUMIF($A$7:$A$502,A546,$O$7:$O$502)</f>
        <v>0</v>
      </c>
      <c r="P546" s="49"/>
      <c r="Q546" s="49"/>
      <c r="R546" s="49"/>
      <c r="S546" s="49"/>
      <c r="T546" s="49"/>
      <c r="U546" s="193"/>
      <c r="V546" s="173">
        <f>SUMIF($A$7:$A$502,A546,$V$7:$V$502)</f>
        <v>0</v>
      </c>
      <c r="W546" s="194"/>
      <c r="X546" s="165" t="s">
        <v>1004</v>
      </c>
      <c r="Y546" s="37">
        <f>+ROUND((O546+V546)*(1+SUMIF($Y$2:$Y$4,X546,$Z$2:$Z$4)),0)</f>
        <v>0</v>
      </c>
      <c r="Z546" s="37">
        <f t="shared" ref="Z546:Z577" si="384">+ROUND((T546+W546)*(1+SUMIF($Y$2:$Y$4,Y546,$Z$2:$Z$4)),0)</f>
        <v>0</v>
      </c>
    </row>
    <row r="547" spans="1:26" hidden="1" outlineLevel="1" x14ac:dyDescent="0.25">
      <c r="A547" s="189" t="s">
        <v>1133</v>
      </c>
      <c r="B547" s="253" t="s">
        <v>1134</v>
      </c>
      <c r="C547" s="195"/>
      <c r="D547" s="196"/>
      <c r="E547" s="196"/>
      <c r="F547" s="192"/>
      <c r="G547" s="192"/>
      <c r="H547" s="50"/>
      <c r="I547" s="49"/>
      <c r="J547" s="49"/>
      <c r="K547" s="49"/>
      <c r="L547" s="49"/>
      <c r="M547" s="49"/>
      <c r="N547" s="193"/>
      <c r="O547" s="172">
        <f>SUMIF($A$7:$A$502,A547,$O$7:$O$502)</f>
        <v>0</v>
      </c>
      <c r="P547" s="49"/>
      <c r="Q547" s="49"/>
      <c r="R547" s="49"/>
      <c r="S547" s="49"/>
      <c r="T547" s="49"/>
      <c r="U547" s="193"/>
      <c r="V547" s="173">
        <f>SUMIF($A$7:$A$502,A547,$V$7:$V$502)</f>
        <v>0</v>
      </c>
      <c r="W547" s="197"/>
      <c r="X547" s="165" t="s">
        <v>1004</v>
      </c>
      <c r="Y547" s="37">
        <f>+ROUND((O547+V547)*(1+SUMIF($Y$2:$Y$4,X547,$Z$2:$Z$4)),0)</f>
        <v>0</v>
      </c>
      <c r="Z547" s="37">
        <f t="shared" si="384"/>
        <v>0</v>
      </c>
    </row>
    <row r="548" spans="1:26" hidden="1" outlineLevel="1" x14ac:dyDescent="0.25">
      <c r="A548" s="189" t="s">
        <v>1135</v>
      </c>
      <c r="B548" s="252" t="s">
        <v>1136</v>
      </c>
      <c r="C548" s="190"/>
      <c r="D548" s="191"/>
      <c r="E548" s="191"/>
      <c r="F548" s="192"/>
      <c r="G548" s="192"/>
      <c r="H548" s="48"/>
      <c r="I548" s="49"/>
      <c r="J548" s="49"/>
      <c r="K548" s="49"/>
      <c r="L548" s="49"/>
      <c r="M548" s="49"/>
      <c r="N548" s="193"/>
      <c r="O548" s="172">
        <f>SUMIF($A$7:$A$502,A548,$O$7:$O$502)</f>
        <v>0</v>
      </c>
      <c r="P548" s="49"/>
      <c r="Q548" s="49"/>
      <c r="R548" s="49"/>
      <c r="S548" s="49"/>
      <c r="T548" s="49"/>
      <c r="U548" s="193"/>
      <c r="V548" s="173">
        <f>SUMIF($A$7:$A$502,A548,$V$7:$V$502)</f>
        <v>0</v>
      </c>
      <c r="W548" s="194"/>
      <c r="X548" s="165" t="s">
        <v>1004</v>
      </c>
      <c r="Y548" s="37">
        <f>+ROUND((O548+V548)*(1+SUMIF($Y$2:$Y$4,X548,$Z$2:$Z$4)),0)</f>
        <v>0</v>
      </c>
      <c r="Z548" s="37">
        <f t="shared" si="384"/>
        <v>0</v>
      </c>
    </row>
    <row r="549" spans="1:26" hidden="1" outlineLevel="1" x14ac:dyDescent="0.25">
      <c r="A549" s="189" t="s">
        <v>1137</v>
      </c>
      <c r="B549" s="253" t="s">
        <v>1138</v>
      </c>
      <c r="C549" s="195"/>
      <c r="D549" s="196"/>
      <c r="E549" s="196"/>
      <c r="F549" s="192"/>
      <c r="G549" s="192"/>
      <c r="H549" s="50"/>
      <c r="I549" s="49"/>
      <c r="J549" s="49"/>
      <c r="K549" s="49"/>
      <c r="L549" s="49"/>
      <c r="M549" s="49"/>
      <c r="N549" s="193"/>
      <c r="O549" s="172">
        <f>SUMIF($A$7:$A$502,A549,$O$7:$O$502)</f>
        <v>0</v>
      </c>
      <c r="P549" s="49"/>
      <c r="Q549" s="49"/>
      <c r="R549" s="49"/>
      <c r="S549" s="49"/>
      <c r="T549" s="49"/>
      <c r="U549" s="193"/>
      <c r="V549" s="173">
        <f>SUMIF($A$7:$A$502,A549,$V$7:$V$502)</f>
        <v>0</v>
      </c>
      <c r="W549" s="197"/>
      <c r="X549" s="165" t="s">
        <v>1004</v>
      </c>
      <c r="Y549" s="37">
        <f>+ROUND((O549+V549)*(1+SUMIF($Y$2:$Y$4,X549,$Z$2:$Z$4)),0)</f>
        <v>0</v>
      </c>
      <c r="Z549" s="37">
        <f t="shared" si="384"/>
        <v>0</v>
      </c>
    </row>
    <row r="550" spans="1:26" hidden="1" outlineLevel="1" x14ac:dyDescent="0.25">
      <c r="A550" s="189" t="s">
        <v>1139</v>
      </c>
      <c r="B550" s="252" t="s">
        <v>1140</v>
      </c>
      <c r="C550" s="190"/>
      <c r="D550" s="191"/>
      <c r="E550" s="191"/>
      <c r="F550" s="192"/>
      <c r="G550" s="192"/>
      <c r="H550" s="48"/>
      <c r="I550" s="49"/>
      <c r="J550" s="49"/>
      <c r="K550" s="49"/>
      <c r="L550" s="49"/>
      <c r="M550" s="49"/>
      <c r="N550" s="193"/>
      <c r="O550" s="172">
        <f>SUMIF($A$7:$A$502,A550,$O$7:$O$502)</f>
        <v>0</v>
      </c>
      <c r="P550" s="49"/>
      <c r="Q550" s="49"/>
      <c r="R550" s="49"/>
      <c r="S550" s="49"/>
      <c r="T550" s="49"/>
      <c r="U550" s="193"/>
      <c r="V550" s="173">
        <f>SUMIF($A$7:$A$502,A550,$V$7:$V$502)</f>
        <v>0</v>
      </c>
      <c r="W550" s="194"/>
      <c r="X550" s="165" t="s">
        <v>1004</v>
      </c>
      <c r="Y550" s="37">
        <f>+ROUND((O550+V550)*(1+SUMIF($Y$2:$Y$4,X550,$Z$2:$Z$4)),0)</f>
        <v>0</v>
      </c>
      <c r="Z550" s="37">
        <f t="shared" si="384"/>
        <v>0</v>
      </c>
    </row>
    <row r="551" spans="1:26" hidden="1" outlineLevel="1" x14ac:dyDescent="0.25">
      <c r="A551" s="189" t="s">
        <v>1141</v>
      </c>
      <c r="B551" s="253" t="s">
        <v>1142</v>
      </c>
      <c r="C551" s="195"/>
      <c r="D551" s="196"/>
      <c r="E551" s="196"/>
      <c r="F551" s="192"/>
      <c r="G551" s="192"/>
      <c r="H551" s="50"/>
      <c r="I551" s="49"/>
      <c r="J551" s="49"/>
      <c r="K551" s="49"/>
      <c r="L551" s="49"/>
      <c r="M551" s="49"/>
      <c r="N551" s="193"/>
      <c r="O551" s="172">
        <f>SUMIF($A$7:$A$502,A551,$O$7:$O$502)</f>
        <v>0</v>
      </c>
      <c r="P551" s="49"/>
      <c r="Q551" s="49"/>
      <c r="R551" s="49"/>
      <c r="S551" s="49"/>
      <c r="T551" s="49"/>
      <c r="U551" s="193"/>
      <c r="V551" s="173">
        <f>SUMIF($A$7:$A$502,A551,$V$7:$V$502)</f>
        <v>0</v>
      </c>
      <c r="W551" s="197"/>
      <c r="X551" s="165" t="s">
        <v>1004</v>
      </c>
      <c r="Y551" s="37">
        <f>+ROUND((O551+V551)*(1+SUMIF($Y$2:$Y$4,X551,$Z$2:$Z$4)),0)</f>
        <v>0</v>
      </c>
      <c r="Z551" s="37">
        <f t="shared" si="384"/>
        <v>0</v>
      </c>
    </row>
    <row r="552" spans="1:26" hidden="1" outlineLevel="1" x14ac:dyDescent="0.25">
      <c r="A552" s="189" t="s">
        <v>1143</v>
      </c>
      <c r="B552" s="252" t="s">
        <v>1144</v>
      </c>
      <c r="C552" s="190"/>
      <c r="D552" s="191"/>
      <c r="E552" s="191"/>
      <c r="F552" s="192"/>
      <c r="G552" s="192"/>
      <c r="H552" s="48"/>
      <c r="I552" s="49"/>
      <c r="J552" s="49"/>
      <c r="K552" s="49"/>
      <c r="L552" s="49"/>
      <c r="M552" s="49"/>
      <c r="N552" s="193"/>
      <c r="O552" s="172">
        <f>SUMIF($A$7:$A$502,A552,$O$7:$O$502)</f>
        <v>0</v>
      </c>
      <c r="P552" s="49"/>
      <c r="Q552" s="49"/>
      <c r="R552" s="49"/>
      <c r="S552" s="49"/>
      <c r="T552" s="49"/>
      <c r="U552" s="193"/>
      <c r="V552" s="173">
        <f>SUMIF($A$7:$A$502,A552,$V$7:$V$502)</f>
        <v>0</v>
      </c>
      <c r="W552" s="194"/>
      <c r="X552" s="165" t="s">
        <v>1004</v>
      </c>
      <c r="Y552" s="37">
        <f>+ROUND((O552+V552)*(1+SUMIF($Y$2:$Y$4,X552,$Z$2:$Z$4)),0)</f>
        <v>0</v>
      </c>
      <c r="Z552" s="37">
        <f t="shared" si="384"/>
        <v>0</v>
      </c>
    </row>
    <row r="553" spans="1:26" hidden="1" outlineLevel="1" x14ac:dyDescent="0.25">
      <c r="A553" s="189" t="s">
        <v>1145</v>
      </c>
      <c r="B553" s="253" t="s">
        <v>1146</v>
      </c>
      <c r="C553" s="195"/>
      <c r="D553" s="196"/>
      <c r="E553" s="196"/>
      <c r="F553" s="192"/>
      <c r="G553" s="192"/>
      <c r="H553" s="50"/>
      <c r="I553" s="49"/>
      <c r="J553" s="49"/>
      <c r="K553" s="49"/>
      <c r="L553" s="49"/>
      <c r="M553" s="49"/>
      <c r="N553" s="193"/>
      <c r="O553" s="172">
        <f>SUMIF($A$7:$A$502,A553,$O$7:$O$502)</f>
        <v>0</v>
      </c>
      <c r="P553" s="49"/>
      <c r="Q553" s="49"/>
      <c r="R553" s="49"/>
      <c r="S553" s="49"/>
      <c r="T553" s="49"/>
      <c r="U553" s="193"/>
      <c r="V553" s="173">
        <f>SUMIF($A$7:$A$502,A553,$V$7:$V$502)</f>
        <v>0</v>
      </c>
      <c r="W553" s="197"/>
      <c r="X553" s="165" t="s">
        <v>1004</v>
      </c>
      <c r="Y553" s="37">
        <f>+ROUND((O553+V553)*(1+SUMIF($Y$2:$Y$4,X553,$Z$2:$Z$4)),0)</f>
        <v>0</v>
      </c>
      <c r="Z553" s="37">
        <f t="shared" si="384"/>
        <v>0</v>
      </c>
    </row>
    <row r="554" spans="1:26" hidden="1" outlineLevel="1" x14ac:dyDescent="0.25">
      <c r="A554" s="189" t="s">
        <v>1147</v>
      </c>
      <c r="B554" s="252" t="s">
        <v>1148</v>
      </c>
      <c r="C554" s="190"/>
      <c r="D554" s="191"/>
      <c r="E554" s="191"/>
      <c r="F554" s="192"/>
      <c r="G554" s="192"/>
      <c r="H554" s="48"/>
      <c r="I554" s="49"/>
      <c r="J554" s="49"/>
      <c r="K554" s="49"/>
      <c r="L554" s="49"/>
      <c r="M554" s="49"/>
      <c r="N554" s="193"/>
      <c r="O554" s="172">
        <f>SUMIF($A$7:$A$502,A554,$O$7:$O$502)</f>
        <v>0</v>
      </c>
      <c r="P554" s="49"/>
      <c r="Q554" s="49"/>
      <c r="R554" s="49"/>
      <c r="S554" s="49"/>
      <c r="T554" s="49"/>
      <c r="U554" s="193"/>
      <c r="V554" s="173">
        <f>SUMIF($A$7:$A$502,A554,$V$7:$V$502)</f>
        <v>0</v>
      </c>
      <c r="W554" s="194"/>
      <c r="X554" s="165" t="s">
        <v>1004</v>
      </c>
      <c r="Y554" s="37">
        <f>+ROUND((O554+V554)*(1+SUMIF($Y$2:$Y$4,X554,$Z$2:$Z$4)),0)</f>
        <v>0</v>
      </c>
      <c r="Z554" s="37">
        <f t="shared" si="384"/>
        <v>0</v>
      </c>
    </row>
    <row r="555" spans="1:26" hidden="1" outlineLevel="1" x14ac:dyDescent="0.25">
      <c r="A555" s="189" t="s">
        <v>1149</v>
      </c>
      <c r="B555" s="253" t="s">
        <v>1150</v>
      </c>
      <c r="C555" s="195"/>
      <c r="D555" s="196"/>
      <c r="E555" s="196"/>
      <c r="F555" s="192"/>
      <c r="G555" s="192"/>
      <c r="H555" s="50"/>
      <c r="I555" s="49"/>
      <c r="J555" s="49"/>
      <c r="K555" s="49"/>
      <c r="L555" s="49"/>
      <c r="M555" s="49"/>
      <c r="N555" s="193"/>
      <c r="O555" s="172">
        <f>SUMIF($A$7:$A$502,A555,$O$7:$O$502)</f>
        <v>0</v>
      </c>
      <c r="P555" s="49"/>
      <c r="Q555" s="49"/>
      <c r="R555" s="49"/>
      <c r="S555" s="49"/>
      <c r="T555" s="49"/>
      <c r="U555" s="193"/>
      <c r="V555" s="173">
        <f>SUMIF($A$7:$A$502,A555,$V$7:$V$502)</f>
        <v>0</v>
      </c>
      <c r="W555" s="197"/>
      <c r="X555" s="165" t="s">
        <v>1004</v>
      </c>
      <c r="Y555" s="37">
        <f>+ROUND((O555+V555)*(1+SUMIF($Y$2:$Y$4,X555,$Z$2:$Z$4)),0)</f>
        <v>0</v>
      </c>
      <c r="Z555" s="37">
        <f t="shared" si="384"/>
        <v>0</v>
      </c>
    </row>
    <row r="556" spans="1:26" hidden="1" outlineLevel="1" x14ac:dyDescent="0.25">
      <c r="A556" s="189" t="s">
        <v>1151</v>
      </c>
      <c r="B556" s="252" t="s">
        <v>1152</v>
      </c>
      <c r="C556" s="190"/>
      <c r="D556" s="191"/>
      <c r="E556" s="191"/>
      <c r="F556" s="192"/>
      <c r="G556" s="192"/>
      <c r="H556" s="48"/>
      <c r="I556" s="49"/>
      <c r="J556" s="49"/>
      <c r="K556" s="49"/>
      <c r="L556" s="49"/>
      <c r="M556" s="49"/>
      <c r="N556" s="193"/>
      <c r="O556" s="172">
        <f>SUMIF($A$7:$A$502,A556,$O$7:$O$502)</f>
        <v>0</v>
      </c>
      <c r="P556" s="49"/>
      <c r="Q556" s="49"/>
      <c r="R556" s="49"/>
      <c r="S556" s="49"/>
      <c r="T556" s="49"/>
      <c r="U556" s="193"/>
      <c r="V556" s="173">
        <f>SUMIF($A$7:$A$502,A556,$V$7:$V$502)</f>
        <v>0</v>
      </c>
      <c r="W556" s="194"/>
      <c r="X556" s="165" t="s">
        <v>1004</v>
      </c>
      <c r="Y556" s="37">
        <f>+ROUND((O556+V556)*(1+SUMIF($Y$2:$Y$4,X556,$Z$2:$Z$4)),0)</f>
        <v>0</v>
      </c>
      <c r="Z556" s="37">
        <f t="shared" si="384"/>
        <v>0</v>
      </c>
    </row>
    <row r="557" spans="1:26" hidden="1" outlineLevel="1" x14ac:dyDescent="0.25">
      <c r="A557" s="189" t="s">
        <v>1153</v>
      </c>
      <c r="B557" s="253" t="s">
        <v>1154</v>
      </c>
      <c r="C557" s="195"/>
      <c r="D557" s="196"/>
      <c r="E557" s="196"/>
      <c r="F557" s="192"/>
      <c r="G557" s="192"/>
      <c r="H557" s="50"/>
      <c r="I557" s="49"/>
      <c r="J557" s="49"/>
      <c r="K557" s="49"/>
      <c r="L557" s="49"/>
      <c r="M557" s="49"/>
      <c r="N557" s="193"/>
      <c r="O557" s="172">
        <f>SUMIF($A$7:$A$502,A557,$O$7:$O$502)</f>
        <v>0</v>
      </c>
      <c r="P557" s="49"/>
      <c r="Q557" s="49"/>
      <c r="R557" s="49"/>
      <c r="S557" s="49"/>
      <c r="T557" s="49"/>
      <c r="U557" s="193"/>
      <c r="V557" s="173">
        <f>SUMIF($A$7:$A$502,A557,$V$7:$V$502)</f>
        <v>0</v>
      </c>
      <c r="W557" s="197"/>
      <c r="X557" s="165" t="s">
        <v>1004</v>
      </c>
      <c r="Y557" s="37">
        <f>+ROUND((O557+V557)*(1+SUMIF($Y$2:$Y$4,X557,$Z$2:$Z$4)),0)</f>
        <v>0</v>
      </c>
      <c r="Z557" s="37">
        <f t="shared" si="384"/>
        <v>0</v>
      </c>
    </row>
    <row r="558" spans="1:26" hidden="1" outlineLevel="1" x14ac:dyDescent="0.25">
      <c r="A558" s="189" t="s">
        <v>1155</v>
      </c>
      <c r="B558" s="252" t="s">
        <v>1156</v>
      </c>
      <c r="C558" s="190"/>
      <c r="D558" s="191"/>
      <c r="E558" s="191"/>
      <c r="F558" s="192"/>
      <c r="G558" s="192"/>
      <c r="H558" s="48"/>
      <c r="I558" s="49"/>
      <c r="J558" s="49"/>
      <c r="K558" s="49"/>
      <c r="L558" s="49"/>
      <c r="M558" s="49"/>
      <c r="N558" s="193"/>
      <c r="O558" s="172">
        <f>SUMIF($A$7:$A$502,A558,$O$7:$O$502)</f>
        <v>0</v>
      </c>
      <c r="P558" s="49"/>
      <c r="Q558" s="49"/>
      <c r="R558" s="49"/>
      <c r="S558" s="49"/>
      <c r="T558" s="49"/>
      <c r="U558" s="193"/>
      <c r="V558" s="173">
        <f>SUMIF($A$7:$A$502,A558,$V$7:$V$502)</f>
        <v>0</v>
      </c>
      <c r="W558" s="194"/>
      <c r="X558" s="165" t="s">
        <v>1004</v>
      </c>
      <c r="Y558" s="37">
        <f>+ROUND((O558+V558)*(1+SUMIF($Y$2:$Y$4,X558,$Z$2:$Z$4)),0)</f>
        <v>0</v>
      </c>
      <c r="Z558" s="37">
        <f t="shared" si="384"/>
        <v>0</v>
      </c>
    </row>
    <row r="559" spans="1:26" hidden="1" outlineLevel="1" x14ac:dyDescent="0.25">
      <c r="A559" s="189" t="s">
        <v>1157</v>
      </c>
      <c r="B559" s="253" t="s">
        <v>1158</v>
      </c>
      <c r="C559" s="195"/>
      <c r="D559" s="196"/>
      <c r="E559" s="196"/>
      <c r="F559" s="192"/>
      <c r="G559" s="192"/>
      <c r="H559" s="50"/>
      <c r="I559" s="49"/>
      <c r="J559" s="49"/>
      <c r="K559" s="49"/>
      <c r="L559" s="49"/>
      <c r="M559" s="49"/>
      <c r="N559" s="193"/>
      <c r="O559" s="172">
        <f>SUMIF($A$7:$A$502,A559,$O$7:$O$502)</f>
        <v>0</v>
      </c>
      <c r="P559" s="49"/>
      <c r="Q559" s="49"/>
      <c r="R559" s="49"/>
      <c r="S559" s="49"/>
      <c r="T559" s="49"/>
      <c r="U559" s="193"/>
      <c r="V559" s="173">
        <f>SUMIF($A$7:$A$502,A559,$V$7:$V$502)</f>
        <v>0</v>
      </c>
      <c r="W559" s="197"/>
      <c r="X559" s="165" t="s">
        <v>1004</v>
      </c>
      <c r="Y559" s="37">
        <f>+ROUND((O559+V559)*(1+SUMIF($Y$2:$Y$4,X559,$Z$2:$Z$4)),0)</f>
        <v>0</v>
      </c>
      <c r="Z559" s="37">
        <f t="shared" si="384"/>
        <v>0</v>
      </c>
    </row>
    <row r="560" spans="1:26" hidden="1" outlineLevel="1" x14ac:dyDescent="0.25">
      <c r="A560" s="189" t="s">
        <v>1159</v>
      </c>
      <c r="B560" s="252" t="s">
        <v>1160</v>
      </c>
      <c r="C560" s="190"/>
      <c r="D560" s="191"/>
      <c r="E560" s="191"/>
      <c r="F560" s="192"/>
      <c r="G560" s="192"/>
      <c r="H560" s="48"/>
      <c r="I560" s="49"/>
      <c r="J560" s="49"/>
      <c r="K560" s="49"/>
      <c r="L560" s="49"/>
      <c r="M560" s="49"/>
      <c r="N560" s="193"/>
      <c r="O560" s="172">
        <f>SUMIF($A$7:$A$502,A560,$O$7:$O$502)</f>
        <v>0</v>
      </c>
      <c r="P560" s="49"/>
      <c r="Q560" s="49"/>
      <c r="R560" s="49"/>
      <c r="S560" s="49"/>
      <c r="T560" s="49"/>
      <c r="U560" s="193"/>
      <c r="V560" s="173">
        <f>SUMIF($A$7:$A$502,A560,$V$7:$V$502)</f>
        <v>0</v>
      </c>
      <c r="W560" s="194"/>
      <c r="X560" s="165" t="s">
        <v>1004</v>
      </c>
      <c r="Y560" s="37">
        <f>+ROUND((O560+V560)*(1+SUMIF($Y$2:$Y$4,X560,$Z$2:$Z$4)),0)</f>
        <v>0</v>
      </c>
      <c r="Z560" s="37">
        <f t="shared" si="384"/>
        <v>0</v>
      </c>
    </row>
    <row r="561" spans="1:26" hidden="1" outlineLevel="1" x14ac:dyDescent="0.25">
      <c r="A561" s="189" t="s">
        <v>1161</v>
      </c>
      <c r="B561" s="253" t="s">
        <v>1162</v>
      </c>
      <c r="C561" s="195"/>
      <c r="D561" s="196"/>
      <c r="E561" s="196"/>
      <c r="F561" s="192"/>
      <c r="G561" s="192"/>
      <c r="H561" s="50"/>
      <c r="I561" s="49"/>
      <c r="J561" s="49"/>
      <c r="K561" s="49"/>
      <c r="L561" s="49"/>
      <c r="M561" s="49"/>
      <c r="N561" s="193"/>
      <c r="O561" s="172">
        <f>SUMIF($A$7:$A$502,A561,$O$7:$O$502)</f>
        <v>0</v>
      </c>
      <c r="P561" s="49"/>
      <c r="Q561" s="49"/>
      <c r="R561" s="49"/>
      <c r="S561" s="49"/>
      <c r="T561" s="49"/>
      <c r="U561" s="193"/>
      <c r="V561" s="173">
        <f>SUMIF($A$7:$A$502,A561,$V$7:$V$502)</f>
        <v>0</v>
      </c>
      <c r="W561" s="197"/>
      <c r="X561" s="165" t="s">
        <v>1004</v>
      </c>
      <c r="Y561" s="37">
        <f>+ROUND((O561+V561)*(1+SUMIF($Y$2:$Y$4,X561,$Z$2:$Z$4)),0)</f>
        <v>0</v>
      </c>
      <c r="Z561" s="37">
        <f t="shared" si="384"/>
        <v>0</v>
      </c>
    </row>
    <row r="562" spans="1:26" hidden="1" outlineLevel="1" x14ac:dyDescent="0.25">
      <c r="A562" s="189" t="s">
        <v>1163</v>
      </c>
      <c r="B562" s="252" t="s">
        <v>1164</v>
      </c>
      <c r="C562" s="190"/>
      <c r="D562" s="191"/>
      <c r="E562" s="191"/>
      <c r="F562" s="192"/>
      <c r="G562" s="192"/>
      <c r="H562" s="48"/>
      <c r="I562" s="49"/>
      <c r="J562" s="49"/>
      <c r="K562" s="49"/>
      <c r="L562" s="49"/>
      <c r="M562" s="49"/>
      <c r="N562" s="193"/>
      <c r="O562" s="172">
        <f>SUMIF($A$7:$A$502,A562,$O$7:$O$502)</f>
        <v>0</v>
      </c>
      <c r="P562" s="49"/>
      <c r="Q562" s="49"/>
      <c r="R562" s="49"/>
      <c r="S562" s="49"/>
      <c r="T562" s="49"/>
      <c r="U562" s="193"/>
      <c r="V562" s="173">
        <f>SUMIF($A$7:$A$502,A562,$V$7:$V$502)</f>
        <v>0</v>
      </c>
      <c r="W562" s="194"/>
      <c r="X562" s="165" t="s">
        <v>1004</v>
      </c>
      <c r="Y562" s="37">
        <f>+ROUND((O562+V562)*(1+SUMIF($Y$2:$Y$4,X562,$Z$2:$Z$4)),0)</f>
        <v>0</v>
      </c>
      <c r="Z562" s="37">
        <f t="shared" si="384"/>
        <v>0</v>
      </c>
    </row>
    <row r="563" spans="1:26" hidden="1" outlineLevel="1" x14ac:dyDescent="0.25">
      <c r="A563" s="189" t="s">
        <v>1165</v>
      </c>
      <c r="B563" s="253" t="s">
        <v>1166</v>
      </c>
      <c r="C563" s="195"/>
      <c r="D563" s="196"/>
      <c r="E563" s="196"/>
      <c r="F563" s="192"/>
      <c r="G563" s="192"/>
      <c r="H563" s="50"/>
      <c r="I563" s="49"/>
      <c r="J563" s="49"/>
      <c r="K563" s="49"/>
      <c r="L563" s="49"/>
      <c r="M563" s="49"/>
      <c r="N563" s="193"/>
      <c r="O563" s="172">
        <f>SUMIF($A$7:$A$502,A563,$O$7:$O$502)</f>
        <v>0</v>
      </c>
      <c r="P563" s="49"/>
      <c r="Q563" s="49"/>
      <c r="R563" s="49"/>
      <c r="S563" s="49"/>
      <c r="T563" s="49"/>
      <c r="U563" s="193"/>
      <c r="V563" s="173">
        <f>SUMIF($A$7:$A$502,A563,$V$7:$V$502)</f>
        <v>0</v>
      </c>
      <c r="W563" s="197"/>
      <c r="X563" s="165" t="s">
        <v>1004</v>
      </c>
      <c r="Y563" s="37">
        <f>+ROUND((O563+V563)*(1+SUMIF($Y$2:$Y$4,X563,$Z$2:$Z$4)),0)</f>
        <v>0</v>
      </c>
      <c r="Z563" s="37">
        <f t="shared" si="384"/>
        <v>0</v>
      </c>
    </row>
    <row r="564" spans="1:26" hidden="1" outlineLevel="1" x14ac:dyDescent="0.25">
      <c r="A564" s="189" t="s">
        <v>1167</v>
      </c>
      <c r="B564" s="252" t="s">
        <v>1168</v>
      </c>
      <c r="C564" s="190"/>
      <c r="D564" s="191"/>
      <c r="E564" s="191"/>
      <c r="F564" s="192"/>
      <c r="G564" s="192"/>
      <c r="H564" s="48"/>
      <c r="I564" s="49"/>
      <c r="J564" s="49"/>
      <c r="K564" s="49"/>
      <c r="L564" s="49"/>
      <c r="M564" s="49"/>
      <c r="N564" s="193"/>
      <c r="O564" s="172">
        <f>SUMIF($A$7:$A$502,A564,$O$7:$O$502)</f>
        <v>0</v>
      </c>
      <c r="P564" s="49"/>
      <c r="Q564" s="49"/>
      <c r="R564" s="49"/>
      <c r="S564" s="49"/>
      <c r="T564" s="49"/>
      <c r="U564" s="193"/>
      <c r="V564" s="173">
        <f>SUMIF($A$7:$A$502,A564,$V$7:$V$502)</f>
        <v>0</v>
      </c>
      <c r="W564" s="194"/>
      <c r="X564" s="165" t="s">
        <v>1004</v>
      </c>
      <c r="Y564" s="37">
        <f>+ROUND((O564+V564)*(1+SUMIF($Y$2:$Y$4,X564,$Z$2:$Z$4)),0)</f>
        <v>0</v>
      </c>
      <c r="Z564" s="37">
        <f t="shared" si="384"/>
        <v>0</v>
      </c>
    </row>
    <row r="565" spans="1:26" hidden="1" outlineLevel="1" x14ac:dyDescent="0.25">
      <c r="A565" s="189" t="s">
        <v>1169</v>
      </c>
      <c r="B565" s="253" t="s">
        <v>1170</v>
      </c>
      <c r="C565" s="195"/>
      <c r="D565" s="196"/>
      <c r="E565" s="196"/>
      <c r="F565" s="192"/>
      <c r="G565" s="192"/>
      <c r="H565" s="50"/>
      <c r="I565" s="49"/>
      <c r="J565" s="49"/>
      <c r="K565" s="49"/>
      <c r="L565" s="49"/>
      <c r="M565" s="49"/>
      <c r="N565" s="193"/>
      <c r="O565" s="172">
        <f>SUMIF($A$7:$A$502,A565,$O$7:$O$502)</f>
        <v>0</v>
      </c>
      <c r="P565" s="49"/>
      <c r="Q565" s="49"/>
      <c r="R565" s="49"/>
      <c r="S565" s="49"/>
      <c r="T565" s="49"/>
      <c r="U565" s="193"/>
      <c r="V565" s="173">
        <f>SUMIF($A$7:$A$502,A565,$V$7:$V$502)</f>
        <v>0</v>
      </c>
      <c r="W565" s="197"/>
      <c r="X565" s="165" t="s">
        <v>1004</v>
      </c>
      <c r="Y565" s="37">
        <f>+ROUND((O565+V565)*(1+SUMIF($Y$2:$Y$4,X565,$Z$2:$Z$4)),0)</f>
        <v>0</v>
      </c>
      <c r="Z565" s="37">
        <f t="shared" si="384"/>
        <v>0</v>
      </c>
    </row>
    <row r="566" spans="1:26" hidden="1" outlineLevel="1" x14ac:dyDescent="0.25">
      <c r="A566" s="189" t="s">
        <v>1171</v>
      </c>
      <c r="B566" s="252" t="s">
        <v>1172</v>
      </c>
      <c r="C566" s="190"/>
      <c r="D566" s="191"/>
      <c r="E566" s="191"/>
      <c r="F566" s="192"/>
      <c r="G566" s="192"/>
      <c r="H566" s="48"/>
      <c r="I566" s="49"/>
      <c r="J566" s="49"/>
      <c r="K566" s="49"/>
      <c r="L566" s="49"/>
      <c r="M566" s="49"/>
      <c r="N566" s="193"/>
      <c r="O566" s="172">
        <f>SUMIF($A$7:$A$502,A566,$O$7:$O$502)</f>
        <v>0</v>
      </c>
      <c r="P566" s="49"/>
      <c r="Q566" s="49"/>
      <c r="R566" s="49"/>
      <c r="S566" s="49"/>
      <c r="T566" s="49"/>
      <c r="U566" s="193"/>
      <c r="V566" s="173">
        <f>SUMIF($A$7:$A$502,A566,$V$7:$V$502)</f>
        <v>0</v>
      </c>
      <c r="W566" s="194"/>
      <c r="X566" s="165" t="s">
        <v>1004</v>
      </c>
      <c r="Y566" s="37">
        <f>+ROUND((O566+V566)*(1+SUMIF($Y$2:$Y$4,X566,$Z$2:$Z$4)),0)</f>
        <v>0</v>
      </c>
      <c r="Z566" s="37">
        <f t="shared" si="384"/>
        <v>0</v>
      </c>
    </row>
    <row r="567" spans="1:26" hidden="1" outlineLevel="1" x14ac:dyDescent="0.25">
      <c r="A567" s="189" t="s">
        <v>1173</v>
      </c>
      <c r="B567" s="253" t="s">
        <v>1174</v>
      </c>
      <c r="C567" s="195"/>
      <c r="D567" s="196"/>
      <c r="E567" s="196"/>
      <c r="F567" s="192"/>
      <c r="G567" s="192"/>
      <c r="H567" s="50"/>
      <c r="I567" s="49"/>
      <c r="J567" s="49"/>
      <c r="K567" s="49"/>
      <c r="L567" s="49"/>
      <c r="M567" s="49"/>
      <c r="N567" s="193"/>
      <c r="O567" s="172">
        <f>SUMIF($A$7:$A$502,A567,$O$7:$O$502)</f>
        <v>0</v>
      </c>
      <c r="P567" s="49"/>
      <c r="Q567" s="49"/>
      <c r="R567" s="49"/>
      <c r="S567" s="49"/>
      <c r="T567" s="49"/>
      <c r="U567" s="193"/>
      <c r="V567" s="173">
        <f>SUMIF($A$7:$A$502,A567,$V$7:$V$502)</f>
        <v>0</v>
      </c>
      <c r="W567" s="197"/>
      <c r="X567" s="165" t="s">
        <v>1004</v>
      </c>
      <c r="Y567" s="37">
        <f>+ROUND((O567+V567)*(1+SUMIF($Y$2:$Y$4,X567,$Z$2:$Z$4)),0)</f>
        <v>0</v>
      </c>
      <c r="Z567" s="37">
        <f t="shared" si="384"/>
        <v>0</v>
      </c>
    </row>
    <row r="568" spans="1:26" hidden="1" outlineLevel="1" x14ac:dyDescent="0.25">
      <c r="A568" s="189" t="s">
        <v>1175</v>
      </c>
      <c r="B568" s="252" t="s">
        <v>157</v>
      </c>
      <c r="C568" s="190"/>
      <c r="D568" s="191"/>
      <c r="E568" s="191"/>
      <c r="F568" s="192"/>
      <c r="G568" s="192"/>
      <c r="H568" s="48"/>
      <c r="I568" s="49"/>
      <c r="J568" s="49"/>
      <c r="K568" s="49"/>
      <c r="L568" s="49"/>
      <c r="M568" s="49"/>
      <c r="N568" s="193"/>
      <c r="O568" s="172">
        <f>SUMIF($A$7:$A$502,A568,$O$7:$O$502)</f>
        <v>0</v>
      </c>
      <c r="P568" s="49"/>
      <c r="Q568" s="49"/>
      <c r="R568" s="49"/>
      <c r="S568" s="49"/>
      <c r="T568" s="49"/>
      <c r="U568" s="193"/>
      <c r="V568" s="173">
        <f>SUMIF($A$7:$A$502,A568,$V$7:$V$502)</f>
        <v>0</v>
      </c>
      <c r="W568" s="194"/>
      <c r="X568" s="165" t="s">
        <v>1004</v>
      </c>
      <c r="Y568" s="37">
        <f>+ROUND((O568+V568)*(1+SUMIF($Y$2:$Y$4,X568,$Z$2:$Z$4)),0)</f>
        <v>0</v>
      </c>
      <c r="Z568" s="37">
        <f t="shared" si="384"/>
        <v>0</v>
      </c>
    </row>
    <row r="569" spans="1:26" hidden="1" outlineLevel="1" x14ac:dyDescent="0.25">
      <c r="A569" s="189" t="s">
        <v>1176</v>
      </c>
      <c r="B569" s="253" t="s">
        <v>1177</v>
      </c>
      <c r="C569" s="195"/>
      <c r="D569" s="196"/>
      <c r="E569" s="196"/>
      <c r="F569" s="192"/>
      <c r="G569" s="192"/>
      <c r="H569" s="50"/>
      <c r="I569" s="49"/>
      <c r="J569" s="49"/>
      <c r="K569" s="49"/>
      <c r="L569" s="49"/>
      <c r="M569" s="49"/>
      <c r="N569" s="193"/>
      <c r="O569" s="172">
        <f>SUMIF($A$7:$A$502,A569,$O$7:$O$502)</f>
        <v>0</v>
      </c>
      <c r="P569" s="49"/>
      <c r="Q569" s="49"/>
      <c r="R569" s="49"/>
      <c r="S569" s="49"/>
      <c r="T569" s="49"/>
      <c r="U569" s="193"/>
      <c r="V569" s="173">
        <f>SUMIF($A$7:$A$502,A569,$V$7:$V$502)</f>
        <v>0</v>
      </c>
      <c r="W569" s="197"/>
      <c r="X569" s="165" t="s">
        <v>1004</v>
      </c>
      <c r="Y569" s="37">
        <f>+ROUND((O569+V569)*(1+SUMIF($Y$2:$Y$4,X569,$Z$2:$Z$4)),0)</f>
        <v>0</v>
      </c>
      <c r="Z569" s="37">
        <f t="shared" si="384"/>
        <v>0</v>
      </c>
    </row>
    <row r="570" spans="1:26" hidden="1" outlineLevel="1" x14ac:dyDescent="0.25">
      <c r="A570" s="189" t="s">
        <v>1178</v>
      </c>
      <c r="B570" s="252" t="s">
        <v>1179</v>
      </c>
      <c r="C570" s="190"/>
      <c r="D570" s="191"/>
      <c r="E570" s="191"/>
      <c r="F570" s="192"/>
      <c r="G570" s="192"/>
      <c r="H570" s="48"/>
      <c r="I570" s="49"/>
      <c r="J570" s="49"/>
      <c r="K570" s="49"/>
      <c r="L570" s="49"/>
      <c r="M570" s="49"/>
      <c r="N570" s="193"/>
      <c r="O570" s="172">
        <f>SUMIF($A$7:$A$502,A570,$O$7:$O$502)</f>
        <v>0</v>
      </c>
      <c r="P570" s="49"/>
      <c r="Q570" s="49"/>
      <c r="R570" s="49"/>
      <c r="S570" s="49"/>
      <c r="T570" s="49"/>
      <c r="U570" s="193"/>
      <c r="V570" s="173">
        <f>SUMIF($A$7:$A$502,A570,$V$7:$V$502)</f>
        <v>0</v>
      </c>
      <c r="W570" s="194"/>
      <c r="X570" s="165" t="s">
        <v>1004</v>
      </c>
      <c r="Y570" s="37">
        <f>+ROUND((O570+V570)*(1+SUMIF($Y$2:$Y$4,X570,$Z$2:$Z$4)),0)</f>
        <v>0</v>
      </c>
      <c r="Z570" s="37">
        <f t="shared" si="384"/>
        <v>0</v>
      </c>
    </row>
    <row r="571" spans="1:26" hidden="1" outlineLevel="1" x14ac:dyDescent="0.25">
      <c r="A571" s="189" t="s">
        <v>1180</v>
      </c>
      <c r="B571" s="253" t="s">
        <v>1181</v>
      </c>
      <c r="C571" s="195"/>
      <c r="D571" s="196"/>
      <c r="E571" s="196"/>
      <c r="F571" s="192"/>
      <c r="G571" s="192"/>
      <c r="H571" s="50"/>
      <c r="I571" s="49"/>
      <c r="J571" s="49"/>
      <c r="K571" s="49"/>
      <c r="L571" s="49"/>
      <c r="M571" s="49"/>
      <c r="N571" s="193"/>
      <c r="O571" s="172">
        <f>SUMIF($A$7:$A$502,A571,$O$7:$O$502)</f>
        <v>0</v>
      </c>
      <c r="P571" s="49"/>
      <c r="Q571" s="49"/>
      <c r="R571" s="49"/>
      <c r="S571" s="49"/>
      <c r="T571" s="49"/>
      <c r="U571" s="193"/>
      <c r="V571" s="173">
        <f>SUMIF($A$7:$A$502,A571,$V$7:$V$502)</f>
        <v>0</v>
      </c>
      <c r="W571" s="197"/>
      <c r="X571" s="165" t="s">
        <v>1004</v>
      </c>
      <c r="Y571" s="37">
        <f>+ROUND((O571+V571)*(1+SUMIF($Y$2:$Y$4,X571,$Z$2:$Z$4)),0)</f>
        <v>0</v>
      </c>
      <c r="Z571" s="37">
        <f t="shared" si="384"/>
        <v>0</v>
      </c>
    </row>
    <row r="572" spans="1:26" hidden="1" outlineLevel="1" x14ac:dyDescent="0.25">
      <c r="A572" s="189" t="s">
        <v>1182</v>
      </c>
      <c r="B572" s="252" t="s">
        <v>1183</v>
      </c>
      <c r="C572" s="190"/>
      <c r="D572" s="191"/>
      <c r="E572" s="191"/>
      <c r="F572" s="192"/>
      <c r="G572" s="192"/>
      <c r="H572" s="48"/>
      <c r="I572" s="49"/>
      <c r="J572" s="49"/>
      <c r="K572" s="49"/>
      <c r="L572" s="49"/>
      <c r="M572" s="49"/>
      <c r="N572" s="193"/>
      <c r="O572" s="172">
        <f>SUMIF($A$7:$A$502,A572,$O$7:$O$502)</f>
        <v>0</v>
      </c>
      <c r="P572" s="49"/>
      <c r="Q572" s="49"/>
      <c r="R572" s="49"/>
      <c r="S572" s="49"/>
      <c r="T572" s="49"/>
      <c r="U572" s="193"/>
      <c r="V572" s="173">
        <f>SUMIF($A$7:$A$502,A572,$V$7:$V$502)</f>
        <v>0</v>
      </c>
      <c r="W572" s="194"/>
      <c r="X572" s="165" t="s">
        <v>1004</v>
      </c>
      <c r="Y572" s="37">
        <f>+ROUND((O572+V572)*(1+SUMIF($Y$2:$Y$4,X572,$Z$2:$Z$4)),0)</f>
        <v>0</v>
      </c>
      <c r="Z572" s="37">
        <f t="shared" si="384"/>
        <v>0</v>
      </c>
    </row>
    <row r="573" spans="1:26" hidden="1" outlineLevel="1" x14ac:dyDescent="0.25">
      <c r="A573" s="189" t="s">
        <v>1184</v>
      </c>
      <c r="B573" s="253" t="s">
        <v>1185</v>
      </c>
      <c r="C573" s="195"/>
      <c r="D573" s="196"/>
      <c r="E573" s="196"/>
      <c r="F573" s="192"/>
      <c r="G573" s="192"/>
      <c r="H573" s="50"/>
      <c r="I573" s="49"/>
      <c r="J573" s="49"/>
      <c r="K573" s="49"/>
      <c r="L573" s="49"/>
      <c r="M573" s="49"/>
      <c r="N573" s="193"/>
      <c r="O573" s="172">
        <f>SUMIF($A$7:$A$502,A573,$O$7:$O$502)</f>
        <v>0</v>
      </c>
      <c r="P573" s="49"/>
      <c r="Q573" s="49"/>
      <c r="R573" s="49"/>
      <c r="S573" s="49"/>
      <c r="T573" s="49"/>
      <c r="U573" s="193"/>
      <c r="V573" s="173">
        <f>SUMIF($A$7:$A$502,A573,$V$7:$V$502)</f>
        <v>0</v>
      </c>
      <c r="W573" s="197"/>
      <c r="X573" s="165" t="s">
        <v>1004</v>
      </c>
      <c r="Y573" s="37">
        <f>+ROUND((O573+V573)*(1+SUMIF($Y$2:$Y$4,X573,$Z$2:$Z$4)),0)</f>
        <v>0</v>
      </c>
      <c r="Z573" s="37">
        <f t="shared" si="384"/>
        <v>0</v>
      </c>
    </row>
    <row r="574" spans="1:26" hidden="1" outlineLevel="1" x14ac:dyDescent="0.25">
      <c r="A574" s="189" t="s">
        <v>1186</v>
      </c>
      <c r="B574" s="252" t="s">
        <v>1187</v>
      </c>
      <c r="C574" s="190"/>
      <c r="D574" s="191"/>
      <c r="E574" s="191"/>
      <c r="F574" s="192"/>
      <c r="G574" s="192"/>
      <c r="H574" s="48"/>
      <c r="I574" s="49"/>
      <c r="J574" s="49"/>
      <c r="K574" s="49"/>
      <c r="L574" s="49"/>
      <c r="M574" s="49"/>
      <c r="N574" s="193"/>
      <c r="O574" s="172">
        <f>SUMIF($A$7:$A$502,A574,$O$7:$O$502)</f>
        <v>0</v>
      </c>
      <c r="P574" s="49"/>
      <c r="Q574" s="49"/>
      <c r="R574" s="49"/>
      <c r="S574" s="49"/>
      <c r="T574" s="49"/>
      <c r="U574" s="193"/>
      <c r="V574" s="173">
        <f>SUMIF($A$7:$A$502,A574,$V$7:$V$502)</f>
        <v>0</v>
      </c>
      <c r="W574" s="194"/>
      <c r="X574" s="165" t="s">
        <v>1004</v>
      </c>
      <c r="Y574" s="37">
        <f>+ROUND((O574+V574)*(1+SUMIF($Y$2:$Y$4,X574,$Z$2:$Z$4)),0)</f>
        <v>0</v>
      </c>
      <c r="Z574" s="37">
        <f t="shared" si="384"/>
        <v>0</v>
      </c>
    </row>
    <row r="575" spans="1:26" hidden="1" outlineLevel="1" x14ac:dyDescent="0.25">
      <c r="A575" s="189" t="s">
        <v>1188</v>
      </c>
      <c r="B575" s="253" t="s">
        <v>166</v>
      </c>
      <c r="C575" s="195"/>
      <c r="D575" s="196"/>
      <c r="E575" s="196"/>
      <c r="F575" s="192"/>
      <c r="G575" s="192"/>
      <c r="H575" s="50"/>
      <c r="I575" s="49"/>
      <c r="J575" s="49"/>
      <c r="K575" s="49"/>
      <c r="L575" s="49"/>
      <c r="M575" s="49"/>
      <c r="N575" s="193"/>
      <c r="O575" s="172">
        <f>SUMIF($A$7:$A$502,A575,$O$7:$O$502)</f>
        <v>0</v>
      </c>
      <c r="P575" s="49"/>
      <c r="Q575" s="49"/>
      <c r="R575" s="49"/>
      <c r="S575" s="49"/>
      <c r="T575" s="49"/>
      <c r="U575" s="193"/>
      <c r="V575" s="173">
        <f>SUMIF($A$7:$A$502,A575,$V$7:$V$502)</f>
        <v>0</v>
      </c>
      <c r="W575" s="197"/>
      <c r="X575" s="165" t="s">
        <v>1004</v>
      </c>
      <c r="Y575" s="37">
        <f>+ROUND((O575+V575)*(1+SUMIF($Y$2:$Y$4,X575,$Z$2:$Z$4)),0)</f>
        <v>0</v>
      </c>
      <c r="Z575" s="37">
        <f t="shared" si="384"/>
        <v>0</v>
      </c>
    </row>
    <row r="576" spans="1:26" hidden="1" outlineLevel="1" x14ac:dyDescent="0.25">
      <c r="A576" s="189" t="s">
        <v>1189</v>
      </c>
      <c r="B576" s="252" t="s">
        <v>1190</v>
      </c>
      <c r="C576" s="190"/>
      <c r="D576" s="191"/>
      <c r="E576" s="191"/>
      <c r="F576" s="192"/>
      <c r="G576" s="192"/>
      <c r="H576" s="48"/>
      <c r="I576" s="49"/>
      <c r="J576" s="49"/>
      <c r="K576" s="49"/>
      <c r="L576" s="49"/>
      <c r="M576" s="49"/>
      <c r="N576" s="193"/>
      <c r="O576" s="172">
        <f>SUMIF($A$7:$A$502,A576,$O$7:$O$502)</f>
        <v>0</v>
      </c>
      <c r="P576" s="49"/>
      <c r="Q576" s="49"/>
      <c r="R576" s="49"/>
      <c r="S576" s="49"/>
      <c r="T576" s="49"/>
      <c r="U576" s="193"/>
      <c r="V576" s="173">
        <f>SUMIF($A$7:$A$502,A576,$V$7:$V$502)</f>
        <v>0</v>
      </c>
      <c r="W576" s="194"/>
      <c r="X576" s="165" t="s">
        <v>1004</v>
      </c>
      <c r="Y576" s="37">
        <f>+ROUND((O576+V576)*(1+SUMIF($Y$2:$Y$4,X576,$Z$2:$Z$4)),0)</f>
        <v>0</v>
      </c>
      <c r="Z576" s="37">
        <f t="shared" si="384"/>
        <v>0</v>
      </c>
    </row>
    <row r="577" spans="1:26" hidden="1" outlineLevel="1" x14ac:dyDescent="0.25">
      <c r="A577" s="189" t="s">
        <v>1191</v>
      </c>
      <c r="B577" s="253" t="s">
        <v>1192</v>
      </c>
      <c r="C577" s="195"/>
      <c r="D577" s="196"/>
      <c r="E577" s="196"/>
      <c r="F577" s="192"/>
      <c r="G577" s="192"/>
      <c r="H577" s="50"/>
      <c r="I577" s="49"/>
      <c r="J577" s="49"/>
      <c r="K577" s="49"/>
      <c r="L577" s="49"/>
      <c r="M577" s="49"/>
      <c r="N577" s="193"/>
      <c r="O577" s="172">
        <f>SUMIF($A$7:$A$502,A577,$O$7:$O$502)</f>
        <v>0</v>
      </c>
      <c r="P577" s="49"/>
      <c r="Q577" s="49"/>
      <c r="R577" s="49"/>
      <c r="S577" s="49"/>
      <c r="T577" s="49"/>
      <c r="U577" s="193"/>
      <c r="V577" s="173">
        <f>SUMIF($A$7:$A$502,A577,$V$7:$V$502)</f>
        <v>0</v>
      </c>
      <c r="W577" s="197"/>
      <c r="X577" s="165" t="s">
        <v>1004</v>
      </c>
      <c r="Y577" s="37">
        <f>+ROUND((O577+V577)*(1+SUMIF($Y$2:$Y$4,X577,$Z$2:$Z$4)),0)</f>
        <v>0</v>
      </c>
      <c r="Z577" s="37">
        <f t="shared" si="384"/>
        <v>0</v>
      </c>
    </row>
    <row r="578" spans="1:26" hidden="1" outlineLevel="1" x14ac:dyDescent="0.25">
      <c r="A578" s="189" t="s">
        <v>1193</v>
      </c>
      <c r="B578" s="252" t="s">
        <v>1194</v>
      </c>
      <c r="C578" s="190"/>
      <c r="D578" s="191"/>
      <c r="E578" s="191"/>
      <c r="F578" s="192"/>
      <c r="G578" s="192"/>
      <c r="H578" s="48"/>
      <c r="I578" s="49"/>
      <c r="J578" s="49"/>
      <c r="K578" s="49"/>
      <c r="L578" s="49"/>
      <c r="M578" s="49"/>
      <c r="N578" s="193"/>
      <c r="O578" s="172">
        <f>SUMIF($A$7:$A$502,A578,$O$7:$O$502)</f>
        <v>0</v>
      </c>
      <c r="P578" s="49"/>
      <c r="Q578" s="49"/>
      <c r="R578" s="49"/>
      <c r="S578" s="49"/>
      <c r="T578" s="49"/>
      <c r="U578" s="193"/>
      <c r="V578" s="173">
        <f>SUMIF($A$7:$A$502,A578,$V$7:$V$502)</f>
        <v>0</v>
      </c>
      <c r="W578" s="194"/>
      <c r="X578" s="165" t="s">
        <v>1004</v>
      </c>
      <c r="Y578" s="37">
        <f>+ROUND((O578+V578)*(1+SUMIF($Y$2:$Y$4,X578,$Z$2:$Z$4)),0)</f>
        <v>0</v>
      </c>
      <c r="Z578" s="37">
        <f t="shared" ref="Z578:Z609" si="385">+ROUND((T578+W578)*(1+SUMIF($Y$2:$Y$4,Y578,$Z$2:$Z$4)),0)</f>
        <v>0</v>
      </c>
    </row>
    <row r="579" spans="1:26" hidden="1" outlineLevel="1" x14ac:dyDescent="0.25">
      <c r="A579" s="189" t="s">
        <v>1195</v>
      </c>
      <c r="B579" s="253" t="s">
        <v>1196</v>
      </c>
      <c r="C579" s="195"/>
      <c r="D579" s="196"/>
      <c r="E579" s="196"/>
      <c r="F579" s="192"/>
      <c r="G579" s="192"/>
      <c r="H579" s="50"/>
      <c r="I579" s="49"/>
      <c r="J579" s="49"/>
      <c r="K579" s="49"/>
      <c r="L579" s="49"/>
      <c r="M579" s="49"/>
      <c r="N579" s="193"/>
      <c r="O579" s="172">
        <f>SUMIF($A$7:$A$502,A579,$O$7:$O$502)</f>
        <v>0</v>
      </c>
      <c r="P579" s="49"/>
      <c r="Q579" s="49"/>
      <c r="R579" s="49"/>
      <c r="S579" s="49"/>
      <c r="T579" s="49"/>
      <c r="U579" s="193"/>
      <c r="V579" s="173">
        <f>SUMIF($A$7:$A$502,A579,$V$7:$V$502)</f>
        <v>0</v>
      </c>
      <c r="W579" s="197"/>
      <c r="X579" s="165" t="s">
        <v>1004</v>
      </c>
      <c r="Y579" s="37">
        <f>+ROUND((O579+V579)*(1+SUMIF($Y$2:$Y$4,X579,$Z$2:$Z$4)),0)</f>
        <v>0</v>
      </c>
      <c r="Z579" s="37">
        <f t="shared" si="385"/>
        <v>0</v>
      </c>
    </row>
    <row r="580" spans="1:26" hidden="1" outlineLevel="1" x14ac:dyDescent="0.25">
      <c r="A580" s="189" t="s">
        <v>1197</v>
      </c>
      <c r="B580" s="252" t="s">
        <v>1198</v>
      </c>
      <c r="C580" s="190"/>
      <c r="D580" s="191"/>
      <c r="E580" s="191"/>
      <c r="F580" s="192"/>
      <c r="G580" s="192"/>
      <c r="H580" s="48"/>
      <c r="I580" s="49"/>
      <c r="J580" s="49"/>
      <c r="K580" s="49"/>
      <c r="L580" s="49"/>
      <c r="M580" s="49"/>
      <c r="N580" s="193"/>
      <c r="O580" s="172">
        <f>SUMIF($A$7:$A$502,A580,$O$7:$O$502)</f>
        <v>0</v>
      </c>
      <c r="P580" s="49"/>
      <c r="Q580" s="49"/>
      <c r="R580" s="49"/>
      <c r="S580" s="49"/>
      <c r="T580" s="49"/>
      <c r="U580" s="193"/>
      <c r="V580" s="173">
        <f>SUMIF($A$7:$A$502,A580,$V$7:$V$502)</f>
        <v>0</v>
      </c>
      <c r="W580" s="194"/>
      <c r="X580" s="165" t="s">
        <v>1004</v>
      </c>
      <c r="Y580" s="37">
        <f>+ROUND((O580+V580)*(1+SUMIF($Y$2:$Y$4,X580,$Z$2:$Z$4)),0)</f>
        <v>0</v>
      </c>
      <c r="Z580" s="37">
        <f t="shared" si="385"/>
        <v>0</v>
      </c>
    </row>
    <row r="581" spans="1:26" hidden="1" outlineLevel="1" x14ac:dyDescent="0.25">
      <c r="A581" s="189" t="s">
        <v>1199</v>
      </c>
      <c r="B581" s="253" t="s">
        <v>1200</v>
      </c>
      <c r="C581" s="195"/>
      <c r="D581" s="196"/>
      <c r="E581" s="196"/>
      <c r="F581" s="192"/>
      <c r="G581" s="192"/>
      <c r="H581" s="50"/>
      <c r="I581" s="49"/>
      <c r="J581" s="49"/>
      <c r="K581" s="49"/>
      <c r="L581" s="49"/>
      <c r="M581" s="49"/>
      <c r="N581" s="193"/>
      <c r="O581" s="172">
        <f>SUMIF($A$7:$A$502,A581,$O$7:$O$502)</f>
        <v>0</v>
      </c>
      <c r="P581" s="49"/>
      <c r="Q581" s="49"/>
      <c r="R581" s="49"/>
      <c r="S581" s="49"/>
      <c r="T581" s="49"/>
      <c r="U581" s="193"/>
      <c r="V581" s="173">
        <f>SUMIF($A$7:$A$502,A581,$V$7:$V$502)</f>
        <v>0</v>
      </c>
      <c r="W581" s="197"/>
      <c r="X581" s="165" t="s">
        <v>1004</v>
      </c>
      <c r="Y581" s="37">
        <f>+ROUND((O581+V581)*(1+SUMIF($Y$2:$Y$4,X581,$Z$2:$Z$4)),0)</f>
        <v>0</v>
      </c>
      <c r="Z581" s="37">
        <f t="shared" si="385"/>
        <v>0</v>
      </c>
    </row>
    <row r="582" spans="1:26" hidden="1" outlineLevel="1" x14ac:dyDescent="0.25">
      <c r="A582" s="189" t="s">
        <v>1201</v>
      </c>
      <c r="B582" s="252" t="s">
        <v>1202</v>
      </c>
      <c r="C582" s="190"/>
      <c r="D582" s="191"/>
      <c r="E582" s="191"/>
      <c r="F582" s="192"/>
      <c r="G582" s="192"/>
      <c r="H582" s="48"/>
      <c r="I582" s="49"/>
      <c r="J582" s="49"/>
      <c r="K582" s="49"/>
      <c r="L582" s="49"/>
      <c r="M582" s="49"/>
      <c r="N582" s="193"/>
      <c r="O582" s="172">
        <f>SUMIF($A$7:$A$502,A582,$O$7:$O$502)</f>
        <v>0</v>
      </c>
      <c r="P582" s="49"/>
      <c r="Q582" s="49"/>
      <c r="R582" s="49"/>
      <c r="S582" s="49"/>
      <c r="T582" s="49"/>
      <c r="U582" s="193"/>
      <c r="V582" s="173">
        <f>SUMIF($A$7:$A$502,A582,$V$7:$V$502)</f>
        <v>0</v>
      </c>
      <c r="W582" s="194"/>
      <c r="X582" s="165" t="s">
        <v>1004</v>
      </c>
      <c r="Y582" s="37">
        <f>+ROUND((O582+V582)*(1+SUMIF($Y$2:$Y$4,X582,$Z$2:$Z$4)),0)</f>
        <v>0</v>
      </c>
      <c r="Z582" s="37">
        <f t="shared" si="385"/>
        <v>0</v>
      </c>
    </row>
    <row r="583" spans="1:26" hidden="1" outlineLevel="1" x14ac:dyDescent="0.25">
      <c r="A583" s="189" t="s">
        <v>1203</v>
      </c>
      <c r="B583" s="253" t="s">
        <v>1204</v>
      </c>
      <c r="C583" s="195"/>
      <c r="D583" s="196"/>
      <c r="E583" s="196"/>
      <c r="F583" s="192"/>
      <c r="G583" s="192"/>
      <c r="H583" s="50"/>
      <c r="I583" s="49"/>
      <c r="J583" s="49"/>
      <c r="K583" s="49"/>
      <c r="L583" s="49"/>
      <c r="M583" s="49"/>
      <c r="N583" s="193"/>
      <c r="O583" s="172">
        <f>SUMIF($A$7:$A$502,A583,$O$7:$O$502)</f>
        <v>0</v>
      </c>
      <c r="P583" s="49"/>
      <c r="Q583" s="49"/>
      <c r="R583" s="49"/>
      <c r="S583" s="49"/>
      <c r="T583" s="49"/>
      <c r="U583" s="193"/>
      <c r="V583" s="173">
        <f>SUMIF($A$7:$A$502,A583,$V$7:$V$502)</f>
        <v>0</v>
      </c>
      <c r="W583" s="197"/>
      <c r="X583" s="165" t="s">
        <v>1004</v>
      </c>
      <c r="Y583" s="37">
        <f>+ROUND((O583+V583)*(1+SUMIF($Y$2:$Y$4,X583,$Z$2:$Z$4)),0)</f>
        <v>0</v>
      </c>
      <c r="Z583" s="37">
        <f t="shared" si="385"/>
        <v>0</v>
      </c>
    </row>
    <row r="584" spans="1:26" hidden="1" outlineLevel="1" x14ac:dyDescent="0.25">
      <c r="A584" s="189" t="s">
        <v>1205</v>
      </c>
      <c r="B584" s="252" t="s">
        <v>1206</v>
      </c>
      <c r="C584" s="190"/>
      <c r="D584" s="191"/>
      <c r="E584" s="191"/>
      <c r="F584" s="192"/>
      <c r="G584" s="192"/>
      <c r="H584" s="48"/>
      <c r="I584" s="49"/>
      <c r="J584" s="49"/>
      <c r="K584" s="49"/>
      <c r="L584" s="49"/>
      <c r="M584" s="49"/>
      <c r="N584" s="193"/>
      <c r="O584" s="172">
        <f>SUMIF($A$7:$A$502,A584,$O$7:$O$502)</f>
        <v>0</v>
      </c>
      <c r="P584" s="49"/>
      <c r="Q584" s="49"/>
      <c r="R584" s="49"/>
      <c r="S584" s="49"/>
      <c r="T584" s="49"/>
      <c r="U584" s="193"/>
      <c r="V584" s="173">
        <f>SUMIF($A$7:$A$502,A584,$V$7:$V$502)</f>
        <v>0</v>
      </c>
      <c r="W584" s="194"/>
      <c r="X584" s="165" t="s">
        <v>1004</v>
      </c>
      <c r="Y584" s="37">
        <f>+ROUND((O584+V584)*(1+SUMIF($Y$2:$Y$4,X584,$Z$2:$Z$4)),0)</f>
        <v>0</v>
      </c>
      <c r="Z584" s="37">
        <f t="shared" si="385"/>
        <v>0</v>
      </c>
    </row>
    <row r="585" spans="1:26" hidden="1" outlineLevel="1" x14ac:dyDescent="0.25">
      <c r="A585" s="189" t="s">
        <v>1207</v>
      </c>
      <c r="B585" s="253" t="s">
        <v>1208</v>
      </c>
      <c r="C585" s="195"/>
      <c r="D585" s="196"/>
      <c r="E585" s="196"/>
      <c r="F585" s="192"/>
      <c r="G585" s="192"/>
      <c r="H585" s="50"/>
      <c r="I585" s="49"/>
      <c r="J585" s="49"/>
      <c r="K585" s="49"/>
      <c r="L585" s="49"/>
      <c r="M585" s="49"/>
      <c r="N585" s="193"/>
      <c r="O585" s="172">
        <f>SUMIF($A$7:$A$502,A585,$O$7:$O$502)</f>
        <v>0</v>
      </c>
      <c r="P585" s="49"/>
      <c r="Q585" s="49"/>
      <c r="R585" s="49"/>
      <c r="S585" s="49"/>
      <c r="T585" s="49"/>
      <c r="U585" s="193"/>
      <c r="V585" s="173">
        <f>SUMIF($A$7:$A$502,A585,$V$7:$V$502)</f>
        <v>0</v>
      </c>
      <c r="W585" s="197"/>
      <c r="X585" s="165" t="s">
        <v>1004</v>
      </c>
      <c r="Y585" s="37">
        <f>+ROUND((O585+V585)*(1+SUMIF($Y$2:$Y$4,X585,$Z$2:$Z$4)),0)</f>
        <v>0</v>
      </c>
      <c r="Z585" s="37">
        <f t="shared" si="385"/>
        <v>0</v>
      </c>
    </row>
    <row r="586" spans="1:26" hidden="1" outlineLevel="1" x14ac:dyDescent="0.25">
      <c r="A586" s="189" t="s">
        <v>1209</v>
      </c>
      <c r="B586" s="252" t="s">
        <v>1210</v>
      </c>
      <c r="C586" s="190"/>
      <c r="D586" s="191"/>
      <c r="E586" s="191"/>
      <c r="F586" s="192"/>
      <c r="G586" s="192"/>
      <c r="H586" s="48"/>
      <c r="I586" s="49"/>
      <c r="J586" s="49"/>
      <c r="K586" s="49"/>
      <c r="L586" s="49"/>
      <c r="M586" s="49"/>
      <c r="N586" s="193"/>
      <c r="O586" s="172">
        <f>SUMIF($A$7:$A$502,A586,$O$7:$O$502)</f>
        <v>0</v>
      </c>
      <c r="P586" s="49"/>
      <c r="Q586" s="49"/>
      <c r="R586" s="49"/>
      <c r="S586" s="49"/>
      <c r="T586" s="49"/>
      <c r="U586" s="193"/>
      <c r="V586" s="173">
        <f>SUMIF($A$7:$A$502,A586,$V$7:$V$502)</f>
        <v>0</v>
      </c>
      <c r="W586" s="194"/>
      <c r="X586" s="165" t="s">
        <v>1004</v>
      </c>
      <c r="Y586" s="37">
        <f>+ROUND((O586+V586)*(1+SUMIF($Y$2:$Y$4,X586,$Z$2:$Z$4)),0)</f>
        <v>0</v>
      </c>
      <c r="Z586" s="37">
        <f t="shared" si="385"/>
        <v>0</v>
      </c>
    </row>
    <row r="587" spans="1:26" hidden="1" outlineLevel="1" x14ac:dyDescent="0.25">
      <c r="A587" s="189" t="s">
        <v>1211</v>
      </c>
      <c r="B587" s="253" t="s">
        <v>1212</v>
      </c>
      <c r="C587" s="195"/>
      <c r="D587" s="196"/>
      <c r="E587" s="196"/>
      <c r="F587" s="192"/>
      <c r="G587" s="192"/>
      <c r="H587" s="50"/>
      <c r="I587" s="49"/>
      <c r="J587" s="49"/>
      <c r="K587" s="49"/>
      <c r="L587" s="49"/>
      <c r="M587" s="49"/>
      <c r="N587" s="193"/>
      <c r="O587" s="172">
        <f>SUMIF($A$7:$A$502,A587,$O$7:$O$502)</f>
        <v>0</v>
      </c>
      <c r="P587" s="49"/>
      <c r="Q587" s="49"/>
      <c r="R587" s="49"/>
      <c r="S587" s="49"/>
      <c r="T587" s="49"/>
      <c r="U587" s="193"/>
      <c r="V587" s="173">
        <f>SUMIF($A$7:$A$502,A587,$V$7:$V$502)</f>
        <v>0</v>
      </c>
      <c r="W587" s="197"/>
      <c r="X587" s="165" t="s">
        <v>1004</v>
      </c>
      <c r="Y587" s="37">
        <f>+ROUND((O587+V587)*(1+SUMIF($Y$2:$Y$4,X587,$Z$2:$Z$4)),0)</f>
        <v>0</v>
      </c>
      <c r="Z587" s="37">
        <f t="shared" si="385"/>
        <v>0</v>
      </c>
    </row>
    <row r="588" spans="1:26" hidden="1" outlineLevel="1" x14ac:dyDescent="0.25">
      <c r="A588" s="189" t="s">
        <v>1213</v>
      </c>
      <c r="B588" s="252" t="s">
        <v>1214</v>
      </c>
      <c r="C588" s="190"/>
      <c r="D588" s="191"/>
      <c r="E588" s="191"/>
      <c r="F588" s="192"/>
      <c r="G588" s="192"/>
      <c r="H588" s="48"/>
      <c r="I588" s="49"/>
      <c r="J588" s="49"/>
      <c r="K588" s="49"/>
      <c r="L588" s="49"/>
      <c r="M588" s="49"/>
      <c r="N588" s="193"/>
      <c r="O588" s="172">
        <f>SUMIF($A$7:$A$502,A588,$O$7:$O$502)</f>
        <v>0</v>
      </c>
      <c r="P588" s="49"/>
      <c r="Q588" s="49"/>
      <c r="R588" s="49"/>
      <c r="S588" s="49"/>
      <c r="T588" s="49"/>
      <c r="U588" s="193"/>
      <c r="V588" s="173">
        <f>SUMIF($A$7:$A$502,A588,$V$7:$V$502)</f>
        <v>0</v>
      </c>
      <c r="W588" s="194"/>
      <c r="X588" s="165" t="s">
        <v>1004</v>
      </c>
      <c r="Y588" s="37">
        <f>+ROUND((O588+V588)*(1+SUMIF($Y$2:$Y$4,X588,$Z$2:$Z$4)),0)</f>
        <v>0</v>
      </c>
      <c r="Z588" s="37">
        <f t="shared" si="385"/>
        <v>0</v>
      </c>
    </row>
    <row r="589" spans="1:26" hidden="1" outlineLevel="1" x14ac:dyDescent="0.25">
      <c r="A589" s="189" t="s">
        <v>1215</v>
      </c>
      <c r="B589" s="253" t="s">
        <v>1216</v>
      </c>
      <c r="C589" s="195"/>
      <c r="D589" s="196"/>
      <c r="E589" s="196"/>
      <c r="F589" s="192"/>
      <c r="G589" s="192"/>
      <c r="H589" s="50"/>
      <c r="I589" s="49"/>
      <c r="J589" s="49"/>
      <c r="K589" s="49"/>
      <c r="L589" s="49"/>
      <c r="M589" s="49"/>
      <c r="N589" s="193"/>
      <c r="O589" s="172">
        <f>SUMIF($A$7:$A$502,A589,$O$7:$O$502)</f>
        <v>0</v>
      </c>
      <c r="P589" s="49"/>
      <c r="Q589" s="49"/>
      <c r="R589" s="49"/>
      <c r="S589" s="49"/>
      <c r="T589" s="49"/>
      <c r="U589" s="193"/>
      <c r="V589" s="173">
        <f>SUMIF($A$7:$A$502,A589,$V$7:$V$502)</f>
        <v>0</v>
      </c>
      <c r="W589" s="197"/>
      <c r="X589" s="165" t="s">
        <v>1004</v>
      </c>
      <c r="Y589" s="37">
        <f>+ROUND((O589+V589)*(1+SUMIF($Y$2:$Y$4,X589,$Z$2:$Z$4)),0)</f>
        <v>0</v>
      </c>
      <c r="Z589" s="37">
        <f t="shared" si="385"/>
        <v>0</v>
      </c>
    </row>
    <row r="590" spans="1:26" hidden="1" outlineLevel="1" x14ac:dyDescent="0.25">
      <c r="A590" s="189" t="s">
        <v>1217</v>
      </c>
      <c r="B590" s="252" t="s">
        <v>1218</v>
      </c>
      <c r="C590" s="190"/>
      <c r="D590" s="191"/>
      <c r="E590" s="191"/>
      <c r="F590" s="192"/>
      <c r="G590" s="192"/>
      <c r="H590" s="48"/>
      <c r="I590" s="49"/>
      <c r="J590" s="49"/>
      <c r="K590" s="49"/>
      <c r="L590" s="49"/>
      <c r="M590" s="49"/>
      <c r="N590" s="193"/>
      <c r="O590" s="172">
        <f>SUMIF($A$7:$A$502,A590,$O$7:$O$502)</f>
        <v>0</v>
      </c>
      <c r="P590" s="49"/>
      <c r="Q590" s="49"/>
      <c r="R590" s="49"/>
      <c r="S590" s="49"/>
      <c r="T590" s="49"/>
      <c r="U590" s="193"/>
      <c r="V590" s="173">
        <f>SUMIF($A$7:$A$502,A590,$V$7:$V$502)</f>
        <v>0</v>
      </c>
      <c r="W590" s="194"/>
      <c r="X590" s="165" t="s">
        <v>1004</v>
      </c>
      <c r="Y590" s="37">
        <f>+ROUND((O590+V590)*(1+SUMIF($Y$2:$Y$4,X590,$Z$2:$Z$4)),0)</f>
        <v>0</v>
      </c>
      <c r="Z590" s="37">
        <f t="shared" si="385"/>
        <v>0</v>
      </c>
    </row>
    <row r="591" spans="1:26" hidden="1" outlineLevel="1" x14ac:dyDescent="0.25">
      <c r="A591" s="189" t="s">
        <v>1219</v>
      </c>
      <c r="B591" s="253" t="s">
        <v>1220</v>
      </c>
      <c r="C591" s="195"/>
      <c r="D591" s="196"/>
      <c r="E591" s="196"/>
      <c r="F591" s="192"/>
      <c r="G591" s="192"/>
      <c r="H591" s="50"/>
      <c r="I591" s="49"/>
      <c r="J591" s="49"/>
      <c r="K591" s="49"/>
      <c r="L591" s="49"/>
      <c r="M591" s="49"/>
      <c r="N591" s="193"/>
      <c r="O591" s="172">
        <f>SUMIF($A$7:$A$502,A591,$O$7:$O$502)</f>
        <v>0</v>
      </c>
      <c r="P591" s="49"/>
      <c r="Q591" s="49"/>
      <c r="R591" s="49"/>
      <c r="S591" s="49"/>
      <c r="T591" s="49"/>
      <c r="U591" s="193"/>
      <c r="V591" s="173">
        <f>SUMIF($A$7:$A$502,A591,$V$7:$V$502)</f>
        <v>0</v>
      </c>
      <c r="W591" s="197"/>
      <c r="X591" s="165" t="s">
        <v>1004</v>
      </c>
      <c r="Y591" s="37">
        <f>+ROUND((O591+V591)*(1+SUMIF($Y$2:$Y$4,X591,$Z$2:$Z$4)),0)</f>
        <v>0</v>
      </c>
      <c r="Z591" s="37">
        <f t="shared" si="385"/>
        <v>0</v>
      </c>
    </row>
    <row r="592" spans="1:26" hidden="1" outlineLevel="1" x14ac:dyDescent="0.25">
      <c r="A592" s="189" t="s">
        <v>1221</v>
      </c>
      <c r="B592" s="252" t="s">
        <v>1222</v>
      </c>
      <c r="C592" s="190"/>
      <c r="D592" s="191"/>
      <c r="E592" s="191"/>
      <c r="F592" s="192"/>
      <c r="G592" s="192"/>
      <c r="H592" s="48"/>
      <c r="I592" s="49"/>
      <c r="J592" s="49"/>
      <c r="K592" s="49"/>
      <c r="L592" s="49"/>
      <c r="M592" s="49"/>
      <c r="N592" s="193"/>
      <c r="O592" s="172">
        <f>SUMIF($A$7:$A$502,A592,$O$7:$O$502)</f>
        <v>0</v>
      </c>
      <c r="P592" s="49"/>
      <c r="Q592" s="49"/>
      <c r="R592" s="49"/>
      <c r="S592" s="49"/>
      <c r="T592" s="49"/>
      <c r="U592" s="193"/>
      <c r="V592" s="173">
        <f>SUMIF($A$7:$A$502,A592,$V$7:$V$502)</f>
        <v>0</v>
      </c>
      <c r="W592" s="194"/>
      <c r="X592" s="165" t="s">
        <v>1004</v>
      </c>
      <c r="Y592" s="37">
        <f>+ROUND((O592+V592)*(1+SUMIF($Y$2:$Y$4,X592,$Z$2:$Z$4)),0)</f>
        <v>0</v>
      </c>
      <c r="Z592" s="37">
        <f t="shared" si="385"/>
        <v>0</v>
      </c>
    </row>
    <row r="593" spans="1:26" hidden="1" outlineLevel="1" x14ac:dyDescent="0.25">
      <c r="A593" s="189" t="s">
        <v>1223</v>
      </c>
      <c r="B593" s="253" t="s">
        <v>1224</v>
      </c>
      <c r="C593" s="195"/>
      <c r="D593" s="196"/>
      <c r="E593" s="196"/>
      <c r="F593" s="192"/>
      <c r="G593" s="192"/>
      <c r="H593" s="50"/>
      <c r="I593" s="49"/>
      <c r="J593" s="49"/>
      <c r="K593" s="49"/>
      <c r="L593" s="49"/>
      <c r="M593" s="49"/>
      <c r="N593" s="193"/>
      <c r="O593" s="172">
        <f>SUMIF($A$7:$A$502,A593,$O$7:$O$502)</f>
        <v>0</v>
      </c>
      <c r="P593" s="49"/>
      <c r="Q593" s="49"/>
      <c r="R593" s="49"/>
      <c r="S593" s="49"/>
      <c r="T593" s="49"/>
      <c r="U593" s="193"/>
      <c r="V593" s="173">
        <f>SUMIF($A$7:$A$502,A593,$V$7:$V$502)</f>
        <v>0</v>
      </c>
      <c r="W593" s="197"/>
      <c r="X593" s="165" t="s">
        <v>1004</v>
      </c>
      <c r="Y593" s="37">
        <f>+ROUND((O593+V593)*(1+SUMIF($Y$2:$Y$4,X593,$Z$2:$Z$4)),0)</f>
        <v>0</v>
      </c>
      <c r="Z593" s="37">
        <f t="shared" si="385"/>
        <v>0</v>
      </c>
    </row>
    <row r="594" spans="1:26" hidden="1" outlineLevel="1" x14ac:dyDescent="0.25">
      <c r="A594" s="189" t="s">
        <v>1225</v>
      </c>
      <c r="B594" s="252" t="s">
        <v>1225</v>
      </c>
      <c r="C594" s="190"/>
      <c r="D594" s="191"/>
      <c r="E594" s="191"/>
      <c r="F594" s="192"/>
      <c r="G594" s="192"/>
      <c r="H594" s="48"/>
      <c r="I594" s="49"/>
      <c r="J594" s="49"/>
      <c r="K594" s="49"/>
      <c r="L594" s="49"/>
      <c r="M594" s="49"/>
      <c r="N594" s="193"/>
      <c r="O594" s="172">
        <f>SUMIF($A$7:$A$502,A594,$O$7:$O$502)</f>
        <v>0</v>
      </c>
      <c r="P594" s="49"/>
      <c r="Q594" s="49"/>
      <c r="R594" s="49"/>
      <c r="S594" s="49"/>
      <c r="T594" s="49"/>
      <c r="U594" s="193"/>
      <c r="V594" s="173">
        <f>SUMIF($A$7:$A$502,A594,$V$7:$V$502)</f>
        <v>0</v>
      </c>
      <c r="W594" s="194"/>
      <c r="X594" s="165" t="s">
        <v>1004</v>
      </c>
      <c r="Y594" s="37">
        <f>+ROUND((O594+V594)*(1+SUMIF($Y$2:$Y$4,X594,$Z$2:$Z$4)),0)</f>
        <v>0</v>
      </c>
      <c r="Z594" s="37">
        <f t="shared" si="385"/>
        <v>0</v>
      </c>
    </row>
    <row r="595" spans="1:26" hidden="1" outlineLevel="1" x14ac:dyDescent="0.25">
      <c r="A595" s="189" t="s">
        <v>1226</v>
      </c>
      <c r="B595" s="253" t="s">
        <v>1227</v>
      </c>
      <c r="C595" s="195"/>
      <c r="D595" s="196"/>
      <c r="E595" s="196"/>
      <c r="F595" s="192"/>
      <c r="G595" s="192"/>
      <c r="H595" s="50"/>
      <c r="I595" s="49"/>
      <c r="J595" s="49"/>
      <c r="K595" s="49"/>
      <c r="L595" s="49"/>
      <c r="M595" s="49"/>
      <c r="N595" s="193"/>
      <c r="O595" s="172">
        <f>SUMIF($A$7:$A$502,A595,$O$7:$O$502)</f>
        <v>0</v>
      </c>
      <c r="P595" s="49"/>
      <c r="Q595" s="49"/>
      <c r="R595" s="49"/>
      <c r="S595" s="49"/>
      <c r="T595" s="49"/>
      <c r="U595" s="193"/>
      <c r="V595" s="173">
        <f>SUMIF($A$7:$A$502,A595,$V$7:$V$502)</f>
        <v>0</v>
      </c>
      <c r="W595" s="197"/>
      <c r="X595" s="165" t="s">
        <v>1004</v>
      </c>
      <c r="Y595" s="37">
        <f>+ROUND((O595+V595)*(1+SUMIF($Y$2:$Y$4,X595,$Z$2:$Z$4)),0)</f>
        <v>0</v>
      </c>
      <c r="Z595" s="37">
        <f t="shared" si="385"/>
        <v>0</v>
      </c>
    </row>
    <row r="596" spans="1:26" hidden="1" outlineLevel="1" x14ac:dyDescent="0.25">
      <c r="A596" s="189" t="s">
        <v>1228</v>
      </c>
      <c r="B596" s="252" t="s">
        <v>1229</v>
      </c>
      <c r="C596" s="190"/>
      <c r="D596" s="191"/>
      <c r="E596" s="191"/>
      <c r="F596" s="192"/>
      <c r="G596" s="192"/>
      <c r="H596" s="48"/>
      <c r="I596" s="49"/>
      <c r="J596" s="49"/>
      <c r="K596" s="49"/>
      <c r="L596" s="49"/>
      <c r="M596" s="49"/>
      <c r="N596" s="193"/>
      <c r="O596" s="172">
        <f>SUMIF($A$7:$A$502,A596,$O$7:$O$502)</f>
        <v>0</v>
      </c>
      <c r="P596" s="49"/>
      <c r="Q596" s="49"/>
      <c r="R596" s="49"/>
      <c r="S596" s="49"/>
      <c r="T596" s="49"/>
      <c r="U596" s="193"/>
      <c r="V596" s="173">
        <f>SUMIF($A$7:$A$502,A596,$V$7:$V$502)</f>
        <v>0</v>
      </c>
      <c r="W596" s="194"/>
      <c r="X596" s="165" t="s">
        <v>1004</v>
      </c>
      <c r="Y596" s="37">
        <f>+ROUND((O596+V596)*(1+SUMIF($Y$2:$Y$4,X596,$Z$2:$Z$4)),0)</f>
        <v>0</v>
      </c>
      <c r="Z596" s="37">
        <f t="shared" si="385"/>
        <v>0</v>
      </c>
    </row>
    <row r="597" spans="1:26" hidden="1" outlineLevel="1" x14ac:dyDescent="0.25">
      <c r="A597" s="189" t="s">
        <v>1230</v>
      </c>
      <c r="B597" s="253" t="s">
        <v>1231</v>
      </c>
      <c r="C597" s="195"/>
      <c r="D597" s="196"/>
      <c r="E597" s="196"/>
      <c r="F597" s="192"/>
      <c r="G597" s="192"/>
      <c r="H597" s="50"/>
      <c r="I597" s="49"/>
      <c r="J597" s="49"/>
      <c r="K597" s="49"/>
      <c r="L597" s="49"/>
      <c r="M597" s="49"/>
      <c r="N597" s="193"/>
      <c r="O597" s="172">
        <f>SUMIF($A$7:$A$502,A597,$O$7:$O$502)</f>
        <v>0</v>
      </c>
      <c r="P597" s="49"/>
      <c r="Q597" s="49"/>
      <c r="R597" s="49"/>
      <c r="S597" s="49"/>
      <c r="T597" s="49"/>
      <c r="U597" s="193"/>
      <c r="V597" s="173">
        <f>SUMIF($A$7:$A$502,A597,$V$7:$V$502)</f>
        <v>0</v>
      </c>
      <c r="W597" s="197"/>
      <c r="X597" s="165" t="s">
        <v>1004</v>
      </c>
      <c r="Y597" s="37">
        <f>+ROUND((O597+V597)*(1+SUMIF($Y$2:$Y$4,X597,$Z$2:$Z$4)),0)</f>
        <v>0</v>
      </c>
      <c r="Z597" s="37">
        <f t="shared" si="385"/>
        <v>0</v>
      </c>
    </row>
    <row r="598" spans="1:26" hidden="1" outlineLevel="1" x14ac:dyDescent="0.25">
      <c r="A598" s="189" t="s">
        <v>1232</v>
      </c>
      <c r="B598" s="252" t="s">
        <v>1233</v>
      </c>
      <c r="C598" s="190"/>
      <c r="D598" s="191"/>
      <c r="E598" s="191"/>
      <c r="F598" s="192"/>
      <c r="G598" s="192"/>
      <c r="H598" s="48"/>
      <c r="I598" s="49"/>
      <c r="J598" s="49"/>
      <c r="K598" s="49"/>
      <c r="L598" s="49"/>
      <c r="M598" s="49"/>
      <c r="N598" s="193"/>
      <c r="O598" s="172">
        <f>SUMIF($A$7:$A$502,A598,$O$7:$O$502)</f>
        <v>0</v>
      </c>
      <c r="P598" s="49"/>
      <c r="Q598" s="49"/>
      <c r="R598" s="49"/>
      <c r="S598" s="49"/>
      <c r="T598" s="49"/>
      <c r="U598" s="193"/>
      <c r="V598" s="173">
        <f>SUMIF($A$7:$A$502,A598,$V$7:$V$502)</f>
        <v>0</v>
      </c>
      <c r="W598" s="194"/>
      <c r="X598" s="165" t="s">
        <v>1004</v>
      </c>
      <c r="Y598" s="37">
        <f>+ROUND((O598+V598)*(1+SUMIF($Y$2:$Y$4,X598,$Z$2:$Z$4)),0)</f>
        <v>0</v>
      </c>
      <c r="Z598" s="37">
        <f t="shared" si="385"/>
        <v>0</v>
      </c>
    </row>
    <row r="599" spans="1:26" hidden="1" outlineLevel="1" x14ac:dyDescent="0.25">
      <c r="A599" s="189" t="s">
        <v>1234</v>
      </c>
      <c r="B599" s="253" t="s">
        <v>1235</v>
      </c>
      <c r="C599" s="195"/>
      <c r="D599" s="196"/>
      <c r="E599" s="196"/>
      <c r="F599" s="192"/>
      <c r="G599" s="192"/>
      <c r="H599" s="50"/>
      <c r="I599" s="49"/>
      <c r="J599" s="49"/>
      <c r="K599" s="49"/>
      <c r="L599" s="49"/>
      <c r="M599" s="49"/>
      <c r="N599" s="193"/>
      <c r="O599" s="172">
        <f>SUMIF($A$7:$A$502,A599,$O$7:$O$502)</f>
        <v>0</v>
      </c>
      <c r="P599" s="49"/>
      <c r="Q599" s="49"/>
      <c r="R599" s="49"/>
      <c r="S599" s="49"/>
      <c r="T599" s="49"/>
      <c r="U599" s="193"/>
      <c r="V599" s="173">
        <f>SUMIF($A$7:$A$502,A599,$V$7:$V$502)</f>
        <v>0</v>
      </c>
      <c r="W599" s="197"/>
      <c r="X599" s="165" t="s">
        <v>1004</v>
      </c>
      <c r="Y599" s="37">
        <f>+ROUND((O599+V599)*(1+SUMIF($Y$2:$Y$4,X599,$Z$2:$Z$4)),0)</f>
        <v>0</v>
      </c>
      <c r="Z599" s="37">
        <f t="shared" si="385"/>
        <v>0</v>
      </c>
    </row>
    <row r="600" spans="1:26" hidden="1" outlineLevel="1" x14ac:dyDescent="0.25">
      <c r="A600" s="189" t="s">
        <v>1236</v>
      </c>
      <c r="B600" s="252" t="s">
        <v>1237</v>
      </c>
      <c r="C600" s="190"/>
      <c r="D600" s="191"/>
      <c r="E600" s="191"/>
      <c r="F600" s="192"/>
      <c r="G600" s="192"/>
      <c r="H600" s="48"/>
      <c r="I600" s="49"/>
      <c r="J600" s="49"/>
      <c r="K600" s="49"/>
      <c r="L600" s="49"/>
      <c r="M600" s="49"/>
      <c r="N600" s="193"/>
      <c r="O600" s="172">
        <f>SUMIF($A$7:$A$502,A600,$O$7:$O$502)</f>
        <v>0</v>
      </c>
      <c r="P600" s="49"/>
      <c r="Q600" s="49"/>
      <c r="R600" s="49"/>
      <c r="S600" s="49"/>
      <c r="T600" s="49"/>
      <c r="U600" s="193"/>
      <c r="V600" s="173">
        <f>SUMIF($A$7:$A$502,A600,$V$7:$V$502)</f>
        <v>0</v>
      </c>
      <c r="W600" s="194"/>
      <c r="X600" s="165" t="s">
        <v>1004</v>
      </c>
      <c r="Y600" s="37">
        <f>+ROUND((O600+V600)*(1+SUMIF($Y$2:$Y$4,X600,$Z$2:$Z$4)),0)</f>
        <v>0</v>
      </c>
      <c r="Z600" s="37">
        <f t="shared" si="385"/>
        <v>0</v>
      </c>
    </row>
    <row r="601" spans="1:26" hidden="1" outlineLevel="1" x14ac:dyDescent="0.25">
      <c r="A601" s="189" t="s">
        <v>1238</v>
      </c>
      <c r="B601" s="253" t="s">
        <v>1239</v>
      </c>
      <c r="C601" s="195"/>
      <c r="D601" s="196"/>
      <c r="E601" s="196"/>
      <c r="F601" s="192"/>
      <c r="G601" s="192"/>
      <c r="H601" s="50"/>
      <c r="I601" s="49"/>
      <c r="J601" s="49"/>
      <c r="K601" s="49"/>
      <c r="L601" s="49"/>
      <c r="M601" s="49"/>
      <c r="N601" s="193"/>
      <c r="O601" s="172">
        <f>SUMIF($A$7:$A$502,A601,$O$7:$O$502)</f>
        <v>0</v>
      </c>
      <c r="P601" s="49"/>
      <c r="Q601" s="49"/>
      <c r="R601" s="49"/>
      <c r="S601" s="49"/>
      <c r="T601" s="49"/>
      <c r="U601" s="193"/>
      <c r="V601" s="173">
        <f>SUMIF($A$7:$A$502,A601,$V$7:$V$502)</f>
        <v>0</v>
      </c>
      <c r="W601" s="197"/>
      <c r="X601" s="165" t="s">
        <v>1004</v>
      </c>
      <c r="Y601" s="37">
        <f>+ROUND((O601+V601)*(1+SUMIF($Y$2:$Y$4,X601,$Z$2:$Z$4)),0)</f>
        <v>0</v>
      </c>
      <c r="Z601" s="37">
        <f t="shared" si="385"/>
        <v>0</v>
      </c>
    </row>
    <row r="602" spans="1:26" hidden="1" outlineLevel="1" x14ac:dyDescent="0.25">
      <c r="A602" s="189" t="s">
        <v>1240</v>
      </c>
      <c r="B602" s="252" t="s">
        <v>1241</v>
      </c>
      <c r="C602" s="190"/>
      <c r="D602" s="191"/>
      <c r="E602" s="191"/>
      <c r="F602" s="192"/>
      <c r="G602" s="192"/>
      <c r="H602" s="48"/>
      <c r="I602" s="49"/>
      <c r="J602" s="49"/>
      <c r="K602" s="49"/>
      <c r="L602" s="49"/>
      <c r="M602" s="49"/>
      <c r="N602" s="193"/>
      <c r="O602" s="172">
        <f>SUMIF($A$7:$A$502,A602,$O$7:$O$502)</f>
        <v>0</v>
      </c>
      <c r="P602" s="49"/>
      <c r="Q602" s="49"/>
      <c r="R602" s="49"/>
      <c r="S602" s="49"/>
      <c r="T602" s="49"/>
      <c r="U602" s="193"/>
      <c r="V602" s="173">
        <f>SUMIF($A$7:$A$502,A602,$V$7:$V$502)</f>
        <v>0</v>
      </c>
      <c r="W602" s="194"/>
      <c r="X602" s="165" t="s">
        <v>1004</v>
      </c>
      <c r="Y602" s="37">
        <f>+ROUND((O602+V602)*(1+SUMIF($Y$2:$Y$4,X602,$Z$2:$Z$4)),0)</f>
        <v>0</v>
      </c>
      <c r="Z602" s="37">
        <f t="shared" si="385"/>
        <v>0</v>
      </c>
    </row>
    <row r="603" spans="1:26" hidden="1" outlineLevel="1" x14ac:dyDescent="0.25">
      <c r="A603" s="189" t="s">
        <v>1242</v>
      </c>
      <c r="B603" s="253" t="s">
        <v>1242</v>
      </c>
      <c r="C603" s="195"/>
      <c r="D603" s="196"/>
      <c r="E603" s="196"/>
      <c r="F603" s="192"/>
      <c r="G603" s="192"/>
      <c r="H603" s="50"/>
      <c r="I603" s="49"/>
      <c r="J603" s="49"/>
      <c r="K603" s="49"/>
      <c r="L603" s="49"/>
      <c r="M603" s="49"/>
      <c r="N603" s="193"/>
      <c r="O603" s="172">
        <f>SUMIF($A$7:$A$502,A603,$O$7:$O$502)</f>
        <v>0</v>
      </c>
      <c r="P603" s="49"/>
      <c r="Q603" s="49"/>
      <c r="R603" s="49"/>
      <c r="S603" s="49"/>
      <c r="T603" s="49"/>
      <c r="U603" s="193"/>
      <c r="V603" s="173">
        <f>SUMIF($A$7:$A$502,A603,$V$7:$V$502)</f>
        <v>0</v>
      </c>
      <c r="W603" s="197"/>
      <c r="X603" s="165" t="s">
        <v>1004</v>
      </c>
      <c r="Y603" s="37">
        <f>+ROUND((O603+V603)*(1+SUMIF($Y$2:$Y$4,X603,$Z$2:$Z$4)),0)</f>
        <v>0</v>
      </c>
      <c r="Z603" s="37">
        <f t="shared" si="385"/>
        <v>0</v>
      </c>
    </row>
    <row r="604" spans="1:26" hidden="1" outlineLevel="1" x14ac:dyDescent="0.25">
      <c r="A604" s="189" t="s">
        <v>1243</v>
      </c>
      <c r="B604" s="252" t="s">
        <v>1244</v>
      </c>
      <c r="C604" s="190"/>
      <c r="D604" s="191"/>
      <c r="E604" s="191"/>
      <c r="F604" s="192"/>
      <c r="G604" s="192"/>
      <c r="H604" s="48"/>
      <c r="I604" s="49"/>
      <c r="J604" s="49"/>
      <c r="K604" s="49"/>
      <c r="L604" s="49"/>
      <c r="M604" s="49"/>
      <c r="N604" s="193"/>
      <c r="O604" s="172">
        <f>SUMIF($A$7:$A$502,A604,$O$7:$O$502)</f>
        <v>0</v>
      </c>
      <c r="P604" s="49"/>
      <c r="Q604" s="49"/>
      <c r="R604" s="49"/>
      <c r="S604" s="49"/>
      <c r="T604" s="49"/>
      <c r="U604" s="193"/>
      <c r="V604" s="173">
        <f>SUMIF($A$7:$A$502,A604,$V$7:$V$502)</f>
        <v>0</v>
      </c>
      <c r="W604" s="194"/>
      <c r="X604" s="165" t="s">
        <v>1004</v>
      </c>
      <c r="Y604" s="37">
        <f>+ROUND((O604+V604)*(1+SUMIF($Y$2:$Y$4,X604,$Z$2:$Z$4)),0)</f>
        <v>0</v>
      </c>
      <c r="Z604" s="37">
        <f t="shared" si="385"/>
        <v>0</v>
      </c>
    </row>
    <row r="605" spans="1:26" hidden="1" outlineLevel="1" x14ac:dyDescent="0.25">
      <c r="A605" s="189" t="s">
        <v>1245</v>
      </c>
      <c r="B605" s="253" t="s">
        <v>1246</v>
      </c>
      <c r="C605" s="195"/>
      <c r="D605" s="196"/>
      <c r="E605" s="196"/>
      <c r="F605" s="192"/>
      <c r="G605" s="192"/>
      <c r="H605" s="50"/>
      <c r="I605" s="49"/>
      <c r="J605" s="49"/>
      <c r="K605" s="49"/>
      <c r="L605" s="49"/>
      <c r="M605" s="49"/>
      <c r="N605" s="193"/>
      <c r="O605" s="172">
        <f>SUMIF($A$7:$A$502,A605,$O$7:$O$502)</f>
        <v>0</v>
      </c>
      <c r="P605" s="49"/>
      <c r="Q605" s="49"/>
      <c r="R605" s="49"/>
      <c r="S605" s="49"/>
      <c r="T605" s="49"/>
      <c r="U605" s="193"/>
      <c r="V605" s="173">
        <f>SUMIF($A$7:$A$502,A605,$V$7:$V$502)</f>
        <v>0</v>
      </c>
      <c r="W605" s="197"/>
      <c r="X605" s="165" t="s">
        <v>1004</v>
      </c>
      <c r="Y605" s="37">
        <f>+ROUND((O605+V605)*(1+SUMIF($Y$2:$Y$4,X605,$Z$2:$Z$4)),0)</f>
        <v>0</v>
      </c>
      <c r="Z605" s="37">
        <f t="shared" si="385"/>
        <v>0</v>
      </c>
    </row>
    <row r="606" spans="1:26" hidden="1" outlineLevel="1" x14ac:dyDescent="0.25">
      <c r="A606" s="189" t="s">
        <v>1247</v>
      </c>
      <c r="B606" s="252" t="s">
        <v>1248</v>
      </c>
      <c r="C606" s="190"/>
      <c r="D606" s="191"/>
      <c r="E606" s="191"/>
      <c r="F606" s="192"/>
      <c r="G606" s="192"/>
      <c r="H606" s="48"/>
      <c r="I606" s="49"/>
      <c r="J606" s="49"/>
      <c r="K606" s="49"/>
      <c r="L606" s="49"/>
      <c r="M606" s="49"/>
      <c r="N606" s="193"/>
      <c r="O606" s="172">
        <f>SUMIF($A$7:$A$502,A606,$O$7:$O$502)</f>
        <v>0</v>
      </c>
      <c r="P606" s="49"/>
      <c r="Q606" s="49"/>
      <c r="R606" s="49"/>
      <c r="S606" s="49"/>
      <c r="T606" s="49"/>
      <c r="U606" s="193"/>
      <c r="V606" s="173">
        <f>SUMIF($A$7:$A$502,A606,$V$7:$V$502)</f>
        <v>0</v>
      </c>
      <c r="W606" s="194"/>
      <c r="X606" s="165" t="s">
        <v>1004</v>
      </c>
      <c r="Y606" s="37">
        <f>+ROUND((O606+V606)*(1+SUMIF($Y$2:$Y$4,X606,$Z$2:$Z$4)),0)</f>
        <v>0</v>
      </c>
      <c r="Z606" s="37">
        <f t="shared" si="385"/>
        <v>0</v>
      </c>
    </row>
    <row r="607" spans="1:26" hidden="1" outlineLevel="1" x14ac:dyDescent="0.25">
      <c r="A607" s="189" t="s">
        <v>1249</v>
      </c>
      <c r="B607" s="253" t="s">
        <v>1250</v>
      </c>
      <c r="C607" s="195"/>
      <c r="D607" s="196"/>
      <c r="E607" s="196"/>
      <c r="F607" s="192"/>
      <c r="G607" s="192"/>
      <c r="H607" s="50"/>
      <c r="I607" s="49"/>
      <c r="J607" s="49"/>
      <c r="K607" s="49"/>
      <c r="L607" s="49"/>
      <c r="M607" s="49"/>
      <c r="N607" s="193"/>
      <c r="O607" s="172">
        <f>SUMIF($A$7:$A$502,A607,$O$7:$O$502)</f>
        <v>0</v>
      </c>
      <c r="P607" s="49"/>
      <c r="Q607" s="49"/>
      <c r="R607" s="49"/>
      <c r="S607" s="49"/>
      <c r="T607" s="49"/>
      <c r="U607" s="193"/>
      <c r="V607" s="173">
        <f>SUMIF($A$7:$A$502,A607,$V$7:$V$502)</f>
        <v>0</v>
      </c>
      <c r="W607" s="197"/>
      <c r="X607" s="165" t="s">
        <v>1004</v>
      </c>
      <c r="Y607" s="37">
        <f>+ROUND((O607+V607)*(1+SUMIF($Y$2:$Y$4,X607,$Z$2:$Z$4)),0)</f>
        <v>0</v>
      </c>
      <c r="Z607" s="37">
        <f t="shared" si="385"/>
        <v>0</v>
      </c>
    </row>
    <row r="608" spans="1:26" hidden="1" outlineLevel="1" x14ac:dyDescent="0.25">
      <c r="A608" s="189" t="s">
        <v>1251</v>
      </c>
      <c r="B608" s="252" t="s">
        <v>1252</v>
      </c>
      <c r="C608" s="190"/>
      <c r="D608" s="191"/>
      <c r="E608" s="191"/>
      <c r="F608" s="192"/>
      <c r="G608" s="192"/>
      <c r="H608" s="48"/>
      <c r="I608" s="49"/>
      <c r="J608" s="49"/>
      <c r="K608" s="49"/>
      <c r="L608" s="49"/>
      <c r="M608" s="49"/>
      <c r="N608" s="193"/>
      <c r="O608" s="172">
        <f>SUMIF($A$7:$A$502,A608,$O$7:$O$502)</f>
        <v>0</v>
      </c>
      <c r="P608" s="49"/>
      <c r="Q608" s="49"/>
      <c r="R608" s="49"/>
      <c r="S608" s="49"/>
      <c r="T608" s="49"/>
      <c r="U608" s="193"/>
      <c r="V608" s="173">
        <f>SUMIF($A$7:$A$502,A608,$V$7:$V$502)</f>
        <v>0</v>
      </c>
      <c r="W608" s="194"/>
      <c r="X608" s="165" t="s">
        <v>1004</v>
      </c>
      <c r="Y608" s="37">
        <f>+ROUND((O608+V608)*(1+SUMIF($Y$2:$Y$4,X608,$Z$2:$Z$4)),0)</f>
        <v>0</v>
      </c>
      <c r="Z608" s="37">
        <f t="shared" si="385"/>
        <v>0</v>
      </c>
    </row>
    <row r="609" spans="1:26" hidden="1" outlineLevel="1" x14ac:dyDescent="0.25">
      <c r="A609" s="189" t="s">
        <v>1253</v>
      </c>
      <c r="B609" s="253" t="s">
        <v>1254</v>
      </c>
      <c r="C609" s="195"/>
      <c r="D609" s="196"/>
      <c r="E609" s="196"/>
      <c r="F609" s="192"/>
      <c r="G609" s="192"/>
      <c r="H609" s="50"/>
      <c r="I609" s="49"/>
      <c r="J609" s="49"/>
      <c r="K609" s="49"/>
      <c r="L609" s="49"/>
      <c r="M609" s="49"/>
      <c r="N609" s="193"/>
      <c r="O609" s="172">
        <f>SUMIF($A$7:$A$502,A609,$O$7:$O$502)</f>
        <v>0</v>
      </c>
      <c r="P609" s="49"/>
      <c r="Q609" s="49"/>
      <c r="R609" s="49"/>
      <c r="S609" s="49"/>
      <c r="T609" s="49"/>
      <c r="U609" s="193"/>
      <c r="V609" s="173">
        <f>SUMIF($A$7:$A$502,A609,$V$7:$V$502)</f>
        <v>0</v>
      </c>
      <c r="W609" s="197"/>
      <c r="X609" s="165" t="s">
        <v>1004</v>
      </c>
      <c r="Y609" s="37">
        <f>+ROUND((O609+V609)*(1+SUMIF($Y$2:$Y$4,X609,$Z$2:$Z$4)),0)</f>
        <v>0</v>
      </c>
      <c r="Z609" s="37">
        <f t="shared" si="385"/>
        <v>0</v>
      </c>
    </row>
    <row r="610" spans="1:26" hidden="1" outlineLevel="1" x14ac:dyDescent="0.25">
      <c r="A610" s="189" t="s">
        <v>1255</v>
      </c>
      <c r="B610" s="252" t="s">
        <v>1256</v>
      </c>
      <c r="C610" s="190"/>
      <c r="D610" s="191"/>
      <c r="E610" s="191"/>
      <c r="F610" s="192"/>
      <c r="G610" s="192"/>
      <c r="H610" s="48"/>
      <c r="I610" s="49"/>
      <c r="J610" s="49"/>
      <c r="K610" s="49"/>
      <c r="L610" s="49"/>
      <c r="M610" s="49"/>
      <c r="N610" s="193"/>
      <c r="O610" s="172">
        <f>SUMIF($A$7:$A$502,A610,$O$7:$O$502)</f>
        <v>0</v>
      </c>
      <c r="P610" s="49"/>
      <c r="Q610" s="49"/>
      <c r="R610" s="49"/>
      <c r="S610" s="49"/>
      <c r="T610" s="49"/>
      <c r="U610" s="193"/>
      <c r="V610" s="173">
        <f>SUMIF($A$7:$A$502,A610,$V$7:$V$502)</f>
        <v>0</v>
      </c>
      <c r="W610" s="194"/>
      <c r="X610" s="165" t="s">
        <v>1004</v>
      </c>
      <c r="Y610" s="37">
        <f>+ROUND((O610+V610)*(1+SUMIF($Y$2:$Y$4,X610,$Z$2:$Z$4)),0)</f>
        <v>0</v>
      </c>
      <c r="Z610" s="37">
        <f t="shared" ref="Z610:Z641" si="386">+ROUND((T610+W610)*(1+SUMIF($Y$2:$Y$4,Y610,$Z$2:$Z$4)),0)</f>
        <v>0</v>
      </c>
    </row>
    <row r="611" spans="1:26" hidden="1" outlineLevel="1" x14ac:dyDescent="0.25">
      <c r="A611" s="189" t="s">
        <v>1257</v>
      </c>
      <c r="B611" s="253" t="s">
        <v>1257</v>
      </c>
      <c r="C611" s="195"/>
      <c r="D611" s="196"/>
      <c r="E611" s="196"/>
      <c r="F611" s="192"/>
      <c r="G611" s="192"/>
      <c r="H611" s="50"/>
      <c r="I611" s="49"/>
      <c r="J611" s="49"/>
      <c r="K611" s="49"/>
      <c r="L611" s="49"/>
      <c r="M611" s="49"/>
      <c r="N611" s="193"/>
      <c r="O611" s="172">
        <f>SUMIF($A$7:$A$502,A611,$O$7:$O$502)</f>
        <v>0</v>
      </c>
      <c r="P611" s="49"/>
      <c r="Q611" s="49"/>
      <c r="R611" s="49"/>
      <c r="S611" s="49"/>
      <c r="T611" s="49"/>
      <c r="U611" s="193"/>
      <c r="V611" s="173">
        <f>SUMIF($A$7:$A$502,A611,$V$7:$V$502)</f>
        <v>0</v>
      </c>
      <c r="W611" s="197"/>
      <c r="X611" s="165" t="s">
        <v>1004</v>
      </c>
      <c r="Y611" s="37">
        <f>+ROUND((O611+V611)*(1+SUMIF($Y$2:$Y$4,X611,$Z$2:$Z$4)),0)</f>
        <v>0</v>
      </c>
      <c r="Z611" s="37">
        <f t="shared" si="386"/>
        <v>0</v>
      </c>
    </row>
    <row r="612" spans="1:26" hidden="1" outlineLevel="1" x14ac:dyDescent="0.25">
      <c r="A612" s="189" t="s">
        <v>1258</v>
      </c>
      <c r="B612" s="252" t="s">
        <v>1259</v>
      </c>
      <c r="C612" s="190"/>
      <c r="D612" s="191"/>
      <c r="E612" s="191"/>
      <c r="F612" s="192"/>
      <c r="G612" s="192"/>
      <c r="H612" s="48"/>
      <c r="I612" s="49"/>
      <c r="J612" s="49"/>
      <c r="K612" s="49"/>
      <c r="L612" s="49"/>
      <c r="M612" s="49"/>
      <c r="N612" s="193"/>
      <c r="O612" s="172">
        <f>SUMIF($A$7:$A$502,A612,$O$7:$O$502)</f>
        <v>0</v>
      </c>
      <c r="P612" s="49"/>
      <c r="Q612" s="49"/>
      <c r="R612" s="49"/>
      <c r="S612" s="49"/>
      <c r="T612" s="49"/>
      <c r="U612" s="193"/>
      <c r="V612" s="173">
        <f>SUMIF($A$7:$A$502,A612,$V$7:$V$502)</f>
        <v>0</v>
      </c>
      <c r="W612" s="194"/>
      <c r="X612" s="165" t="s">
        <v>1004</v>
      </c>
      <c r="Y612" s="37">
        <f>+ROUND((O612+V612)*(1+SUMIF($Y$2:$Y$4,X612,$Z$2:$Z$4)),0)</f>
        <v>0</v>
      </c>
      <c r="Z612" s="37">
        <f t="shared" si="386"/>
        <v>0</v>
      </c>
    </row>
    <row r="613" spans="1:26" hidden="1" outlineLevel="1" x14ac:dyDescent="0.25">
      <c r="A613" s="189" t="s">
        <v>1260</v>
      </c>
      <c r="B613" s="253" t="s">
        <v>1261</v>
      </c>
      <c r="C613" s="195"/>
      <c r="D613" s="196"/>
      <c r="E613" s="196"/>
      <c r="F613" s="192"/>
      <c r="G613" s="192"/>
      <c r="H613" s="50"/>
      <c r="I613" s="49"/>
      <c r="J613" s="49"/>
      <c r="K613" s="49"/>
      <c r="L613" s="49"/>
      <c r="M613" s="49"/>
      <c r="N613" s="193"/>
      <c r="O613" s="172">
        <f>SUMIF($A$7:$A$502,A613,$O$7:$O$502)</f>
        <v>0</v>
      </c>
      <c r="P613" s="49"/>
      <c r="Q613" s="49"/>
      <c r="R613" s="49"/>
      <c r="S613" s="49"/>
      <c r="T613" s="49"/>
      <c r="U613" s="193"/>
      <c r="V613" s="173">
        <f>SUMIF($A$7:$A$502,A613,$V$7:$V$502)</f>
        <v>0</v>
      </c>
      <c r="W613" s="197"/>
      <c r="X613" s="165" t="s">
        <v>1004</v>
      </c>
      <c r="Y613" s="37">
        <f>+ROUND((O613+V613)*(1+SUMIF($Y$2:$Y$4,X613,$Z$2:$Z$4)),0)</f>
        <v>0</v>
      </c>
      <c r="Z613" s="37">
        <f t="shared" si="386"/>
        <v>0</v>
      </c>
    </row>
    <row r="614" spans="1:26" hidden="1" outlineLevel="1" x14ac:dyDescent="0.25">
      <c r="A614" s="189" t="s">
        <v>1262</v>
      </c>
      <c r="B614" s="252" t="s">
        <v>1263</v>
      </c>
      <c r="C614" s="190"/>
      <c r="D614" s="191"/>
      <c r="E614" s="191"/>
      <c r="F614" s="192"/>
      <c r="G614" s="192"/>
      <c r="H614" s="48"/>
      <c r="I614" s="49"/>
      <c r="J614" s="49"/>
      <c r="K614" s="49"/>
      <c r="L614" s="49"/>
      <c r="M614" s="49"/>
      <c r="N614" s="193"/>
      <c r="O614" s="172">
        <f>SUMIF($A$7:$A$502,A614,$O$7:$O$502)</f>
        <v>0</v>
      </c>
      <c r="P614" s="49"/>
      <c r="Q614" s="49"/>
      <c r="R614" s="49"/>
      <c r="S614" s="49"/>
      <c r="T614" s="49"/>
      <c r="U614" s="193"/>
      <c r="V614" s="173">
        <f>SUMIF($A$7:$A$502,A614,$V$7:$V$502)</f>
        <v>0</v>
      </c>
      <c r="W614" s="194"/>
      <c r="X614" s="165" t="s">
        <v>1004</v>
      </c>
      <c r="Y614" s="37">
        <f>+ROUND((O614+V614)*(1+SUMIF($Y$2:$Y$4,X614,$Z$2:$Z$4)),0)</f>
        <v>0</v>
      </c>
      <c r="Z614" s="37">
        <f t="shared" si="386"/>
        <v>0</v>
      </c>
    </row>
    <row r="615" spans="1:26" hidden="1" outlineLevel="1" x14ac:dyDescent="0.25">
      <c r="A615" s="189" t="s">
        <v>1264</v>
      </c>
      <c r="B615" s="253" t="s">
        <v>1265</v>
      </c>
      <c r="C615" s="195"/>
      <c r="D615" s="196"/>
      <c r="E615" s="196"/>
      <c r="F615" s="192"/>
      <c r="G615" s="192"/>
      <c r="H615" s="50"/>
      <c r="I615" s="49"/>
      <c r="J615" s="49"/>
      <c r="K615" s="49"/>
      <c r="L615" s="49"/>
      <c r="M615" s="49"/>
      <c r="N615" s="193"/>
      <c r="O615" s="172">
        <f>SUMIF($A$7:$A$502,A615,$O$7:$O$502)</f>
        <v>0</v>
      </c>
      <c r="P615" s="49"/>
      <c r="Q615" s="49"/>
      <c r="R615" s="49"/>
      <c r="S615" s="49"/>
      <c r="T615" s="49"/>
      <c r="U615" s="193"/>
      <c r="V615" s="173">
        <f>SUMIF($A$7:$A$502,A615,$V$7:$V$502)</f>
        <v>0</v>
      </c>
      <c r="W615" s="197"/>
      <c r="X615" s="165" t="s">
        <v>1004</v>
      </c>
      <c r="Y615" s="37">
        <f>+ROUND((O615+V615)*(1+SUMIF($Y$2:$Y$4,X615,$Z$2:$Z$4)),0)</f>
        <v>0</v>
      </c>
      <c r="Z615" s="37">
        <f t="shared" si="386"/>
        <v>0</v>
      </c>
    </row>
    <row r="616" spans="1:26" hidden="1" outlineLevel="1" x14ac:dyDescent="0.25">
      <c r="A616" s="189" t="s">
        <v>1266</v>
      </c>
      <c r="B616" s="252" t="s">
        <v>1267</v>
      </c>
      <c r="C616" s="190"/>
      <c r="D616" s="191"/>
      <c r="E616" s="191"/>
      <c r="F616" s="192"/>
      <c r="G616" s="192"/>
      <c r="H616" s="48"/>
      <c r="I616" s="49"/>
      <c r="J616" s="49"/>
      <c r="K616" s="49"/>
      <c r="L616" s="49"/>
      <c r="M616" s="49"/>
      <c r="N616" s="193"/>
      <c r="O616" s="172">
        <f>SUMIF($A$7:$A$502,A616,$O$7:$O$502)</f>
        <v>0</v>
      </c>
      <c r="P616" s="49"/>
      <c r="Q616" s="49"/>
      <c r="R616" s="49"/>
      <c r="S616" s="49"/>
      <c r="T616" s="49"/>
      <c r="U616" s="193"/>
      <c r="V616" s="173">
        <f>SUMIF($A$7:$A$502,A616,$V$7:$V$502)</f>
        <v>0</v>
      </c>
      <c r="W616" s="194"/>
      <c r="X616" s="165" t="s">
        <v>1004</v>
      </c>
      <c r="Y616" s="37">
        <f>+ROUND((O616+V616)*(1+SUMIF($Y$2:$Y$4,X616,$Z$2:$Z$4)),0)</f>
        <v>0</v>
      </c>
      <c r="Z616" s="37">
        <f t="shared" si="386"/>
        <v>0</v>
      </c>
    </row>
    <row r="617" spans="1:26" hidden="1" outlineLevel="1" x14ac:dyDescent="0.25">
      <c r="A617" s="189" t="s">
        <v>1268</v>
      </c>
      <c r="B617" s="253" t="s">
        <v>1269</v>
      </c>
      <c r="C617" s="195"/>
      <c r="D617" s="196"/>
      <c r="E617" s="196"/>
      <c r="F617" s="192"/>
      <c r="G617" s="192"/>
      <c r="H617" s="50"/>
      <c r="I617" s="49"/>
      <c r="J617" s="49"/>
      <c r="K617" s="49"/>
      <c r="L617" s="49"/>
      <c r="M617" s="49"/>
      <c r="N617" s="193"/>
      <c r="O617" s="172">
        <f>SUMIF($A$7:$A$502,A617,$O$7:$O$502)</f>
        <v>0</v>
      </c>
      <c r="P617" s="49"/>
      <c r="Q617" s="49"/>
      <c r="R617" s="49"/>
      <c r="S617" s="49"/>
      <c r="T617" s="49"/>
      <c r="U617" s="193"/>
      <c r="V617" s="173">
        <f>SUMIF($A$7:$A$502,A617,$V$7:$V$502)</f>
        <v>0</v>
      </c>
      <c r="W617" s="197"/>
      <c r="X617" s="165" t="s">
        <v>1004</v>
      </c>
      <c r="Y617" s="37">
        <f>+ROUND((O617+V617)*(1+SUMIF($Y$2:$Y$4,X617,$Z$2:$Z$4)),0)</f>
        <v>0</v>
      </c>
      <c r="Z617" s="37">
        <f t="shared" si="386"/>
        <v>0</v>
      </c>
    </row>
    <row r="618" spans="1:26" hidden="1" outlineLevel="1" x14ac:dyDescent="0.25">
      <c r="A618" s="189" t="s">
        <v>1270</v>
      </c>
      <c r="B618" s="252" t="s">
        <v>1271</v>
      </c>
      <c r="C618" s="190"/>
      <c r="D618" s="191"/>
      <c r="E618" s="191"/>
      <c r="F618" s="192"/>
      <c r="G618" s="192"/>
      <c r="H618" s="48"/>
      <c r="I618" s="49"/>
      <c r="J618" s="49"/>
      <c r="K618" s="49"/>
      <c r="L618" s="49"/>
      <c r="M618" s="49"/>
      <c r="N618" s="193"/>
      <c r="O618" s="172">
        <f>SUMIF($A$7:$A$502,A618,$O$7:$O$502)</f>
        <v>0</v>
      </c>
      <c r="P618" s="49"/>
      <c r="Q618" s="49"/>
      <c r="R618" s="49"/>
      <c r="S618" s="49"/>
      <c r="T618" s="49"/>
      <c r="U618" s="193"/>
      <c r="V618" s="173">
        <f>SUMIF($A$7:$A$502,A618,$V$7:$V$502)</f>
        <v>0</v>
      </c>
      <c r="W618" s="194"/>
      <c r="X618" s="165" t="s">
        <v>1004</v>
      </c>
      <c r="Y618" s="37">
        <f>+ROUND((O618+V618)*(1+SUMIF($Y$2:$Y$4,X618,$Z$2:$Z$4)),0)</f>
        <v>0</v>
      </c>
      <c r="Z618" s="37">
        <f t="shared" si="386"/>
        <v>0</v>
      </c>
    </row>
    <row r="619" spans="1:26" hidden="1" outlineLevel="1" x14ac:dyDescent="0.25">
      <c r="A619" s="189" t="s">
        <v>1272</v>
      </c>
      <c r="B619" s="253" t="s">
        <v>1273</v>
      </c>
      <c r="C619" s="195"/>
      <c r="D619" s="196"/>
      <c r="E619" s="196"/>
      <c r="F619" s="192"/>
      <c r="G619" s="192"/>
      <c r="H619" s="50"/>
      <c r="I619" s="49"/>
      <c r="J619" s="49"/>
      <c r="K619" s="49"/>
      <c r="L619" s="49"/>
      <c r="M619" s="49"/>
      <c r="N619" s="193"/>
      <c r="O619" s="172">
        <f>SUMIF($A$7:$A$502,A619,$O$7:$O$502)</f>
        <v>0</v>
      </c>
      <c r="P619" s="49"/>
      <c r="Q619" s="49"/>
      <c r="R619" s="49"/>
      <c r="S619" s="49"/>
      <c r="T619" s="49"/>
      <c r="U619" s="193"/>
      <c r="V619" s="173">
        <f>SUMIF($A$7:$A$502,A619,$V$7:$V$502)</f>
        <v>0</v>
      </c>
      <c r="W619" s="197"/>
      <c r="X619" s="165" t="s">
        <v>1004</v>
      </c>
      <c r="Y619" s="37">
        <f>+ROUND((O619+V619)*(1+SUMIF($Y$2:$Y$4,X619,$Z$2:$Z$4)),0)</f>
        <v>0</v>
      </c>
      <c r="Z619" s="37">
        <f t="shared" si="386"/>
        <v>0</v>
      </c>
    </row>
    <row r="620" spans="1:26" hidden="1" outlineLevel="1" x14ac:dyDescent="0.25">
      <c r="A620" s="189" t="s">
        <v>1274</v>
      </c>
      <c r="B620" s="252" t="s">
        <v>1275</v>
      </c>
      <c r="C620" s="190"/>
      <c r="D620" s="191"/>
      <c r="E620" s="191"/>
      <c r="F620" s="192"/>
      <c r="G620" s="192"/>
      <c r="H620" s="48"/>
      <c r="I620" s="49"/>
      <c r="J620" s="49"/>
      <c r="K620" s="49"/>
      <c r="L620" s="49"/>
      <c r="M620" s="49"/>
      <c r="N620" s="193"/>
      <c r="O620" s="172">
        <f>SUMIF($A$7:$A$502,A620,$O$7:$O$502)</f>
        <v>0</v>
      </c>
      <c r="P620" s="49"/>
      <c r="Q620" s="49"/>
      <c r="R620" s="49"/>
      <c r="S620" s="49"/>
      <c r="T620" s="49"/>
      <c r="U620" s="193"/>
      <c r="V620" s="173">
        <f>SUMIF($A$7:$A$502,A620,$V$7:$V$502)</f>
        <v>0</v>
      </c>
      <c r="W620" s="194"/>
      <c r="X620" s="165" t="s">
        <v>1004</v>
      </c>
      <c r="Y620" s="37">
        <f>+ROUND((O620+V620)*(1+SUMIF($Y$2:$Y$4,X620,$Z$2:$Z$4)),0)</f>
        <v>0</v>
      </c>
      <c r="Z620" s="37">
        <f t="shared" si="386"/>
        <v>0</v>
      </c>
    </row>
    <row r="621" spans="1:26" hidden="1" outlineLevel="1" x14ac:dyDescent="0.25">
      <c r="A621" s="189" t="s">
        <v>1276</v>
      </c>
      <c r="B621" s="253" t="s">
        <v>1276</v>
      </c>
      <c r="C621" s="195"/>
      <c r="D621" s="196"/>
      <c r="E621" s="196"/>
      <c r="F621" s="192"/>
      <c r="G621" s="192"/>
      <c r="H621" s="50"/>
      <c r="I621" s="49"/>
      <c r="J621" s="49"/>
      <c r="K621" s="49"/>
      <c r="L621" s="49"/>
      <c r="M621" s="49"/>
      <c r="N621" s="193"/>
      <c r="O621" s="172">
        <f>SUMIF($A$7:$A$502,A621,$O$7:$O$502)</f>
        <v>0</v>
      </c>
      <c r="P621" s="49"/>
      <c r="Q621" s="49"/>
      <c r="R621" s="49"/>
      <c r="S621" s="49"/>
      <c r="T621" s="49"/>
      <c r="U621" s="193"/>
      <c r="V621" s="173">
        <f>SUMIF($A$7:$A$502,A621,$V$7:$V$502)</f>
        <v>0</v>
      </c>
      <c r="W621" s="197"/>
      <c r="X621" s="165" t="s">
        <v>1004</v>
      </c>
      <c r="Y621" s="37">
        <f>+ROUND((O621+V621)*(1+SUMIF($Y$2:$Y$4,X621,$Z$2:$Z$4)),0)</f>
        <v>0</v>
      </c>
      <c r="Z621" s="37">
        <f t="shared" si="386"/>
        <v>0</v>
      </c>
    </row>
    <row r="622" spans="1:26" hidden="1" outlineLevel="1" x14ac:dyDescent="0.25">
      <c r="A622" s="189" t="s">
        <v>1277</v>
      </c>
      <c r="B622" s="252" t="s">
        <v>1278</v>
      </c>
      <c r="C622" s="190"/>
      <c r="D622" s="191"/>
      <c r="E622" s="191"/>
      <c r="F622" s="192"/>
      <c r="G622" s="192"/>
      <c r="H622" s="48"/>
      <c r="I622" s="49"/>
      <c r="J622" s="49"/>
      <c r="K622" s="49"/>
      <c r="L622" s="49"/>
      <c r="M622" s="49"/>
      <c r="N622" s="193"/>
      <c r="O622" s="172">
        <f>SUMIF($A$7:$A$502,A622,$O$7:$O$502)</f>
        <v>0</v>
      </c>
      <c r="P622" s="49"/>
      <c r="Q622" s="49"/>
      <c r="R622" s="49"/>
      <c r="S622" s="49"/>
      <c r="T622" s="49"/>
      <c r="U622" s="193"/>
      <c r="V622" s="173">
        <f>SUMIF($A$7:$A$502,A622,$V$7:$V$502)</f>
        <v>0</v>
      </c>
      <c r="W622" s="194"/>
      <c r="X622" s="165" t="s">
        <v>1004</v>
      </c>
      <c r="Y622" s="37">
        <f>+ROUND((O622+V622)*(1+SUMIF($Y$2:$Y$4,X622,$Z$2:$Z$4)),0)</f>
        <v>0</v>
      </c>
      <c r="Z622" s="37">
        <f t="shared" si="386"/>
        <v>0</v>
      </c>
    </row>
    <row r="623" spans="1:26" hidden="1" outlineLevel="1" x14ac:dyDescent="0.25">
      <c r="A623" s="189" t="s">
        <v>1279</v>
      </c>
      <c r="B623" s="253" t="s">
        <v>1280</v>
      </c>
      <c r="C623" s="195"/>
      <c r="D623" s="196"/>
      <c r="E623" s="196"/>
      <c r="F623" s="192"/>
      <c r="G623" s="192"/>
      <c r="H623" s="50"/>
      <c r="I623" s="49"/>
      <c r="J623" s="49"/>
      <c r="K623" s="49"/>
      <c r="L623" s="49"/>
      <c r="M623" s="49"/>
      <c r="N623" s="193"/>
      <c r="O623" s="172">
        <f>SUMIF($A$7:$A$502,A623,$O$7:$O$502)</f>
        <v>0</v>
      </c>
      <c r="P623" s="49"/>
      <c r="Q623" s="49"/>
      <c r="R623" s="49"/>
      <c r="S623" s="49"/>
      <c r="T623" s="49"/>
      <c r="U623" s="193"/>
      <c r="V623" s="173">
        <f>SUMIF($A$7:$A$502,A623,$V$7:$V$502)</f>
        <v>0</v>
      </c>
      <c r="W623" s="197"/>
      <c r="X623" s="165" t="s">
        <v>1004</v>
      </c>
      <c r="Y623" s="37">
        <f>+ROUND((O623+V623)*(1+SUMIF($Y$2:$Y$4,X623,$Z$2:$Z$4)),0)</f>
        <v>0</v>
      </c>
      <c r="Z623" s="37">
        <f t="shared" si="386"/>
        <v>0</v>
      </c>
    </row>
    <row r="624" spans="1:26" hidden="1" outlineLevel="1" x14ac:dyDescent="0.25">
      <c r="A624" s="189" t="s">
        <v>1281</v>
      </c>
      <c r="B624" s="252" t="s">
        <v>1282</v>
      </c>
      <c r="C624" s="190"/>
      <c r="D624" s="191"/>
      <c r="E624" s="191"/>
      <c r="F624" s="192"/>
      <c r="G624" s="192"/>
      <c r="H624" s="48"/>
      <c r="I624" s="49"/>
      <c r="J624" s="49"/>
      <c r="K624" s="49"/>
      <c r="L624" s="49"/>
      <c r="M624" s="49"/>
      <c r="N624" s="193"/>
      <c r="O624" s="172">
        <f>SUMIF($A$7:$A$502,A624,$O$7:$O$502)</f>
        <v>0</v>
      </c>
      <c r="P624" s="49"/>
      <c r="Q624" s="49"/>
      <c r="R624" s="49"/>
      <c r="S624" s="49"/>
      <c r="T624" s="49"/>
      <c r="U624" s="193"/>
      <c r="V624" s="173">
        <f>SUMIF($A$7:$A$502,A624,$V$7:$V$502)</f>
        <v>0</v>
      </c>
      <c r="W624" s="194"/>
      <c r="X624" s="165" t="s">
        <v>1004</v>
      </c>
      <c r="Y624" s="37">
        <f>+ROUND((O624+V624)*(1+SUMIF($Y$2:$Y$4,X624,$Z$2:$Z$4)),0)</f>
        <v>0</v>
      </c>
      <c r="Z624" s="37">
        <f t="shared" si="386"/>
        <v>0</v>
      </c>
    </row>
    <row r="625" spans="1:26" hidden="1" outlineLevel="1" x14ac:dyDescent="0.25">
      <c r="A625" s="189" t="s">
        <v>1283</v>
      </c>
      <c r="B625" s="253" t="s">
        <v>607</v>
      </c>
      <c r="C625" s="195"/>
      <c r="D625" s="196"/>
      <c r="E625" s="196"/>
      <c r="F625" s="192"/>
      <c r="G625" s="192"/>
      <c r="H625" s="50"/>
      <c r="I625" s="49"/>
      <c r="J625" s="49"/>
      <c r="K625" s="49"/>
      <c r="L625" s="49"/>
      <c r="M625" s="49"/>
      <c r="N625" s="193"/>
      <c r="O625" s="172">
        <f>SUMIF($A$7:$A$502,A625,$O$7:$O$502)</f>
        <v>0</v>
      </c>
      <c r="P625" s="49"/>
      <c r="Q625" s="49"/>
      <c r="R625" s="49"/>
      <c r="S625" s="49"/>
      <c r="T625" s="49"/>
      <c r="U625" s="193"/>
      <c r="V625" s="173">
        <f>SUMIF($A$7:$A$502,A625,$V$7:$V$502)</f>
        <v>0</v>
      </c>
      <c r="W625" s="197"/>
      <c r="X625" s="165" t="s">
        <v>1004</v>
      </c>
      <c r="Y625" s="37">
        <f>+ROUND((O625+V625)*(1+SUMIF($Y$2:$Y$4,X625,$Z$2:$Z$4)),0)</f>
        <v>0</v>
      </c>
      <c r="Z625" s="37">
        <f t="shared" si="386"/>
        <v>0</v>
      </c>
    </row>
    <row r="626" spans="1:26" hidden="1" outlineLevel="1" x14ac:dyDescent="0.25">
      <c r="A626" s="189" t="s">
        <v>1284</v>
      </c>
      <c r="B626" s="252" t="s">
        <v>1285</v>
      </c>
      <c r="C626" s="190"/>
      <c r="D626" s="191"/>
      <c r="E626" s="191"/>
      <c r="F626" s="192"/>
      <c r="G626" s="192"/>
      <c r="H626" s="48"/>
      <c r="I626" s="49"/>
      <c r="J626" s="49"/>
      <c r="K626" s="49"/>
      <c r="L626" s="49"/>
      <c r="M626" s="49"/>
      <c r="N626" s="193"/>
      <c r="O626" s="172">
        <f>SUMIF($A$7:$A$502,A626,$O$7:$O$502)</f>
        <v>0</v>
      </c>
      <c r="P626" s="49"/>
      <c r="Q626" s="49"/>
      <c r="R626" s="49"/>
      <c r="S626" s="49"/>
      <c r="T626" s="49"/>
      <c r="U626" s="193"/>
      <c r="V626" s="173">
        <f>SUMIF($A$7:$A$502,A626,$V$7:$V$502)</f>
        <v>0</v>
      </c>
      <c r="W626" s="194"/>
      <c r="X626" s="165" t="s">
        <v>1004</v>
      </c>
      <c r="Y626" s="37">
        <f>+ROUND((O626+V626)*(1+SUMIF($Y$2:$Y$4,X626,$Z$2:$Z$4)),0)</f>
        <v>0</v>
      </c>
      <c r="Z626" s="37">
        <f t="shared" si="386"/>
        <v>0</v>
      </c>
    </row>
    <row r="627" spans="1:26" hidden="1" outlineLevel="1" x14ac:dyDescent="0.25">
      <c r="A627" s="189" t="s">
        <v>1286</v>
      </c>
      <c r="B627" s="253" t="s">
        <v>1287</v>
      </c>
      <c r="C627" s="195"/>
      <c r="D627" s="196"/>
      <c r="E627" s="196"/>
      <c r="F627" s="192"/>
      <c r="G627" s="192"/>
      <c r="H627" s="50"/>
      <c r="I627" s="49"/>
      <c r="J627" s="49"/>
      <c r="K627" s="49"/>
      <c r="L627" s="49"/>
      <c r="M627" s="49"/>
      <c r="N627" s="193"/>
      <c r="O627" s="172">
        <f>SUMIF($A$7:$A$502,A627,$O$7:$O$502)</f>
        <v>0</v>
      </c>
      <c r="P627" s="49"/>
      <c r="Q627" s="49"/>
      <c r="R627" s="49"/>
      <c r="S627" s="49"/>
      <c r="T627" s="49"/>
      <c r="U627" s="193"/>
      <c r="V627" s="173">
        <f>SUMIF($A$7:$A$502,A627,$V$7:$V$502)</f>
        <v>0</v>
      </c>
      <c r="W627" s="197"/>
      <c r="X627" s="165" t="s">
        <v>1004</v>
      </c>
      <c r="Y627" s="37">
        <f>+ROUND((O627+V627)*(1+SUMIF($Y$2:$Y$4,X627,$Z$2:$Z$4)),0)</f>
        <v>0</v>
      </c>
      <c r="Z627" s="37">
        <f t="shared" si="386"/>
        <v>0</v>
      </c>
    </row>
    <row r="628" spans="1:26" hidden="1" outlineLevel="1" x14ac:dyDescent="0.25">
      <c r="A628" s="189" t="s">
        <v>1288</v>
      </c>
      <c r="B628" s="252" t="s">
        <v>1289</v>
      </c>
      <c r="C628" s="190"/>
      <c r="D628" s="191"/>
      <c r="E628" s="191"/>
      <c r="F628" s="192"/>
      <c r="G628" s="192"/>
      <c r="H628" s="48"/>
      <c r="I628" s="49"/>
      <c r="J628" s="49"/>
      <c r="K628" s="49"/>
      <c r="L628" s="49"/>
      <c r="M628" s="49"/>
      <c r="N628" s="193"/>
      <c r="O628" s="172">
        <f>SUMIF($A$7:$A$502,A628,$O$7:$O$502)</f>
        <v>0</v>
      </c>
      <c r="P628" s="49"/>
      <c r="Q628" s="49"/>
      <c r="R628" s="49"/>
      <c r="S628" s="49"/>
      <c r="T628" s="49"/>
      <c r="U628" s="193"/>
      <c r="V628" s="173">
        <f>SUMIF($A$7:$A$502,A628,$V$7:$V$502)</f>
        <v>0</v>
      </c>
      <c r="W628" s="194"/>
      <c r="X628" s="165" t="s">
        <v>1004</v>
      </c>
      <c r="Y628" s="37">
        <f>+ROUND((O628+V628)*(1+SUMIF($Y$2:$Y$4,X628,$Z$2:$Z$4)),0)</f>
        <v>0</v>
      </c>
      <c r="Z628" s="37">
        <f t="shared" si="386"/>
        <v>0</v>
      </c>
    </row>
    <row r="629" spans="1:26" hidden="1" outlineLevel="1" x14ac:dyDescent="0.25">
      <c r="A629" s="189" t="s">
        <v>1290</v>
      </c>
      <c r="B629" s="253" t="s">
        <v>1291</v>
      </c>
      <c r="C629" s="195"/>
      <c r="D629" s="196"/>
      <c r="E629" s="196"/>
      <c r="F629" s="192"/>
      <c r="G629" s="192"/>
      <c r="H629" s="50"/>
      <c r="I629" s="49"/>
      <c r="J629" s="49"/>
      <c r="K629" s="49"/>
      <c r="L629" s="49"/>
      <c r="M629" s="49"/>
      <c r="N629" s="193"/>
      <c r="O629" s="172">
        <f>SUMIF($A$7:$A$502,A629,$O$7:$O$502)</f>
        <v>0</v>
      </c>
      <c r="P629" s="49"/>
      <c r="Q629" s="49"/>
      <c r="R629" s="49"/>
      <c r="S629" s="49"/>
      <c r="T629" s="49"/>
      <c r="U629" s="193"/>
      <c r="V629" s="173">
        <f>SUMIF($A$7:$A$502,A629,$V$7:$V$502)</f>
        <v>0</v>
      </c>
      <c r="W629" s="197"/>
      <c r="X629" s="165" t="s">
        <v>1004</v>
      </c>
      <c r="Y629" s="37">
        <f>+ROUND((O629+V629)*(1+SUMIF($Y$2:$Y$4,X629,$Z$2:$Z$4)),0)</f>
        <v>0</v>
      </c>
      <c r="Z629" s="37">
        <f t="shared" si="386"/>
        <v>0</v>
      </c>
    </row>
    <row r="630" spans="1:26" hidden="1" outlineLevel="1" x14ac:dyDescent="0.25">
      <c r="A630" s="189" t="s">
        <v>1292</v>
      </c>
      <c r="B630" s="252" t="s">
        <v>1293</v>
      </c>
      <c r="C630" s="190"/>
      <c r="D630" s="191"/>
      <c r="E630" s="191"/>
      <c r="F630" s="192"/>
      <c r="G630" s="192"/>
      <c r="H630" s="48"/>
      <c r="I630" s="49"/>
      <c r="J630" s="49"/>
      <c r="K630" s="49"/>
      <c r="L630" s="49"/>
      <c r="M630" s="49"/>
      <c r="N630" s="193"/>
      <c r="O630" s="172">
        <f>SUMIF($A$7:$A$502,A630,$O$7:$O$502)</f>
        <v>0</v>
      </c>
      <c r="P630" s="49"/>
      <c r="Q630" s="49"/>
      <c r="R630" s="49"/>
      <c r="S630" s="49"/>
      <c r="T630" s="49"/>
      <c r="U630" s="193"/>
      <c r="V630" s="173">
        <f>SUMIF($A$7:$A$502,A630,$V$7:$V$502)</f>
        <v>0</v>
      </c>
      <c r="W630" s="194"/>
      <c r="X630" s="165" t="s">
        <v>1004</v>
      </c>
      <c r="Y630" s="37">
        <f>+ROUND((O630+V630)*(1+SUMIF($Y$2:$Y$4,X630,$Z$2:$Z$4)),0)</f>
        <v>0</v>
      </c>
      <c r="Z630" s="37">
        <f t="shared" si="386"/>
        <v>0</v>
      </c>
    </row>
    <row r="631" spans="1:26" hidden="1" outlineLevel="1" x14ac:dyDescent="0.25">
      <c r="A631" s="189" t="s">
        <v>1294</v>
      </c>
      <c r="B631" s="253" t="s">
        <v>1295</v>
      </c>
      <c r="C631" s="195"/>
      <c r="D631" s="196"/>
      <c r="E631" s="196"/>
      <c r="F631" s="192"/>
      <c r="G631" s="192"/>
      <c r="H631" s="50"/>
      <c r="I631" s="49"/>
      <c r="J631" s="49"/>
      <c r="K631" s="49"/>
      <c r="L631" s="49"/>
      <c r="M631" s="49"/>
      <c r="N631" s="193"/>
      <c r="O631" s="172">
        <f>SUMIF($A$7:$A$502,A631,$O$7:$O$502)</f>
        <v>0</v>
      </c>
      <c r="P631" s="49"/>
      <c r="Q631" s="49"/>
      <c r="R631" s="49"/>
      <c r="S631" s="49"/>
      <c r="T631" s="49"/>
      <c r="U631" s="193"/>
      <c r="V631" s="173">
        <f>SUMIF($A$7:$A$502,A631,$V$7:$V$502)</f>
        <v>0</v>
      </c>
      <c r="W631" s="197"/>
      <c r="X631" s="165" t="s">
        <v>1004</v>
      </c>
      <c r="Y631" s="37">
        <f>+ROUND((O631+V631)*(1+SUMIF($Y$2:$Y$4,X631,$Z$2:$Z$4)),0)</f>
        <v>0</v>
      </c>
      <c r="Z631" s="37">
        <f t="shared" si="386"/>
        <v>0</v>
      </c>
    </row>
    <row r="632" spans="1:26" hidden="1" outlineLevel="1" x14ac:dyDescent="0.25">
      <c r="A632" s="189" t="s">
        <v>1296</v>
      </c>
      <c r="B632" s="252" t="s">
        <v>1297</v>
      </c>
      <c r="C632" s="190"/>
      <c r="D632" s="191"/>
      <c r="E632" s="191"/>
      <c r="F632" s="192"/>
      <c r="G632" s="192"/>
      <c r="H632" s="48"/>
      <c r="I632" s="49"/>
      <c r="J632" s="49"/>
      <c r="K632" s="49"/>
      <c r="L632" s="49"/>
      <c r="M632" s="49"/>
      <c r="N632" s="193"/>
      <c r="O632" s="172">
        <f>SUMIF($A$7:$A$502,A632,$O$7:$O$502)</f>
        <v>0</v>
      </c>
      <c r="P632" s="49"/>
      <c r="Q632" s="49"/>
      <c r="R632" s="49"/>
      <c r="S632" s="49"/>
      <c r="T632" s="49"/>
      <c r="U632" s="193"/>
      <c r="V632" s="173">
        <f>SUMIF($A$7:$A$502,A632,$V$7:$V$502)</f>
        <v>0</v>
      </c>
      <c r="W632" s="194"/>
      <c r="X632" s="165" t="s">
        <v>1004</v>
      </c>
      <c r="Y632" s="37">
        <f>+ROUND((O632+V632)*(1+SUMIF($Y$2:$Y$4,X632,$Z$2:$Z$4)),0)</f>
        <v>0</v>
      </c>
      <c r="Z632" s="37">
        <f t="shared" si="386"/>
        <v>0</v>
      </c>
    </row>
    <row r="633" spans="1:26" hidden="1" outlineLevel="1" x14ac:dyDescent="0.25">
      <c r="A633" s="189" t="s">
        <v>1298</v>
      </c>
      <c r="B633" s="253" t="s">
        <v>1299</v>
      </c>
      <c r="C633" s="195"/>
      <c r="D633" s="196"/>
      <c r="E633" s="196"/>
      <c r="F633" s="192"/>
      <c r="G633" s="192"/>
      <c r="H633" s="50"/>
      <c r="I633" s="49"/>
      <c r="J633" s="49"/>
      <c r="K633" s="49"/>
      <c r="L633" s="49"/>
      <c r="M633" s="49"/>
      <c r="N633" s="193"/>
      <c r="O633" s="172">
        <f>SUMIF($A$7:$A$502,A633,$O$7:$O$502)</f>
        <v>0</v>
      </c>
      <c r="P633" s="49"/>
      <c r="Q633" s="49"/>
      <c r="R633" s="49"/>
      <c r="S633" s="49"/>
      <c r="T633" s="49"/>
      <c r="U633" s="193"/>
      <c r="V633" s="173">
        <f>SUMIF($A$7:$A$502,A633,$V$7:$V$502)</f>
        <v>0</v>
      </c>
      <c r="W633" s="197"/>
      <c r="X633" s="165" t="s">
        <v>1004</v>
      </c>
      <c r="Y633" s="37">
        <f>+ROUND((O633+V633)*(1+SUMIF($Y$2:$Y$4,X633,$Z$2:$Z$4)),0)</f>
        <v>0</v>
      </c>
      <c r="Z633" s="37">
        <f t="shared" si="386"/>
        <v>0</v>
      </c>
    </row>
    <row r="634" spans="1:26" hidden="1" outlineLevel="1" x14ac:dyDescent="0.25">
      <c r="A634" s="189" t="s">
        <v>1300</v>
      </c>
      <c r="B634" s="252" t="s">
        <v>1301</v>
      </c>
      <c r="C634" s="190"/>
      <c r="D634" s="191"/>
      <c r="E634" s="191"/>
      <c r="F634" s="192"/>
      <c r="G634" s="192"/>
      <c r="H634" s="48"/>
      <c r="I634" s="49"/>
      <c r="J634" s="49"/>
      <c r="K634" s="49"/>
      <c r="L634" s="49"/>
      <c r="M634" s="49"/>
      <c r="N634" s="193"/>
      <c r="O634" s="172">
        <f>SUMIF($A$7:$A$502,A634,$O$7:$O$502)</f>
        <v>0</v>
      </c>
      <c r="P634" s="49"/>
      <c r="Q634" s="49"/>
      <c r="R634" s="49"/>
      <c r="S634" s="49"/>
      <c r="T634" s="49"/>
      <c r="U634" s="193"/>
      <c r="V634" s="173">
        <f>SUMIF($A$7:$A$502,A634,$V$7:$V$502)</f>
        <v>0</v>
      </c>
      <c r="W634" s="194"/>
      <c r="X634" s="165" t="s">
        <v>1004</v>
      </c>
      <c r="Y634" s="37">
        <f>+ROUND((O634+V634)*(1+SUMIF($Y$2:$Y$4,X634,$Z$2:$Z$4)),0)</f>
        <v>0</v>
      </c>
      <c r="Z634" s="37">
        <f t="shared" si="386"/>
        <v>0</v>
      </c>
    </row>
    <row r="635" spans="1:26" hidden="1" outlineLevel="1" x14ac:dyDescent="0.25">
      <c r="A635" s="189" t="s">
        <v>1302</v>
      </c>
      <c r="B635" s="253" t="s">
        <v>1303</v>
      </c>
      <c r="C635" s="195"/>
      <c r="D635" s="196"/>
      <c r="E635" s="196"/>
      <c r="F635" s="192"/>
      <c r="G635" s="192"/>
      <c r="H635" s="50"/>
      <c r="I635" s="49"/>
      <c r="J635" s="49"/>
      <c r="K635" s="49"/>
      <c r="L635" s="49"/>
      <c r="M635" s="49"/>
      <c r="N635" s="193"/>
      <c r="O635" s="172">
        <f>SUMIF($A$7:$A$502,A635,$O$7:$O$502)</f>
        <v>0</v>
      </c>
      <c r="P635" s="49"/>
      <c r="Q635" s="49"/>
      <c r="R635" s="49"/>
      <c r="S635" s="49"/>
      <c r="T635" s="49"/>
      <c r="U635" s="193"/>
      <c r="V635" s="173">
        <f>SUMIF($A$7:$A$502,A635,$V$7:$V$502)</f>
        <v>0</v>
      </c>
      <c r="W635" s="197"/>
      <c r="X635" s="165" t="s">
        <v>1004</v>
      </c>
      <c r="Y635" s="37">
        <f>+ROUND((O635+V635)*(1+SUMIF($Y$2:$Y$4,X635,$Z$2:$Z$4)),0)</f>
        <v>0</v>
      </c>
      <c r="Z635" s="37">
        <f t="shared" si="386"/>
        <v>0</v>
      </c>
    </row>
    <row r="636" spans="1:26" hidden="1" outlineLevel="1" x14ac:dyDescent="0.25">
      <c r="A636" s="189" t="s">
        <v>1304</v>
      </c>
      <c r="B636" s="252" t="s">
        <v>1305</v>
      </c>
      <c r="C636" s="190"/>
      <c r="D636" s="191"/>
      <c r="E636" s="191"/>
      <c r="F636" s="192"/>
      <c r="G636" s="192"/>
      <c r="H636" s="48"/>
      <c r="I636" s="49"/>
      <c r="J636" s="49"/>
      <c r="K636" s="49"/>
      <c r="L636" s="49"/>
      <c r="M636" s="49"/>
      <c r="N636" s="193"/>
      <c r="O636" s="172">
        <f>SUMIF($A$7:$A$502,A636,$O$7:$O$502)</f>
        <v>0</v>
      </c>
      <c r="P636" s="49"/>
      <c r="Q636" s="49"/>
      <c r="R636" s="49"/>
      <c r="S636" s="49"/>
      <c r="T636" s="49"/>
      <c r="U636" s="193"/>
      <c r="V636" s="173">
        <f>SUMIF($A$7:$A$502,A636,$V$7:$V$502)</f>
        <v>0</v>
      </c>
      <c r="W636" s="194"/>
      <c r="X636" s="165" t="s">
        <v>1004</v>
      </c>
      <c r="Y636" s="37">
        <f>+ROUND((O636+V636)*(1+SUMIF($Y$2:$Y$4,X636,$Z$2:$Z$4)),0)</f>
        <v>0</v>
      </c>
      <c r="Z636" s="37">
        <f t="shared" si="386"/>
        <v>0</v>
      </c>
    </row>
    <row r="637" spans="1:26" hidden="1" outlineLevel="1" x14ac:dyDescent="0.25">
      <c r="A637" s="189" t="s">
        <v>1306</v>
      </c>
      <c r="B637" s="253" t="s">
        <v>1307</v>
      </c>
      <c r="C637" s="195"/>
      <c r="D637" s="196"/>
      <c r="E637" s="196"/>
      <c r="F637" s="192"/>
      <c r="G637" s="192"/>
      <c r="H637" s="50"/>
      <c r="I637" s="49"/>
      <c r="J637" s="49"/>
      <c r="K637" s="49"/>
      <c r="L637" s="49"/>
      <c r="M637" s="49"/>
      <c r="N637" s="193"/>
      <c r="O637" s="172">
        <f>SUMIF($A$7:$A$502,A637,$O$7:$O$502)</f>
        <v>0</v>
      </c>
      <c r="P637" s="49"/>
      <c r="Q637" s="49"/>
      <c r="R637" s="49"/>
      <c r="S637" s="49"/>
      <c r="T637" s="49"/>
      <c r="U637" s="193"/>
      <c r="V637" s="173">
        <f>SUMIF($A$7:$A$502,A637,$V$7:$V$502)</f>
        <v>0</v>
      </c>
      <c r="W637" s="197"/>
      <c r="X637" s="165" t="s">
        <v>1004</v>
      </c>
      <c r="Y637" s="37">
        <f>+ROUND((O637+V637)*(1+SUMIF($Y$2:$Y$4,X637,$Z$2:$Z$4)),0)</f>
        <v>0</v>
      </c>
      <c r="Z637" s="37">
        <f t="shared" si="386"/>
        <v>0</v>
      </c>
    </row>
    <row r="638" spans="1:26" hidden="1" outlineLevel="1" x14ac:dyDescent="0.25">
      <c r="A638" s="189" t="s">
        <v>1308</v>
      </c>
      <c r="B638" s="252" t="s">
        <v>1309</v>
      </c>
      <c r="C638" s="190"/>
      <c r="D638" s="191"/>
      <c r="E638" s="191"/>
      <c r="F638" s="192"/>
      <c r="G638" s="192"/>
      <c r="H638" s="48"/>
      <c r="I638" s="49"/>
      <c r="J638" s="49"/>
      <c r="K638" s="49"/>
      <c r="L638" s="49"/>
      <c r="M638" s="49"/>
      <c r="N638" s="193"/>
      <c r="O638" s="172">
        <f>SUMIF($A$7:$A$502,A638,$O$7:$O$502)</f>
        <v>0</v>
      </c>
      <c r="P638" s="49"/>
      <c r="Q638" s="49"/>
      <c r="R638" s="49"/>
      <c r="S638" s="49"/>
      <c r="T638" s="49"/>
      <c r="U638" s="193"/>
      <c r="V638" s="173">
        <f>SUMIF($A$7:$A$502,A638,$V$7:$V$502)</f>
        <v>0</v>
      </c>
      <c r="W638" s="194"/>
      <c r="X638" s="165" t="s">
        <v>1004</v>
      </c>
      <c r="Y638" s="37">
        <f>+ROUND((O638+V638)*(1+SUMIF($Y$2:$Y$4,X638,$Z$2:$Z$4)),0)</f>
        <v>0</v>
      </c>
      <c r="Z638" s="37">
        <f t="shared" si="386"/>
        <v>0</v>
      </c>
    </row>
    <row r="639" spans="1:26" hidden="1" outlineLevel="1" x14ac:dyDescent="0.25">
      <c r="A639" s="189" t="s">
        <v>1310</v>
      </c>
      <c r="B639" s="253" t="s">
        <v>1311</v>
      </c>
      <c r="C639" s="195"/>
      <c r="D639" s="196"/>
      <c r="E639" s="196"/>
      <c r="F639" s="192"/>
      <c r="G639" s="192"/>
      <c r="H639" s="50"/>
      <c r="I639" s="49"/>
      <c r="J639" s="49"/>
      <c r="K639" s="49"/>
      <c r="L639" s="49"/>
      <c r="M639" s="49"/>
      <c r="N639" s="193"/>
      <c r="O639" s="172">
        <f>SUMIF($A$7:$A$502,A639,$O$7:$O$502)</f>
        <v>0</v>
      </c>
      <c r="P639" s="49"/>
      <c r="Q639" s="49"/>
      <c r="R639" s="49"/>
      <c r="S639" s="49"/>
      <c r="T639" s="49"/>
      <c r="U639" s="193"/>
      <c r="V639" s="173">
        <f>SUMIF($A$7:$A$502,A639,$V$7:$V$502)</f>
        <v>0</v>
      </c>
      <c r="W639" s="197"/>
      <c r="X639" s="165" t="s">
        <v>1004</v>
      </c>
      <c r="Y639" s="37">
        <f>+ROUND((O639+V639)*(1+SUMIF($Y$2:$Y$4,X639,$Z$2:$Z$4)),0)</f>
        <v>0</v>
      </c>
      <c r="Z639" s="37">
        <f t="shared" si="386"/>
        <v>0</v>
      </c>
    </row>
    <row r="640" spans="1:26" hidden="1" outlineLevel="1" x14ac:dyDescent="0.25">
      <c r="A640" s="189" t="s">
        <v>1312</v>
      </c>
      <c r="B640" s="252" t="s">
        <v>1313</v>
      </c>
      <c r="C640" s="190"/>
      <c r="D640" s="191"/>
      <c r="E640" s="191"/>
      <c r="F640" s="192"/>
      <c r="G640" s="192"/>
      <c r="H640" s="48"/>
      <c r="I640" s="49"/>
      <c r="J640" s="49"/>
      <c r="K640" s="49"/>
      <c r="L640" s="49"/>
      <c r="M640" s="49"/>
      <c r="N640" s="193"/>
      <c r="O640" s="172">
        <f>SUMIF($A$7:$A$502,A640,$O$7:$O$502)</f>
        <v>0</v>
      </c>
      <c r="P640" s="49"/>
      <c r="Q640" s="49"/>
      <c r="R640" s="49"/>
      <c r="S640" s="49"/>
      <c r="T640" s="49"/>
      <c r="U640" s="193"/>
      <c r="V640" s="173">
        <f>SUMIF($A$7:$A$502,A640,$V$7:$V$502)</f>
        <v>0</v>
      </c>
      <c r="W640" s="194"/>
      <c r="X640" s="165" t="s">
        <v>1004</v>
      </c>
      <c r="Y640" s="37">
        <f>+ROUND((O640+V640)*(1+SUMIF($Y$2:$Y$4,X640,$Z$2:$Z$4)),0)</f>
        <v>0</v>
      </c>
      <c r="Z640" s="37">
        <f t="shared" si="386"/>
        <v>0</v>
      </c>
    </row>
    <row r="641" spans="1:26" hidden="1" outlineLevel="1" x14ac:dyDescent="0.25">
      <c r="A641" s="189" t="s">
        <v>1314</v>
      </c>
      <c r="B641" s="253" t="s">
        <v>1315</v>
      </c>
      <c r="C641" s="195"/>
      <c r="D641" s="196"/>
      <c r="E641" s="196"/>
      <c r="F641" s="192"/>
      <c r="G641" s="192"/>
      <c r="H641" s="50"/>
      <c r="I641" s="49"/>
      <c r="J641" s="49"/>
      <c r="K641" s="49"/>
      <c r="L641" s="49"/>
      <c r="M641" s="49"/>
      <c r="N641" s="193"/>
      <c r="O641" s="172">
        <f>SUMIF($A$7:$A$502,A641,$O$7:$O$502)</f>
        <v>0</v>
      </c>
      <c r="P641" s="49"/>
      <c r="Q641" s="49"/>
      <c r="R641" s="49"/>
      <c r="S641" s="49"/>
      <c r="T641" s="49"/>
      <c r="U641" s="193"/>
      <c r="V641" s="173">
        <f>SUMIF($A$7:$A$502,A641,$V$7:$V$502)</f>
        <v>0</v>
      </c>
      <c r="W641" s="197"/>
      <c r="X641" s="165" t="s">
        <v>1004</v>
      </c>
      <c r="Y641" s="37">
        <f>+ROUND((O641+V641)*(1+SUMIF($Y$2:$Y$4,X641,$Z$2:$Z$4)),0)</f>
        <v>0</v>
      </c>
      <c r="Z641" s="37">
        <f t="shared" si="386"/>
        <v>0</v>
      </c>
    </row>
    <row r="642" spans="1:26" hidden="1" outlineLevel="1" x14ac:dyDescent="0.25">
      <c r="A642" s="189" t="s">
        <v>1316</v>
      </c>
      <c r="B642" s="252" t="s">
        <v>1317</v>
      </c>
      <c r="C642" s="190"/>
      <c r="D642" s="191"/>
      <c r="E642" s="191"/>
      <c r="F642" s="192"/>
      <c r="G642" s="192"/>
      <c r="H642" s="48"/>
      <c r="I642" s="49"/>
      <c r="J642" s="49"/>
      <c r="K642" s="49"/>
      <c r="L642" s="49"/>
      <c r="M642" s="49"/>
      <c r="N642" s="193"/>
      <c r="O642" s="172">
        <f>SUMIF($A$7:$A$502,A642,$O$7:$O$502)</f>
        <v>0</v>
      </c>
      <c r="P642" s="49"/>
      <c r="Q642" s="49"/>
      <c r="R642" s="49"/>
      <c r="S642" s="49"/>
      <c r="T642" s="49"/>
      <c r="U642" s="193"/>
      <c r="V642" s="173">
        <f>SUMIF($A$7:$A$502,A642,$V$7:$V$502)</f>
        <v>0</v>
      </c>
      <c r="W642" s="194"/>
      <c r="X642" s="165" t="s">
        <v>1004</v>
      </c>
      <c r="Y642" s="37">
        <f>+ROUND((O642+V642)*(1+SUMIF($Y$2:$Y$4,X642,$Z$2:$Z$4)),0)</f>
        <v>0</v>
      </c>
      <c r="Z642" s="37">
        <f t="shared" ref="Z642:Z672" si="387">+ROUND((T642+W642)*(1+SUMIF($Y$2:$Y$4,Y642,$Z$2:$Z$4)),0)</f>
        <v>0</v>
      </c>
    </row>
    <row r="643" spans="1:26" hidden="1" outlineLevel="1" x14ac:dyDescent="0.25">
      <c r="A643" s="189" t="s">
        <v>1019</v>
      </c>
      <c r="B643" s="253" t="s">
        <v>1318</v>
      </c>
      <c r="C643" s="195"/>
      <c r="D643" s="196"/>
      <c r="E643" s="196"/>
      <c r="F643" s="192"/>
      <c r="G643" s="192"/>
      <c r="H643" s="50"/>
      <c r="I643" s="49"/>
      <c r="J643" s="49"/>
      <c r="K643" s="49"/>
      <c r="L643" s="49"/>
      <c r="M643" s="49"/>
      <c r="N643" s="193"/>
      <c r="O643" s="172">
        <f>SUMIF($A$7:$A$502,A643,$O$7:$O$502)</f>
        <v>0</v>
      </c>
      <c r="P643" s="49"/>
      <c r="Q643" s="49"/>
      <c r="R643" s="49"/>
      <c r="S643" s="49"/>
      <c r="T643" s="49"/>
      <c r="U643" s="193"/>
      <c r="V643" s="173">
        <f>SUMIF($A$7:$A$502,A643,$V$7:$V$502)</f>
        <v>0</v>
      </c>
      <c r="W643" s="197"/>
      <c r="X643" s="165" t="s">
        <v>1004</v>
      </c>
      <c r="Y643" s="37">
        <f>+ROUND((O643+V643)*(1+SUMIF($Y$2:$Y$4,X643,$Z$2:$Z$4)),0)</f>
        <v>0</v>
      </c>
      <c r="Z643" s="37">
        <f t="shared" si="387"/>
        <v>0</v>
      </c>
    </row>
    <row r="644" spans="1:26" hidden="1" outlineLevel="1" x14ac:dyDescent="0.25">
      <c r="A644" s="189" t="s">
        <v>1319</v>
      </c>
      <c r="B644" s="252" t="s">
        <v>1320</v>
      </c>
      <c r="C644" s="190"/>
      <c r="D644" s="191"/>
      <c r="E644" s="191"/>
      <c r="F644" s="192"/>
      <c r="G644" s="192"/>
      <c r="H644" s="48"/>
      <c r="I644" s="49"/>
      <c r="J644" s="49"/>
      <c r="K644" s="49"/>
      <c r="L644" s="49"/>
      <c r="M644" s="49"/>
      <c r="N644" s="193"/>
      <c r="O644" s="172">
        <f>SUMIF($A$7:$A$502,A644,$O$7:$O$502)</f>
        <v>0</v>
      </c>
      <c r="P644" s="49"/>
      <c r="Q644" s="49"/>
      <c r="R644" s="49"/>
      <c r="S644" s="49"/>
      <c r="T644" s="49"/>
      <c r="U644" s="193"/>
      <c r="V644" s="173">
        <f>SUMIF($A$7:$A$502,A644,$V$7:$V$502)</f>
        <v>0</v>
      </c>
      <c r="W644" s="194"/>
      <c r="X644" s="165" t="s">
        <v>1004</v>
      </c>
      <c r="Y644" s="37">
        <f>+ROUND((O644+V644)*(1+SUMIF($Y$2:$Y$4,X644,$Z$2:$Z$4)),0)</f>
        <v>0</v>
      </c>
      <c r="Z644" s="37">
        <f t="shared" si="387"/>
        <v>0</v>
      </c>
    </row>
    <row r="645" spans="1:26" hidden="1" outlineLevel="1" x14ac:dyDescent="0.25">
      <c r="A645" s="189" t="s">
        <v>1321</v>
      </c>
      <c r="B645" s="253" t="s">
        <v>1322</v>
      </c>
      <c r="C645" s="195"/>
      <c r="D645" s="196"/>
      <c r="E645" s="196"/>
      <c r="F645" s="192"/>
      <c r="G645" s="192"/>
      <c r="H645" s="50"/>
      <c r="I645" s="49"/>
      <c r="J645" s="49"/>
      <c r="K645" s="49"/>
      <c r="L645" s="49"/>
      <c r="M645" s="49"/>
      <c r="N645" s="193"/>
      <c r="O645" s="172">
        <f>SUMIF($A$7:$A$502,A645,$O$7:$O$502)</f>
        <v>0</v>
      </c>
      <c r="P645" s="49"/>
      <c r="Q645" s="49"/>
      <c r="R645" s="49"/>
      <c r="S645" s="49"/>
      <c r="T645" s="49"/>
      <c r="U645" s="193"/>
      <c r="V645" s="173">
        <f>SUMIF($A$7:$A$502,A645,$V$7:$V$502)</f>
        <v>0</v>
      </c>
      <c r="W645" s="197"/>
      <c r="X645" s="165" t="s">
        <v>1004</v>
      </c>
      <c r="Y645" s="37">
        <f>+ROUND((O645+V645)*(1+SUMIF($Y$2:$Y$4,X645,$Z$2:$Z$4)),0)</f>
        <v>0</v>
      </c>
      <c r="Z645" s="37">
        <f t="shared" si="387"/>
        <v>0</v>
      </c>
    </row>
    <row r="646" spans="1:26" hidden="1" outlineLevel="1" x14ac:dyDescent="0.25">
      <c r="A646" s="189" t="s">
        <v>1323</v>
      </c>
      <c r="B646" s="252" t="s">
        <v>1324</v>
      </c>
      <c r="C646" s="190"/>
      <c r="D646" s="191"/>
      <c r="E646" s="191"/>
      <c r="F646" s="192"/>
      <c r="G646" s="192"/>
      <c r="H646" s="48"/>
      <c r="I646" s="49"/>
      <c r="J646" s="49"/>
      <c r="K646" s="49"/>
      <c r="L646" s="49"/>
      <c r="M646" s="49"/>
      <c r="N646" s="193"/>
      <c r="O646" s="172">
        <f>SUMIF($A$7:$A$502,A646,$O$7:$O$502)</f>
        <v>0</v>
      </c>
      <c r="P646" s="49"/>
      <c r="Q646" s="49"/>
      <c r="R646" s="49"/>
      <c r="S646" s="49"/>
      <c r="T646" s="49"/>
      <c r="U646" s="193"/>
      <c r="V646" s="173">
        <f>SUMIF($A$7:$A$502,A646,$V$7:$V$502)</f>
        <v>0</v>
      </c>
      <c r="W646" s="194"/>
      <c r="X646" s="165" t="s">
        <v>1004</v>
      </c>
      <c r="Y646" s="37">
        <f>+ROUND((O646+V646)*(1+SUMIF($Y$2:$Y$4,X646,$Z$2:$Z$4)),0)</f>
        <v>0</v>
      </c>
      <c r="Z646" s="37">
        <f t="shared" si="387"/>
        <v>0</v>
      </c>
    </row>
    <row r="647" spans="1:26" hidden="1" outlineLevel="1" x14ac:dyDescent="0.25">
      <c r="A647" s="189" t="s">
        <v>1325</v>
      </c>
      <c r="B647" s="253" t="s">
        <v>1325</v>
      </c>
      <c r="C647" s="195"/>
      <c r="D647" s="196"/>
      <c r="E647" s="196"/>
      <c r="F647" s="192"/>
      <c r="G647" s="192"/>
      <c r="H647" s="50"/>
      <c r="I647" s="49"/>
      <c r="J647" s="49"/>
      <c r="K647" s="49"/>
      <c r="L647" s="49"/>
      <c r="M647" s="49"/>
      <c r="N647" s="193"/>
      <c r="O647" s="172">
        <f>SUMIF($A$7:$A$502,A647,$O$7:$O$502)</f>
        <v>0</v>
      </c>
      <c r="P647" s="49"/>
      <c r="Q647" s="49"/>
      <c r="R647" s="49"/>
      <c r="S647" s="49"/>
      <c r="T647" s="49"/>
      <c r="U647" s="193"/>
      <c r="V647" s="173">
        <f>SUMIF($A$7:$A$502,A647,$V$7:$V$502)</f>
        <v>0</v>
      </c>
      <c r="W647" s="197"/>
      <c r="X647" s="165" t="s">
        <v>1004</v>
      </c>
      <c r="Y647" s="37">
        <f>+ROUND((O647+V647)*(1+SUMIF($Y$2:$Y$4,X647,$Z$2:$Z$4)),0)</f>
        <v>0</v>
      </c>
      <c r="Z647" s="37">
        <f t="shared" si="387"/>
        <v>0</v>
      </c>
    </row>
    <row r="648" spans="1:26" hidden="1" outlineLevel="1" x14ac:dyDescent="0.25">
      <c r="A648" s="189" t="s">
        <v>1326</v>
      </c>
      <c r="B648" s="252" t="s">
        <v>1327</v>
      </c>
      <c r="C648" s="190"/>
      <c r="D648" s="191"/>
      <c r="E648" s="191"/>
      <c r="F648" s="192"/>
      <c r="G648" s="192"/>
      <c r="H648" s="48"/>
      <c r="I648" s="49"/>
      <c r="J648" s="49"/>
      <c r="K648" s="49"/>
      <c r="L648" s="49"/>
      <c r="M648" s="49"/>
      <c r="N648" s="193"/>
      <c r="O648" s="172">
        <f>SUMIF($A$7:$A$502,A648,$O$7:$O$502)</f>
        <v>0</v>
      </c>
      <c r="P648" s="49"/>
      <c r="Q648" s="49"/>
      <c r="R648" s="49"/>
      <c r="S648" s="49"/>
      <c r="T648" s="49"/>
      <c r="U648" s="193"/>
      <c r="V648" s="173">
        <f>SUMIF($A$7:$A$502,A648,$V$7:$V$502)</f>
        <v>0</v>
      </c>
      <c r="W648" s="194"/>
      <c r="X648" s="165" t="s">
        <v>1004</v>
      </c>
      <c r="Y648" s="37">
        <f>+ROUND((O648+V648)*(1+SUMIF($Y$2:$Y$4,X648,$Z$2:$Z$4)),0)</f>
        <v>0</v>
      </c>
      <c r="Z648" s="37">
        <f t="shared" si="387"/>
        <v>0</v>
      </c>
    </row>
    <row r="649" spans="1:26" hidden="1" outlineLevel="1" x14ac:dyDescent="0.25">
      <c r="A649" s="189" t="s">
        <v>1328</v>
      </c>
      <c r="B649" s="253" t="s">
        <v>1329</v>
      </c>
      <c r="C649" s="195"/>
      <c r="D649" s="196"/>
      <c r="E649" s="196"/>
      <c r="F649" s="192"/>
      <c r="G649" s="192"/>
      <c r="H649" s="50"/>
      <c r="I649" s="49"/>
      <c r="J649" s="49"/>
      <c r="K649" s="49"/>
      <c r="L649" s="49"/>
      <c r="M649" s="49"/>
      <c r="N649" s="193"/>
      <c r="O649" s="172">
        <f>SUMIF($A$7:$A$502,A649,$O$7:$O$502)</f>
        <v>0</v>
      </c>
      <c r="P649" s="49"/>
      <c r="Q649" s="49"/>
      <c r="R649" s="49"/>
      <c r="S649" s="49"/>
      <c r="T649" s="49"/>
      <c r="U649" s="193"/>
      <c r="V649" s="173">
        <f>SUMIF($A$7:$A$502,A649,$V$7:$V$502)</f>
        <v>0</v>
      </c>
      <c r="W649" s="197"/>
      <c r="X649" s="165" t="s">
        <v>1004</v>
      </c>
      <c r="Y649" s="37">
        <f>+ROUND((O649+V649)*(1+SUMIF($Y$2:$Y$4,X649,$Z$2:$Z$4)),0)</f>
        <v>0</v>
      </c>
      <c r="Z649" s="37">
        <f t="shared" si="387"/>
        <v>0</v>
      </c>
    </row>
    <row r="650" spans="1:26" hidden="1" outlineLevel="1" x14ac:dyDescent="0.25">
      <c r="A650" s="189" t="s">
        <v>1330</v>
      </c>
      <c r="B650" s="252" t="s">
        <v>1331</v>
      </c>
      <c r="C650" s="190"/>
      <c r="D650" s="191"/>
      <c r="E650" s="191"/>
      <c r="F650" s="192"/>
      <c r="G650" s="192"/>
      <c r="H650" s="48"/>
      <c r="I650" s="49"/>
      <c r="J650" s="49"/>
      <c r="K650" s="49"/>
      <c r="L650" s="49"/>
      <c r="M650" s="49"/>
      <c r="N650" s="193"/>
      <c r="O650" s="172">
        <f>SUMIF($A$7:$A$502,A650,$O$7:$O$502)</f>
        <v>0</v>
      </c>
      <c r="P650" s="49"/>
      <c r="Q650" s="49"/>
      <c r="R650" s="49"/>
      <c r="S650" s="49"/>
      <c r="T650" s="49"/>
      <c r="U650" s="193"/>
      <c r="V650" s="173">
        <f>SUMIF($A$7:$A$502,A650,$V$7:$V$502)</f>
        <v>0</v>
      </c>
      <c r="W650" s="194"/>
      <c r="X650" s="165" t="s">
        <v>1004</v>
      </c>
      <c r="Y650" s="37">
        <f>+ROUND((O650+V650)*(1+SUMIF($Y$2:$Y$4,X650,$Z$2:$Z$4)),0)</f>
        <v>0</v>
      </c>
      <c r="Z650" s="37">
        <f t="shared" si="387"/>
        <v>0</v>
      </c>
    </row>
    <row r="651" spans="1:26" hidden="1" outlineLevel="1" x14ac:dyDescent="0.25">
      <c r="A651" s="189" t="s">
        <v>1332</v>
      </c>
      <c r="B651" s="253" t="s">
        <v>1333</v>
      </c>
      <c r="C651" s="195"/>
      <c r="D651" s="196"/>
      <c r="E651" s="196"/>
      <c r="F651" s="192"/>
      <c r="G651" s="192"/>
      <c r="H651" s="50"/>
      <c r="I651" s="49"/>
      <c r="J651" s="49"/>
      <c r="K651" s="49"/>
      <c r="L651" s="49"/>
      <c r="M651" s="49"/>
      <c r="N651" s="193"/>
      <c r="O651" s="172">
        <f>SUMIF($A$7:$A$502,A651,$O$7:$O$502)</f>
        <v>0</v>
      </c>
      <c r="P651" s="49"/>
      <c r="Q651" s="49"/>
      <c r="R651" s="49"/>
      <c r="S651" s="49"/>
      <c r="T651" s="49"/>
      <c r="U651" s="193"/>
      <c r="V651" s="173">
        <f>SUMIF($A$7:$A$502,A651,$V$7:$V$502)</f>
        <v>0</v>
      </c>
      <c r="W651" s="197"/>
      <c r="X651" s="165" t="s">
        <v>1004</v>
      </c>
      <c r="Y651" s="37">
        <f>+ROUND((O651+V651)*(1+SUMIF($Y$2:$Y$4,X651,$Z$2:$Z$4)),0)</f>
        <v>0</v>
      </c>
      <c r="Z651" s="37">
        <f t="shared" si="387"/>
        <v>0</v>
      </c>
    </row>
    <row r="652" spans="1:26" hidden="1" outlineLevel="1" x14ac:dyDescent="0.25">
      <c r="A652" s="189" t="s">
        <v>1334</v>
      </c>
      <c r="B652" s="252" t="s">
        <v>1335</v>
      </c>
      <c r="C652" s="190"/>
      <c r="D652" s="191"/>
      <c r="E652" s="191"/>
      <c r="F652" s="192"/>
      <c r="G652" s="192"/>
      <c r="H652" s="48"/>
      <c r="I652" s="49"/>
      <c r="J652" s="49"/>
      <c r="K652" s="49"/>
      <c r="L652" s="49"/>
      <c r="M652" s="49"/>
      <c r="N652" s="193"/>
      <c r="O652" s="172">
        <f>SUMIF($A$7:$A$502,A652,$O$7:$O$502)</f>
        <v>0</v>
      </c>
      <c r="P652" s="49"/>
      <c r="Q652" s="49"/>
      <c r="R652" s="49"/>
      <c r="S652" s="49"/>
      <c r="T652" s="49"/>
      <c r="U652" s="193"/>
      <c r="V652" s="173">
        <f>SUMIF($A$7:$A$502,A652,$V$7:$V$502)</f>
        <v>0</v>
      </c>
      <c r="W652" s="194"/>
      <c r="X652" s="165" t="s">
        <v>1004</v>
      </c>
      <c r="Y652" s="37">
        <f>+ROUND((O652+V652)*(1+SUMIF($Y$2:$Y$4,X652,$Z$2:$Z$4)),0)</f>
        <v>0</v>
      </c>
      <c r="Z652" s="37">
        <f t="shared" si="387"/>
        <v>0</v>
      </c>
    </row>
    <row r="653" spans="1:26" hidden="1" outlineLevel="1" x14ac:dyDescent="0.25">
      <c r="A653" s="189" t="s">
        <v>1336</v>
      </c>
      <c r="B653" s="253" t="s">
        <v>1337</v>
      </c>
      <c r="C653" s="195"/>
      <c r="D653" s="196"/>
      <c r="E653" s="196"/>
      <c r="F653" s="192"/>
      <c r="G653" s="192"/>
      <c r="H653" s="50"/>
      <c r="I653" s="49"/>
      <c r="J653" s="49"/>
      <c r="K653" s="49"/>
      <c r="L653" s="49"/>
      <c r="M653" s="49"/>
      <c r="N653" s="193"/>
      <c r="O653" s="172">
        <f>SUMIF($A$7:$A$502,A653,$O$7:$O$502)</f>
        <v>0</v>
      </c>
      <c r="P653" s="49"/>
      <c r="Q653" s="49"/>
      <c r="R653" s="49"/>
      <c r="S653" s="49"/>
      <c r="T653" s="49"/>
      <c r="U653" s="193"/>
      <c r="V653" s="173">
        <f>SUMIF($A$7:$A$502,A653,$V$7:$V$502)</f>
        <v>0</v>
      </c>
      <c r="W653" s="197"/>
      <c r="X653" s="165" t="s">
        <v>1004</v>
      </c>
      <c r="Y653" s="37">
        <f>+ROUND((O653+V653)*(1+SUMIF($Y$2:$Y$4,X653,$Z$2:$Z$4)),0)</f>
        <v>0</v>
      </c>
      <c r="Z653" s="37">
        <f t="shared" si="387"/>
        <v>0</v>
      </c>
    </row>
    <row r="654" spans="1:26" hidden="1" outlineLevel="1" x14ac:dyDescent="0.25">
      <c r="A654" s="189" t="s">
        <v>1338</v>
      </c>
      <c r="B654" s="252" t="s">
        <v>1339</v>
      </c>
      <c r="C654" s="190"/>
      <c r="D654" s="191"/>
      <c r="E654" s="191"/>
      <c r="F654" s="192"/>
      <c r="G654" s="192"/>
      <c r="H654" s="48"/>
      <c r="I654" s="49"/>
      <c r="J654" s="49"/>
      <c r="K654" s="49"/>
      <c r="L654" s="49"/>
      <c r="M654" s="49"/>
      <c r="N654" s="193"/>
      <c r="O654" s="172">
        <f>SUMIF($A$7:$A$502,A654,$O$7:$O$502)</f>
        <v>0</v>
      </c>
      <c r="P654" s="49"/>
      <c r="Q654" s="49"/>
      <c r="R654" s="49"/>
      <c r="S654" s="49"/>
      <c r="T654" s="49"/>
      <c r="U654" s="193"/>
      <c r="V654" s="173">
        <f>SUMIF($A$7:$A$502,A654,$V$7:$V$502)</f>
        <v>0</v>
      </c>
      <c r="W654" s="194"/>
      <c r="X654" s="165" t="s">
        <v>1004</v>
      </c>
      <c r="Y654" s="37">
        <f>+ROUND((O654+V654)*(1+SUMIF($Y$2:$Y$4,X654,$Z$2:$Z$4)),0)</f>
        <v>0</v>
      </c>
      <c r="Z654" s="37">
        <f t="shared" si="387"/>
        <v>0</v>
      </c>
    </row>
    <row r="655" spans="1:26" hidden="1" outlineLevel="1" x14ac:dyDescent="0.25">
      <c r="A655" s="189" t="s">
        <v>1340</v>
      </c>
      <c r="B655" s="253" t="s">
        <v>1341</v>
      </c>
      <c r="C655" s="195"/>
      <c r="D655" s="196"/>
      <c r="E655" s="196"/>
      <c r="F655" s="192"/>
      <c r="G655" s="192"/>
      <c r="H655" s="50"/>
      <c r="I655" s="49"/>
      <c r="J655" s="49"/>
      <c r="K655" s="49"/>
      <c r="L655" s="49"/>
      <c r="M655" s="49"/>
      <c r="N655" s="193"/>
      <c r="O655" s="172">
        <f>SUMIF($A$7:$A$502,A655,$O$7:$O$502)</f>
        <v>0</v>
      </c>
      <c r="P655" s="49"/>
      <c r="Q655" s="49"/>
      <c r="R655" s="49"/>
      <c r="S655" s="49"/>
      <c r="T655" s="49"/>
      <c r="U655" s="193"/>
      <c r="V655" s="173">
        <f>SUMIF($A$7:$A$502,A655,$V$7:$V$502)</f>
        <v>0</v>
      </c>
      <c r="W655" s="197"/>
      <c r="X655" s="165" t="s">
        <v>1004</v>
      </c>
      <c r="Y655" s="37">
        <f>+ROUND((O655+V655)*(1+SUMIF($Y$2:$Y$4,X655,$Z$2:$Z$4)),0)</f>
        <v>0</v>
      </c>
      <c r="Z655" s="37">
        <f t="shared" si="387"/>
        <v>0</v>
      </c>
    </row>
    <row r="656" spans="1:26" hidden="1" outlineLevel="1" x14ac:dyDescent="0.25">
      <c r="A656" s="189" t="s">
        <v>1342</v>
      </c>
      <c r="B656" s="252" t="s">
        <v>1343</v>
      </c>
      <c r="C656" s="190"/>
      <c r="D656" s="191"/>
      <c r="E656" s="191"/>
      <c r="F656" s="192"/>
      <c r="G656" s="192"/>
      <c r="H656" s="48"/>
      <c r="I656" s="49"/>
      <c r="J656" s="49"/>
      <c r="K656" s="49"/>
      <c r="L656" s="49"/>
      <c r="M656" s="49"/>
      <c r="N656" s="193"/>
      <c r="O656" s="172">
        <f>SUMIF($A$7:$A$502,A656,$O$7:$O$502)</f>
        <v>0</v>
      </c>
      <c r="P656" s="49"/>
      <c r="Q656" s="49"/>
      <c r="R656" s="49"/>
      <c r="S656" s="49"/>
      <c r="T656" s="49"/>
      <c r="U656" s="193"/>
      <c r="V656" s="173">
        <f>SUMIF($A$7:$A$502,A656,$V$7:$V$502)</f>
        <v>0</v>
      </c>
      <c r="W656" s="194"/>
      <c r="X656" s="165" t="s">
        <v>1004</v>
      </c>
      <c r="Y656" s="37">
        <f>+ROUND((O656+V656)*(1+SUMIF($Y$2:$Y$4,X656,$Z$2:$Z$4)),0)</f>
        <v>0</v>
      </c>
      <c r="Z656" s="37">
        <f t="shared" si="387"/>
        <v>0</v>
      </c>
    </row>
    <row r="657" spans="1:26" hidden="1" outlineLevel="1" x14ac:dyDescent="0.25">
      <c r="A657" s="189" t="s">
        <v>1344</v>
      </c>
      <c r="B657" s="253" t="s">
        <v>1345</v>
      </c>
      <c r="C657" s="195"/>
      <c r="D657" s="196"/>
      <c r="E657" s="196"/>
      <c r="F657" s="192"/>
      <c r="G657" s="192"/>
      <c r="H657" s="50"/>
      <c r="I657" s="49"/>
      <c r="J657" s="49"/>
      <c r="K657" s="49"/>
      <c r="L657" s="49"/>
      <c r="M657" s="49"/>
      <c r="N657" s="193"/>
      <c r="O657" s="172">
        <f>SUMIF($A$7:$A$502,A657,$O$7:$O$502)</f>
        <v>0</v>
      </c>
      <c r="P657" s="49"/>
      <c r="Q657" s="49"/>
      <c r="R657" s="49"/>
      <c r="S657" s="49"/>
      <c r="T657" s="49"/>
      <c r="U657" s="193"/>
      <c r="V657" s="173">
        <f>SUMIF($A$7:$A$502,A657,$V$7:$V$502)</f>
        <v>0</v>
      </c>
      <c r="W657" s="197"/>
      <c r="X657" s="165" t="s">
        <v>1004</v>
      </c>
      <c r="Y657" s="37">
        <f>+ROUND((O657+V657)*(1+SUMIF($Y$2:$Y$4,X657,$Z$2:$Z$4)),0)</f>
        <v>0</v>
      </c>
      <c r="Z657" s="37">
        <f t="shared" si="387"/>
        <v>0</v>
      </c>
    </row>
    <row r="658" spans="1:26" hidden="1" outlineLevel="1" x14ac:dyDescent="0.25">
      <c r="A658" s="189" t="s">
        <v>1346</v>
      </c>
      <c r="B658" s="252" t="s">
        <v>1347</v>
      </c>
      <c r="C658" s="190"/>
      <c r="D658" s="191"/>
      <c r="E658" s="191"/>
      <c r="F658" s="192"/>
      <c r="G658" s="192"/>
      <c r="H658" s="48"/>
      <c r="I658" s="49"/>
      <c r="J658" s="49"/>
      <c r="K658" s="49"/>
      <c r="L658" s="49"/>
      <c r="M658" s="49"/>
      <c r="N658" s="193"/>
      <c r="O658" s="172">
        <f>SUMIF($A$7:$A$502,A658,$O$7:$O$502)</f>
        <v>0</v>
      </c>
      <c r="P658" s="49"/>
      <c r="Q658" s="49"/>
      <c r="R658" s="49"/>
      <c r="S658" s="49"/>
      <c r="T658" s="49"/>
      <c r="U658" s="193"/>
      <c r="V658" s="173">
        <f>SUMIF($A$7:$A$502,A658,$V$7:$V$502)</f>
        <v>0</v>
      </c>
      <c r="W658" s="194"/>
      <c r="X658" s="165" t="s">
        <v>1004</v>
      </c>
      <c r="Y658" s="37">
        <f>+ROUND((O658+V658)*(1+SUMIF($Y$2:$Y$4,X658,$Z$2:$Z$4)),0)</f>
        <v>0</v>
      </c>
      <c r="Z658" s="37">
        <f t="shared" si="387"/>
        <v>0</v>
      </c>
    </row>
    <row r="659" spans="1:26" hidden="1" outlineLevel="1" x14ac:dyDescent="0.25">
      <c r="A659" s="189" t="s">
        <v>1348</v>
      </c>
      <c r="B659" s="253" t="s">
        <v>1349</v>
      </c>
      <c r="C659" s="195"/>
      <c r="D659" s="196"/>
      <c r="E659" s="196"/>
      <c r="F659" s="192"/>
      <c r="G659" s="192"/>
      <c r="H659" s="50"/>
      <c r="I659" s="49"/>
      <c r="J659" s="49"/>
      <c r="K659" s="49"/>
      <c r="L659" s="49"/>
      <c r="M659" s="49"/>
      <c r="N659" s="193"/>
      <c r="O659" s="172">
        <f>SUMIF($A$7:$A$502,A659,$O$7:$O$502)</f>
        <v>0</v>
      </c>
      <c r="P659" s="49"/>
      <c r="Q659" s="49"/>
      <c r="R659" s="49"/>
      <c r="S659" s="49"/>
      <c r="T659" s="49"/>
      <c r="U659" s="193"/>
      <c r="V659" s="173">
        <f>SUMIF($A$7:$A$502,A659,$V$7:$V$502)</f>
        <v>0</v>
      </c>
      <c r="W659" s="197"/>
      <c r="X659" s="165" t="s">
        <v>1004</v>
      </c>
      <c r="Y659" s="37">
        <f>+ROUND((O659+V659)*(1+SUMIF($Y$2:$Y$4,X659,$Z$2:$Z$4)),0)</f>
        <v>0</v>
      </c>
      <c r="Z659" s="37">
        <f t="shared" si="387"/>
        <v>0</v>
      </c>
    </row>
    <row r="660" spans="1:26" hidden="1" outlineLevel="1" x14ac:dyDescent="0.25">
      <c r="A660" s="189" t="s">
        <v>1350</v>
      </c>
      <c r="B660" s="252" t="s">
        <v>1351</v>
      </c>
      <c r="C660" s="190"/>
      <c r="D660" s="191"/>
      <c r="E660" s="191"/>
      <c r="F660" s="192"/>
      <c r="G660" s="192"/>
      <c r="H660" s="48"/>
      <c r="I660" s="49"/>
      <c r="J660" s="49"/>
      <c r="K660" s="49"/>
      <c r="L660" s="49"/>
      <c r="M660" s="49"/>
      <c r="N660" s="193"/>
      <c r="O660" s="172">
        <f>SUMIF($A$7:$A$502,A660,$O$7:$O$502)</f>
        <v>0</v>
      </c>
      <c r="P660" s="49"/>
      <c r="Q660" s="49"/>
      <c r="R660" s="49"/>
      <c r="S660" s="49"/>
      <c r="T660" s="49"/>
      <c r="U660" s="193"/>
      <c r="V660" s="173">
        <f>SUMIF($A$7:$A$502,A660,$V$7:$V$502)</f>
        <v>0</v>
      </c>
      <c r="W660" s="194"/>
      <c r="X660" s="165" t="s">
        <v>1004</v>
      </c>
      <c r="Y660" s="37">
        <f>+ROUND((O660+V660)*(1+SUMIF($Y$2:$Y$4,X660,$Z$2:$Z$4)),0)</f>
        <v>0</v>
      </c>
      <c r="Z660" s="37">
        <f t="shared" si="387"/>
        <v>0</v>
      </c>
    </row>
    <row r="661" spans="1:26" hidden="1" outlineLevel="1" x14ac:dyDescent="0.25">
      <c r="A661" s="189" t="s">
        <v>1352</v>
      </c>
      <c r="B661" s="253" t="s">
        <v>1353</v>
      </c>
      <c r="C661" s="195"/>
      <c r="D661" s="196"/>
      <c r="E661" s="196"/>
      <c r="F661" s="192"/>
      <c r="G661" s="192"/>
      <c r="H661" s="50"/>
      <c r="I661" s="49"/>
      <c r="J661" s="49"/>
      <c r="K661" s="49"/>
      <c r="L661" s="49"/>
      <c r="M661" s="49"/>
      <c r="N661" s="193"/>
      <c r="O661" s="172">
        <f>SUMIF($A$7:$A$502,A661,$O$7:$O$502)</f>
        <v>0</v>
      </c>
      <c r="P661" s="49"/>
      <c r="Q661" s="49"/>
      <c r="R661" s="49"/>
      <c r="S661" s="49"/>
      <c r="T661" s="49"/>
      <c r="U661" s="193"/>
      <c r="V661" s="173">
        <f>SUMIF($A$7:$A$502,A661,$V$7:$V$502)</f>
        <v>0</v>
      </c>
      <c r="W661" s="197"/>
      <c r="X661" s="165" t="s">
        <v>1004</v>
      </c>
      <c r="Y661" s="37">
        <f>+ROUND((O661+V661)*(1+SUMIF($Y$2:$Y$4,X661,$Z$2:$Z$4)),0)</f>
        <v>0</v>
      </c>
      <c r="Z661" s="37">
        <f t="shared" si="387"/>
        <v>0</v>
      </c>
    </row>
    <row r="662" spans="1:26" hidden="1" outlineLevel="1" x14ac:dyDescent="0.25">
      <c r="A662" s="189" t="s">
        <v>1354</v>
      </c>
      <c r="B662" s="252" t="s">
        <v>1355</v>
      </c>
      <c r="C662" s="190"/>
      <c r="D662" s="191"/>
      <c r="E662" s="191"/>
      <c r="F662" s="192"/>
      <c r="G662" s="192"/>
      <c r="H662" s="48"/>
      <c r="I662" s="49"/>
      <c r="J662" s="49"/>
      <c r="K662" s="49"/>
      <c r="L662" s="49"/>
      <c r="M662" s="49"/>
      <c r="N662" s="193"/>
      <c r="O662" s="172">
        <f>SUMIF($A$7:$A$502,A662,$O$7:$O$502)</f>
        <v>0</v>
      </c>
      <c r="P662" s="49"/>
      <c r="Q662" s="49"/>
      <c r="R662" s="49"/>
      <c r="S662" s="49"/>
      <c r="T662" s="49"/>
      <c r="U662" s="193"/>
      <c r="V662" s="173">
        <f>SUMIF($A$7:$A$502,A662,$V$7:$V$502)</f>
        <v>0</v>
      </c>
      <c r="W662" s="194"/>
      <c r="X662" s="165" t="s">
        <v>1004</v>
      </c>
      <c r="Y662" s="37">
        <f>+ROUND((O662+V662)*(1+SUMIF($Y$2:$Y$4,X662,$Z$2:$Z$4)),0)</f>
        <v>0</v>
      </c>
      <c r="Z662" s="37">
        <f t="shared" si="387"/>
        <v>0</v>
      </c>
    </row>
    <row r="663" spans="1:26" hidden="1" outlineLevel="1" x14ac:dyDescent="0.25">
      <c r="A663" s="189" t="s">
        <v>1356</v>
      </c>
      <c r="B663" s="253" t="s">
        <v>1357</v>
      </c>
      <c r="C663" s="195"/>
      <c r="D663" s="196"/>
      <c r="E663" s="196"/>
      <c r="F663" s="192"/>
      <c r="G663" s="192"/>
      <c r="H663" s="50"/>
      <c r="I663" s="49"/>
      <c r="J663" s="49"/>
      <c r="K663" s="49"/>
      <c r="L663" s="49"/>
      <c r="M663" s="49"/>
      <c r="N663" s="193"/>
      <c r="O663" s="172">
        <f>SUMIF($A$7:$A$502,A663,$O$7:$O$502)</f>
        <v>0</v>
      </c>
      <c r="P663" s="49"/>
      <c r="Q663" s="49"/>
      <c r="R663" s="49"/>
      <c r="S663" s="49"/>
      <c r="T663" s="49"/>
      <c r="U663" s="193"/>
      <c r="V663" s="173">
        <f>SUMIF($A$7:$A$502,A663,$V$7:$V$502)</f>
        <v>0</v>
      </c>
      <c r="W663" s="197"/>
      <c r="X663" s="165" t="s">
        <v>1004</v>
      </c>
      <c r="Y663" s="37">
        <f>+ROUND((O663+V663)*(1+SUMIF($Y$2:$Y$4,X663,$Z$2:$Z$4)),0)</f>
        <v>0</v>
      </c>
      <c r="Z663" s="37">
        <f t="shared" si="387"/>
        <v>0</v>
      </c>
    </row>
    <row r="664" spans="1:26" hidden="1" outlineLevel="1" x14ac:dyDescent="0.25">
      <c r="A664" s="189" t="s">
        <v>1358</v>
      </c>
      <c r="B664" s="252" t="s">
        <v>1359</v>
      </c>
      <c r="C664" s="190"/>
      <c r="D664" s="191"/>
      <c r="E664" s="191"/>
      <c r="F664" s="192"/>
      <c r="G664" s="192"/>
      <c r="H664" s="48"/>
      <c r="I664" s="49"/>
      <c r="J664" s="49"/>
      <c r="K664" s="49"/>
      <c r="L664" s="49"/>
      <c r="M664" s="49"/>
      <c r="N664" s="193"/>
      <c r="O664" s="172">
        <f>SUMIF($A$7:$A$502,A664,$O$7:$O$502)</f>
        <v>0</v>
      </c>
      <c r="P664" s="49"/>
      <c r="Q664" s="49"/>
      <c r="R664" s="49"/>
      <c r="S664" s="49"/>
      <c r="T664" s="49"/>
      <c r="U664" s="193"/>
      <c r="V664" s="173">
        <f>SUMIF($A$7:$A$502,A664,$V$7:$V$502)</f>
        <v>0</v>
      </c>
      <c r="W664" s="194"/>
      <c r="X664" s="165" t="s">
        <v>1004</v>
      </c>
      <c r="Y664" s="37">
        <f>+ROUND((O664+V664)*(1+SUMIF($Y$2:$Y$4,X664,$Z$2:$Z$4)),0)</f>
        <v>0</v>
      </c>
      <c r="Z664" s="37">
        <f t="shared" si="387"/>
        <v>0</v>
      </c>
    </row>
    <row r="665" spans="1:26" hidden="1" outlineLevel="1" x14ac:dyDescent="0.25">
      <c r="A665" s="189" t="s">
        <v>1360</v>
      </c>
      <c r="B665" s="253" t="s">
        <v>1361</v>
      </c>
      <c r="C665" s="195"/>
      <c r="D665" s="196"/>
      <c r="E665" s="196"/>
      <c r="F665" s="192"/>
      <c r="G665" s="192"/>
      <c r="H665" s="50"/>
      <c r="I665" s="49"/>
      <c r="J665" s="49"/>
      <c r="K665" s="49"/>
      <c r="L665" s="49"/>
      <c r="M665" s="49"/>
      <c r="N665" s="193"/>
      <c r="O665" s="172">
        <f>SUMIF($A$7:$A$502,A665,$O$7:$O$502)</f>
        <v>0</v>
      </c>
      <c r="P665" s="49"/>
      <c r="Q665" s="49"/>
      <c r="R665" s="49"/>
      <c r="S665" s="49"/>
      <c r="T665" s="49"/>
      <c r="U665" s="193"/>
      <c r="V665" s="173">
        <f>SUMIF($A$7:$A$502,A665,$V$7:$V$502)</f>
        <v>0</v>
      </c>
      <c r="W665" s="197"/>
      <c r="X665" s="165" t="s">
        <v>1004</v>
      </c>
      <c r="Y665" s="37">
        <f>+ROUND((O665+V665)*(1+SUMIF($Y$2:$Y$4,X665,$Z$2:$Z$4)),0)</f>
        <v>0</v>
      </c>
      <c r="Z665" s="37">
        <f t="shared" si="387"/>
        <v>0</v>
      </c>
    </row>
    <row r="666" spans="1:26" hidden="1" outlineLevel="1" x14ac:dyDescent="0.25">
      <c r="A666" s="189" t="s">
        <v>1362</v>
      </c>
      <c r="B666" s="252" t="s">
        <v>1363</v>
      </c>
      <c r="C666" s="190"/>
      <c r="D666" s="191"/>
      <c r="E666" s="191"/>
      <c r="F666" s="192"/>
      <c r="G666" s="192"/>
      <c r="H666" s="48"/>
      <c r="I666" s="49"/>
      <c r="J666" s="49"/>
      <c r="K666" s="49"/>
      <c r="L666" s="49"/>
      <c r="M666" s="49"/>
      <c r="N666" s="193"/>
      <c r="O666" s="172">
        <f>SUMIF($A$7:$A$502,A666,$O$7:$O$502)</f>
        <v>0</v>
      </c>
      <c r="P666" s="49"/>
      <c r="Q666" s="49"/>
      <c r="R666" s="49"/>
      <c r="S666" s="49"/>
      <c r="T666" s="49"/>
      <c r="U666" s="193"/>
      <c r="V666" s="173">
        <f>SUMIF($A$7:$A$502,A666,$V$7:$V$502)</f>
        <v>0</v>
      </c>
      <c r="W666" s="194"/>
      <c r="X666" s="165" t="s">
        <v>1004</v>
      </c>
      <c r="Y666" s="37">
        <f>+ROUND((O666+V666)*(1+SUMIF($Y$2:$Y$4,X666,$Z$2:$Z$4)),0)</f>
        <v>0</v>
      </c>
      <c r="Z666" s="37">
        <f t="shared" si="387"/>
        <v>0</v>
      </c>
    </row>
    <row r="667" spans="1:26" hidden="1" outlineLevel="1" x14ac:dyDescent="0.25">
      <c r="A667" s="189" t="s">
        <v>1364</v>
      </c>
      <c r="B667" s="253" t="s">
        <v>1365</v>
      </c>
      <c r="C667" s="195"/>
      <c r="D667" s="196"/>
      <c r="E667" s="196"/>
      <c r="F667" s="192"/>
      <c r="G667" s="192"/>
      <c r="H667" s="50"/>
      <c r="I667" s="49"/>
      <c r="J667" s="49"/>
      <c r="K667" s="49"/>
      <c r="L667" s="49"/>
      <c r="M667" s="49"/>
      <c r="N667" s="193"/>
      <c r="O667" s="172">
        <f>SUMIF($A$7:$A$502,A667,$O$7:$O$502)</f>
        <v>0</v>
      </c>
      <c r="P667" s="49"/>
      <c r="Q667" s="49"/>
      <c r="R667" s="49"/>
      <c r="S667" s="49"/>
      <c r="T667" s="49"/>
      <c r="U667" s="193"/>
      <c r="V667" s="173">
        <f>SUMIF($A$7:$A$502,A667,$V$7:$V$502)</f>
        <v>0</v>
      </c>
      <c r="W667" s="197"/>
      <c r="X667" s="165" t="s">
        <v>1004</v>
      </c>
      <c r="Y667" s="37">
        <f>+ROUND((O667+V667)*(1+SUMIF($Y$2:$Y$4,X667,$Z$2:$Z$4)),0)</f>
        <v>0</v>
      </c>
      <c r="Z667" s="37">
        <f t="shared" si="387"/>
        <v>0</v>
      </c>
    </row>
    <row r="668" spans="1:26" hidden="1" outlineLevel="1" x14ac:dyDescent="0.25">
      <c r="A668" s="189" t="s">
        <v>1025</v>
      </c>
      <c r="B668" s="252" t="s">
        <v>1025</v>
      </c>
      <c r="C668" s="190"/>
      <c r="D668" s="191"/>
      <c r="E668" s="191"/>
      <c r="F668" s="192"/>
      <c r="G668" s="192"/>
      <c r="H668" s="48"/>
      <c r="I668" s="49"/>
      <c r="J668" s="49"/>
      <c r="K668" s="49"/>
      <c r="L668" s="49"/>
      <c r="M668" s="49"/>
      <c r="N668" s="193"/>
      <c r="O668" s="172">
        <f>SUMIF($A$7:$A$502,A668,$O$7:$O$502)</f>
        <v>0</v>
      </c>
      <c r="P668" s="49"/>
      <c r="Q668" s="49"/>
      <c r="R668" s="49"/>
      <c r="S668" s="49"/>
      <c r="T668" s="49"/>
      <c r="U668" s="193"/>
      <c r="V668" s="173">
        <f>SUMIF($A$7:$A$502,A668,$V$7:$V$502)</f>
        <v>0</v>
      </c>
      <c r="W668" s="194"/>
      <c r="X668" s="165" t="s">
        <v>1004</v>
      </c>
      <c r="Y668" s="37">
        <f>+ROUND((O668+V668)*(1+SUMIF($Y$2:$Y$4,X668,$Z$2:$Z$4)),0)</f>
        <v>0</v>
      </c>
      <c r="Z668" s="37">
        <f t="shared" si="387"/>
        <v>0</v>
      </c>
    </row>
    <row r="669" spans="1:26" hidden="1" outlineLevel="1" x14ac:dyDescent="0.25">
      <c r="A669" s="189" t="s">
        <v>1037</v>
      </c>
      <c r="B669" s="253" t="s">
        <v>1366</v>
      </c>
      <c r="C669" s="195"/>
      <c r="D669" s="196"/>
      <c r="E669" s="196"/>
      <c r="F669" s="192"/>
      <c r="G669" s="192"/>
      <c r="H669" s="50"/>
      <c r="I669" s="49"/>
      <c r="J669" s="49"/>
      <c r="K669" s="49"/>
      <c r="L669" s="49"/>
      <c r="M669" s="49"/>
      <c r="N669" s="193"/>
      <c r="O669" s="172">
        <f>SUMIF($A$7:$A$502,A669,$O$7:$O$502)</f>
        <v>0</v>
      </c>
      <c r="P669" s="49"/>
      <c r="Q669" s="49"/>
      <c r="R669" s="49"/>
      <c r="S669" s="49"/>
      <c r="T669" s="49"/>
      <c r="U669" s="193"/>
      <c r="V669" s="173">
        <f>SUMIF($A$7:$A$502,A669,$V$7:$V$502)</f>
        <v>0</v>
      </c>
      <c r="W669" s="197"/>
      <c r="X669" s="165" t="s">
        <v>1004</v>
      </c>
      <c r="Y669" s="37">
        <f>+ROUND((O669+V669)*(1+SUMIF($Y$2:$Y$4,X669,$Z$2:$Z$4)),0)</f>
        <v>0</v>
      </c>
      <c r="Z669" s="37">
        <f t="shared" si="387"/>
        <v>0</v>
      </c>
    </row>
    <row r="670" spans="1:26" hidden="1" outlineLevel="1" x14ac:dyDescent="0.25">
      <c r="A670" s="189" t="s">
        <v>1044</v>
      </c>
      <c r="B670" s="252" t="s">
        <v>1367</v>
      </c>
      <c r="C670" s="190"/>
      <c r="D670" s="191"/>
      <c r="E670" s="191"/>
      <c r="F670" s="192"/>
      <c r="G670" s="192"/>
      <c r="H670" s="48"/>
      <c r="I670" s="49"/>
      <c r="J670" s="49"/>
      <c r="K670" s="49"/>
      <c r="L670" s="49"/>
      <c r="M670" s="49"/>
      <c r="N670" s="193"/>
      <c r="O670" s="172">
        <f>SUMIF($A$7:$A$502,A670,$O$7:$O$502)</f>
        <v>0</v>
      </c>
      <c r="P670" s="49"/>
      <c r="Q670" s="49"/>
      <c r="R670" s="49"/>
      <c r="S670" s="49"/>
      <c r="T670" s="49"/>
      <c r="U670" s="193"/>
      <c r="V670" s="173">
        <f>SUMIF($A$7:$A$502,A670,$V$7:$V$502)</f>
        <v>0</v>
      </c>
      <c r="W670" s="194"/>
      <c r="X670" s="165" t="s">
        <v>1004</v>
      </c>
      <c r="Y670" s="37">
        <f>+ROUND((O670+V670)*(1+SUMIF($Y$2:$Y$4,X670,$Z$2:$Z$4)),0)</f>
        <v>0</v>
      </c>
      <c r="Z670" s="37">
        <f t="shared" si="387"/>
        <v>0</v>
      </c>
    </row>
    <row r="671" spans="1:26" hidden="1" outlineLevel="1" x14ac:dyDescent="0.25">
      <c r="A671" s="189" t="s">
        <v>1368</v>
      </c>
      <c r="B671" s="253" t="s">
        <v>1369</v>
      </c>
      <c r="C671" s="195"/>
      <c r="D671" s="196"/>
      <c r="E671" s="196"/>
      <c r="F671" s="192"/>
      <c r="G671" s="192"/>
      <c r="H671" s="50"/>
      <c r="I671" s="49"/>
      <c r="J671" s="49"/>
      <c r="K671" s="49"/>
      <c r="L671" s="49"/>
      <c r="M671" s="49"/>
      <c r="N671" s="193"/>
      <c r="O671" s="172">
        <f>SUMIF($A$7:$A$502,A671,$O$7:$O$502)</f>
        <v>0</v>
      </c>
      <c r="P671" s="49"/>
      <c r="Q671" s="49"/>
      <c r="R671" s="49"/>
      <c r="S671" s="49"/>
      <c r="T671" s="49"/>
      <c r="U671" s="193"/>
      <c r="V671" s="173">
        <f>SUMIF($A$7:$A$502,A671,$V$7:$V$502)</f>
        <v>0</v>
      </c>
      <c r="W671" s="197"/>
      <c r="X671" s="165" t="s">
        <v>1004</v>
      </c>
      <c r="Y671" s="37">
        <f>+ROUND((O671+V671)*(1+SUMIF($Y$2:$Y$4,X671,$Z$2:$Z$4)),0)</f>
        <v>0</v>
      </c>
      <c r="Z671" s="37">
        <f t="shared" si="387"/>
        <v>0</v>
      </c>
    </row>
    <row r="672" spans="1:26" ht="15.75" hidden="1" outlineLevel="1" thickBot="1" x14ac:dyDescent="0.3">
      <c r="A672" s="189" t="s">
        <v>1370</v>
      </c>
      <c r="B672" s="252" t="s">
        <v>1371</v>
      </c>
      <c r="C672" s="190"/>
      <c r="D672" s="191"/>
      <c r="E672" s="191"/>
      <c r="F672" s="192"/>
      <c r="G672" s="192"/>
      <c r="H672" s="48"/>
      <c r="I672" s="49"/>
      <c r="J672" s="49"/>
      <c r="K672" s="49"/>
      <c r="L672" s="49"/>
      <c r="M672" s="49"/>
      <c r="N672" s="193"/>
      <c r="O672" s="172">
        <f>SUMIF($A$7:$A$502,A672,$O$7:$O$502)</f>
        <v>0</v>
      </c>
      <c r="P672" s="49"/>
      <c r="Q672" s="49"/>
      <c r="R672" s="49"/>
      <c r="S672" s="49"/>
      <c r="T672" s="49"/>
      <c r="U672" s="193"/>
      <c r="V672" s="173">
        <f>SUMIF($A$7:$A$502,A672,$V$7:$V$502)</f>
        <v>0</v>
      </c>
      <c r="W672" s="194"/>
      <c r="X672" s="165" t="s">
        <v>1004</v>
      </c>
      <c r="Y672" s="37">
        <f>+ROUND((O672+V672)*(1+SUMIF($Y$2:$Y$4,X672,$Z$2:$Z$4)),0)</f>
        <v>0</v>
      </c>
      <c r="Z672" s="37">
        <f t="shared" si="387"/>
        <v>0</v>
      </c>
    </row>
    <row r="673" spans="1:26" ht="15.75" collapsed="1" thickBot="1" x14ac:dyDescent="0.3">
      <c r="A673" s="198" t="s">
        <v>1372</v>
      </c>
      <c r="B673" s="198" t="s">
        <v>1373</v>
      </c>
      <c r="C673" s="199"/>
      <c r="D673" s="200"/>
      <c r="E673" s="200"/>
      <c r="F673" s="201"/>
      <c r="G673" s="201"/>
      <c r="H673" s="51"/>
      <c r="I673" s="52"/>
      <c r="J673" s="52"/>
      <c r="K673" s="52"/>
      <c r="L673" s="52"/>
      <c r="M673" s="52"/>
      <c r="N673" s="202"/>
      <c r="O673" s="53">
        <f>SUM(O512:O672)</f>
        <v>0</v>
      </c>
      <c r="P673" s="52"/>
      <c r="Q673" s="52"/>
      <c r="R673" s="52"/>
      <c r="S673" s="52"/>
      <c r="T673" s="52"/>
      <c r="U673" s="202"/>
      <c r="V673" s="53">
        <f>SUM(V512:V672)</f>
        <v>0</v>
      </c>
      <c r="W673" s="203"/>
      <c r="X673" s="203"/>
      <c r="Y673" s="53">
        <f>SUM(Y512:Y672)</f>
        <v>0</v>
      </c>
      <c r="Z673" s="53">
        <f>SUM(Z512:Z672)</f>
        <v>0</v>
      </c>
    </row>
  </sheetData>
  <autoFilter ref="A6:AC502" xr:uid="{00000000-0001-0000-0400-000000000000}"/>
  <phoneticPr fontId="49" type="noConversion"/>
  <conditionalFormatting sqref="X7:X484">
    <cfRule type="containsText" dxfId="14" priority="4" operator="containsText" text="C">
      <formula>NOT(ISERROR(SEARCH("C",X7)))</formula>
    </cfRule>
    <cfRule type="containsText" dxfId="13" priority="5" operator="containsText" text="B">
      <formula>NOT(ISERROR(SEARCH("B",X7)))</formula>
    </cfRule>
    <cfRule type="containsText" dxfId="12" priority="6" operator="containsText" text="A">
      <formula>NOT(ISERROR(SEARCH("A",X7)))</formula>
    </cfRule>
  </conditionalFormatting>
  <conditionalFormatting sqref="Y512">
    <cfRule type="containsText" dxfId="11" priority="1" operator="containsText" text="C">
      <formula>NOT(ISERROR(SEARCH("C",Y512)))</formula>
    </cfRule>
    <cfRule type="containsText" dxfId="10" priority="2" operator="containsText" text="B">
      <formula>NOT(ISERROR(SEARCH("B",Y512)))</formula>
    </cfRule>
    <cfRule type="containsText" dxfId="9" priority="3" operator="containsText" text="A">
      <formula>NOT(ISERROR(SEARCH("A",Y512)))</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35"/>
  <sheetViews>
    <sheetView workbookViewId="0">
      <pane xSplit="3" ySplit="6" topLeftCell="D7" activePane="bottomRight" state="frozen"/>
      <selection pane="topRight" activeCell="D1" sqref="D1"/>
      <selection pane="bottomLeft" activeCell="A7" sqref="A7"/>
      <selection pane="bottomRight" activeCell="D63" sqref="D63"/>
    </sheetView>
  </sheetViews>
  <sheetFormatPr defaultColWidth="8.7109375" defaultRowHeight="15" outlineLevelRow="2" x14ac:dyDescent="0.25"/>
  <cols>
    <col min="1" max="1" width="10.42578125" style="22" customWidth="1"/>
    <col min="2" max="2" width="10" style="22" customWidth="1"/>
    <col min="3" max="3" width="6" style="23" customWidth="1"/>
    <col min="4" max="4" width="56" style="23" customWidth="1"/>
    <col min="5" max="5" width="7" style="23" customWidth="1"/>
    <col min="6" max="6" width="11" style="23" customWidth="1"/>
    <col min="7" max="9" width="12" style="23" customWidth="1"/>
    <col min="10" max="10" width="14" style="23" customWidth="1"/>
    <col min="11" max="11" width="16" style="23" customWidth="1"/>
    <col min="12" max="12" width="11" style="23" customWidth="1"/>
    <col min="13" max="13" width="14" style="23" customWidth="1"/>
    <col min="14" max="14" width="16" style="23" customWidth="1"/>
    <col min="15" max="15" width="14" style="23" customWidth="1"/>
    <col min="16" max="16" width="10" style="23" customWidth="1"/>
    <col min="17" max="18" width="18" style="23" customWidth="1"/>
    <col min="19" max="19" width="13" style="23" customWidth="1"/>
    <col min="20" max="16384" width="8.7109375" style="23"/>
  </cols>
  <sheetData>
    <row r="1" spans="1:21" x14ac:dyDescent="0.25">
      <c r="A1" s="22" t="s">
        <v>1001</v>
      </c>
      <c r="L1" s="23" t="s">
        <v>1002</v>
      </c>
      <c r="Q1" s="23" t="s">
        <v>1003</v>
      </c>
    </row>
    <row r="2" spans="1:21" x14ac:dyDescent="0.25">
      <c r="Q2" s="259" t="s">
        <v>1004</v>
      </c>
      <c r="R2" s="260">
        <v>0.2</v>
      </c>
    </row>
    <row r="3" spans="1:21" x14ac:dyDescent="0.25">
      <c r="A3" s="22" t="s">
        <v>1608</v>
      </c>
      <c r="Q3" s="261" t="s">
        <v>1006</v>
      </c>
      <c r="R3" s="260">
        <v>0.1</v>
      </c>
      <c r="S3" s="23" t="s">
        <v>1007</v>
      </c>
    </row>
    <row r="4" spans="1:21" x14ac:dyDescent="0.25">
      <c r="A4" s="22" t="s">
        <v>616</v>
      </c>
      <c r="Q4" s="262" t="s">
        <v>1008</v>
      </c>
      <c r="S4" s="263"/>
      <c r="T4" s="28"/>
    </row>
    <row r="6" spans="1:21" ht="38.25" x14ac:dyDescent="0.25">
      <c r="A6" s="151" t="s">
        <v>618</v>
      </c>
      <c r="B6" s="150" t="s">
        <v>619</v>
      </c>
      <c r="C6" s="151" t="s">
        <v>620</v>
      </c>
      <c r="D6" s="151" t="s">
        <v>622</v>
      </c>
      <c r="E6" s="151" t="s">
        <v>623</v>
      </c>
      <c r="F6" s="264" t="s">
        <v>1009</v>
      </c>
      <c r="G6" s="264" t="s">
        <v>1010</v>
      </c>
      <c r="H6" s="265" t="s">
        <v>624</v>
      </c>
      <c r="I6" s="266" t="s">
        <v>1011</v>
      </c>
      <c r="J6" s="267" t="s">
        <v>1012</v>
      </c>
      <c r="K6" s="268" t="s">
        <v>1013</v>
      </c>
      <c r="L6" s="266" t="s">
        <v>1014</v>
      </c>
      <c r="M6" s="267" t="s">
        <v>1015</v>
      </c>
      <c r="N6" s="269" t="s">
        <v>1016</v>
      </c>
      <c r="O6" s="270" t="s">
        <v>630</v>
      </c>
      <c r="P6" s="157" t="s">
        <v>1017</v>
      </c>
      <c r="Q6" s="271" t="s">
        <v>1375</v>
      </c>
      <c r="R6" s="271" t="s">
        <v>1376</v>
      </c>
    </row>
    <row r="7" spans="1:21" x14ac:dyDescent="0.25">
      <c r="A7" s="287" t="s">
        <v>1283</v>
      </c>
      <c r="B7" s="287" t="s">
        <v>1884</v>
      </c>
      <c r="C7" s="164"/>
      <c r="D7" s="272" t="s">
        <v>1609</v>
      </c>
      <c r="E7" s="164"/>
      <c r="F7" s="273"/>
      <c r="G7" s="273"/>
      <c r="H7" s="283">
        <f t="shared" ref="H7:H20" si="0">+SUM(F7:G7)</f>
        <v>0</v>
      </c>
      <c r="I7" s="274"/>
      <c r="J7" s="275">
        <f t="shared" ref="J7:J20" si="1">+ROUND(I7*H7,2)</f>
        <v>0</v>
      </c>
      <c r="K7" s="276">
        <f t="shared" ref="K7:K8" si="2">SUM(J7:J7)</f>
        <v>0</v>
      </c>
      <c r="L7" s="277"/>
      <c r="M7" s="275">
        <f t="shared" ref="M7:M20" si="3">+ROUND(L7*H7,2)</f>
        <v>0</v>
      </c>
      <c r="N7" s="278">
        <f t="shared" ref="N7:N8" si="4">SUM(M7:M7)</f>
        <v>0</v>
      </c>
      <c r="O7" s="279"/>
      <c r="P7" s="128" t="s">
        <v>1004</v>
      </c>
      <c r="Q7" s="280">
        <f t="shared" ref="Q7:Q20" si="5">+ROUND((K7)*(1+SUMIF($Q$2:$Q$4,P7,$R$2:$R$4)),0)</f>
        <v>0</v>
      </c>
      <c r="R7" s="280">
        <f t="shared" ref="R7:R20" si="6">+ROUND((N7)*(1+SUMIF($Q$2:$Q$4,P7,$R$2:$R$4)),0)</f>
        <v>0</v>
      </c>
      <c r="S7" s="166"/>
      <c r="T7" s="166"/>
      <c r="U7" s="166"/>
    </row>
    <row r="8" spans="1:21" x14ac:dyDescent="0.25">
      <c r="A8" s="287" t="s">
        <v>1283</v>
      </c>
      <c r="B8" s="287" t="str">
        <f>+B7</f>
        <v>4.2/7</v>
      </c>
      <c r="C8" s="250">
        <v>1</v>
      </c>
      <c r="D8" s="286" t="s">
        <v>1885</v>
      </c>
      <c r="E8" s="160"/>
      <c r="F8" s="282"/>
      <c r="G8" s="282"/>
      <c r="H8" s="283">
        <f t="shared" si="0"/>
        <v>0</v>
      </c>
      <c r="I8" s="274"/>
      <c r="J8" s="275">
        <f t="shared" si="1"/>
        <v>0</v>
      </c>
      <c r="K8" s="276">
        <f t="shared" si="2"/>
        <v>0</v>
      </c>
      <c r="L8" s="284"/>
      <c r="M8" s="275">
        <f t="shared" si="3"/>
        <v>0</v>
      </c>
      <c r="N8" s="278">
        <f t="shared" si="4"/>
        <v>0</v>
      </c>
      <c r="O8" s="279"/>
      <c r="P8" s="128" t="s">
        <v>1004</v>
      </c>
      <c r="Q8" s="280">
        <f t="shared" si="5"/>
        <v>0</v>
      </c>
      <c r="R8" s="280">
        <f t="shared" si="6"/>
        <v>0</v>
      </c>
      <c r="S8" s="166"/>
      <c r="T8" s="166"/>
      <c r="U8" s="166"/>
    </row>
    <row r="9" spans="1:21" hidden="1" outlineLevel="1" x14ac:dyDescent="0.25">
      <c r="A9" s="287" t="s">
        <v>1283</v>
      </c>
      <c r="B9" s="287" t="str">
        <f>+B8</f>
        <v>4.2/7</v>
      </c>
      <c r="C9" s="250">
        <v>1.1000000000000001</v>
      </c>
      <c r="D9" s="286" t="s">
        <v>1886</v>
      </c>
      <c r="E9" s="160"/>
      <c r="F9" s="282"/>
      <c r="G9" s="282"/>
      <c r="H9" s="283">
        <f t="shared" si="0"/>
        <v>0</v>
      </c>
      <c r="I9" s="274"/>
      <c r="J9" s="275">
        <f t="shared" si="1"/>
        <v>0</v>
      </c>
      <c r="K9" s="276">
        <f t="shared" ref="K9" si="7">SUM(J9:J9)</f>
        <v>0</v>
      </c>
      <c r="L9" s="284"/>
      <c r="M9" s="275">
        <f t="shared" si="3"/>
        <v>0</v>
      </c>
      <c r="N9" s="278">
        <f t="shared" ref="N9" si="8">SUM(M9:M9)</f>
        <v>0</v>
      </c>
      <c r="O9" s="279"/>
      <c r="P9" s="128" t="s">
        <v>1004</v>
      </c>
      <c r="Q9" s="280">
        <f t="shared" si="5"/>
        <v>0</v>
      </c>
      <c r="R9" s="280">
        <f t="shared" si="6"/>
        <v>0</v>
      </c>
      <c r="S9" s="166"/>
      <c r="T9" s="166"/>
      <c r="U9" s="166"/>
    </row>
    <row r="10" spans="1:21" ht="48" hidden="1" outlineLevel="1" x14ac:dyDescent="0.25">
      <c r="A10" s="287" t="s">
        <v>1283</v>
      </c>
      <c r="B10" s="287" t="str">
        <f>+B7</f>
        <v>4.2/7</v>
      </c>
      <c r="C10" s="160" t="s">
        <v>1382</v>
      </c>
      <c r="D10" s="281" t="s">
        <v>1610</v>
      </c>
      <c r="E10" s="160" t="s">
        <v>1384</v>
      </c>
      <c r="F10" s="282"/>
      <c r="G10" s="282"/>
      <c r="H10" s="283">
        <f t="shared" si="0"/>
        <v>0</v>
      </c>
      <c r="I10" s="274"/>
      <c r="J10" s="275">
        <f t="shared" si="1"/>
        <v>0</v>
      </c>
      <c r="K10" s="276">
        <f t="shared" ref="K10:K54" si="9">SUM(J10:J10)</f>
        <v>0</v>
      </c>
      <c r="L10" s="284"/>
      <c r="M10" s="275">
        <f t="shared" si="3"/>
        <v>0</v>
      </c>
      <c r="N10" s="278">
        <f t="shared" ref="N10:N54" si="10">SUM(M10:M10)</f>
        <v>0</v>
      </c>
      <c r="O10" s="279"/>
      <c r="P10" s="128" t="s">
        <v>1004</v>
      </c>
      <c r="Q10" s="280">
        <f t="shared" si="5"/>
        <v>0</v>
      </c>
      <c r="R10" s="280">
        <f t="shared" si="6"/>
        <v>0</v>
      </c>
      <c r="S10" s="166"/>
      <c r="T10" s="166"/>
      <c r="U10" s="166"/>
    </row>
    <row r="11" spans="1:21" hidden="1" outlineLevel="1" x14ac:dyDescent="0.25">
      <c r="A11" s="287" t="s">
        <v>1093</v>
      </c>
      <c r="B11" s="287" t="str">
        <f t="shared" ref="B11:B55" si="11">+B10</f>
        <v>4.2/7</v>
      </c>
      <c r="C11" s="160" t="s">
        <v>1385</v>
      </c>
      <c r="D11" s="281" t="s">
        <v>1611</v>
      </c>
      <c r="E11" s="160" t="s">
        <v>1384</v>
      </c>
      <c r="F11" s="282"/>
      <c r="G11" s="282"/>
      <c r="H11" s="283">
        <f t="shared" si="0"/>
        <v>0</v>
      </c>
      <c r="I11" s="274"/>
      <c r="J11" s="275">
        <f t="shared" si="1"/>
        <v>0</v>
      </c>
      <c r="K11" s="276">
        <f t="shared" si="9"/>
        <v>0</v>
      </c>
      <c r="L11" s="284"/>
      <c r="M11" s="275">
        <f t="shared" si="3"/>
        <v>0</v>
      </c>
      <c r="N11" s="278">
        <f t="shared" si="10"/>
        <v>0</v>
      </c>
      <c r="O11" s="279"/>
      <c r="P11" s="128" t="s">
        <v>1004</v>
      </c>
      <c r="Q11" s="280">
        <f t="shared" si="5"/>
        <v>0</v>
      </c>
      <c r="R11" s="280">
        <f t="shared" si="6"/>
        <v>0</v>
      </c>
      <c r="S11" s="166"/>
      <c r="T11" s="166"/>
      <c r="U11" s="166"/>
    </row>
    <row r="12" spans="1:21" hidden="1" outlineLevel="1" x14ac:dyDescent="0.25">
      <c r="A12" s="287" t="s">
        <v>1073</v>
      </c>
      <c r="B12" s="287" t="str">
        <f>+B11</f>
        <v>4.2/7</v>
      </c>
      <c r="C12" s="250">
        <v>2</v>
      </c>
      <c r="D12" s="286" t="s">
        <v>1887</v>
      </c>
      <c r="E12" s="160"/>
      <c r="F12" s="282"/>
      <c r="G12" s="282"/>
      <c r="H12" s="283">
        <f t="shared" si="0"/>
        <v>0</v>
      </c>
      <c r="I12" s="274"/>
      <c r="J12" s="275">
        <f t="shared" si="1"/>
        <v>0</v>
      </c>
      <c r="K12" s="276">
        <f t="shared" si="9"/>
        <v>0</v>
      </c>
      <c r="L12" s="284"/>
      <c r="M12" s="275">
        <f t="shared" si="3"/>
        <v>0</v>
      </c>
      <c r="N12" s="278">
        <f t="shared" si="10"/>
        <v>0</v>
      </c>
      <c r="O12" s="279"/>
      <c r="P12" s="128" t="s">
        <v>1004</v>
      </c>
      <c r="Q12" s="280">
        <f t="shared" si="5"/>
        <v>0</v>
      </c>
      <c r="R12" s="280">
        <f t="shared" si="6"/>
        <v>0</v>
      </c>
      <c r="S12" s="166"/>
      <c r="T12" s="166"/>
      <c r="U12" s="166"/>
    </row>
    <row r="13" spans="1:21" hidden="1" outlineLevel="1" x14ac:dyDescent="0.25">
      <c r="A13" s="287" t="s">
        <v>1073</v>
      </c>
      <c r="B13" s="287" t="str">
        <f>+B12</f>
        <v>4.2/7</v>
      </c>
      <c r="C13" s="250">
        <v>2.1</v>
      </c>
      <c r="D13" s="286" t="s">
        <v>1888</v>
      </c>
      <c r="E13" s="160"/>
      <c r="F13" s="282"/>
      <c r="G13" s="282"/>
      <c r="H13" s="283">
        <f t="shared" si="0"/>
        <v>0</v>
      </c>
      <c r="I13" s="274"/>
      <c r="J13" s="275">
        <f t="shared" si="1"/>
        <v>0</v>
      </c>
      <c r="K13" s="276">
        <f t="shared" si="9"/>
        <v>0</v>
      </c>
      <c r="L13" s="284"/>
      <c r="M13" s="275">
        <f t="shared" si="3"/>
        <v>0</v>
      </c>
      <c r="N13" s="278">
        <f t="shared" si="10"/>
        <v>0</v>
      </c>
      <c r="O13" s="279"/>
      <c r="P13" s="128" t="s">
        <v>1004</v>
      </c>
      <c r="Q13" s="280">
        <f t="shared" si="5"/>
        <v>0</v>
      </c>
      <c r="R13" s="280">
        <f t="shared" si="6"/>
        <v>0</v>
      </c>
      <c r="S13" s="166"/>
      <c r="T13" s="166"/>
      <c r="U13" s="166"/>
    </row>
    <row r="14" spans="1:21" ht="120" hidden="1" outlineLevel="1" x14ac:dyDescent="0.25">
      <c r="A14" s="287" t="s">
        <v>1073</v>
      </c>
      <c r="B14" s="287" t="str">
        <f>+B11</f>
        <v>4.2/7</v>
      </c>
      <c r="C14" s="160" t="s">
        <v>1405</v>
      </c>
      <c r="D14" s="281" t="s">
        <v>1889</v>
      </c>
      <c r="E14" s="160" t="s">
        <v>1384</v>
      </c>
      <c r="F14" s="282"/>
      <c r="G14" s="282"/>
      <c r="H14" s="283">
        <f t="shared" si="0"/>
        <v>0</v>
      </c>
      <c r="I14" s="274"/>
      <c r="J14" s="275">
        <f t="shared" si="1"/>
        <v>0</v>
      </c>
      <c r="K14" s="276">
        <f t="shared" si="9"/>
        <v>0</v>
      </c>
      <c r="L14" s="284"/>
      <c r="M14" s="275">
        <f t="shared" si="3"/>
        <v>0</v>
      </c>
      <c r="N14" s="278">
        <f t="shared" si="10"/>
        <v>0</v>
      </c>
      <c r="O14" s="279"/>
      <c r="P14" s="128" t="s">
        <v>1004</v>
      </c>
      <c r="Q14" s="280">
        <f t="shared" si="5"/>
        <v>0</v>
      </c>
      <c r="R14" s="280">
        <f t="shared" si="6"/>
        <v>0</v>
      </c>
      <c r="S14" s="166"/>
      <c r="T14" s="166"/>
      <c r="U14" s="166"/>
    </row>
    <row r="15" spans="1:21" hidden="1" outlineLevel="1" x14ac:dyDescent="0.25">
      <c r="A15" s="287" t="s">
        <v>1284</v>
      </c>
      <c r="B15" s="287" t="str">
        <f>+B14</f>
        <v>4.2/7</v>
      </c>
      <c r="C15" s="250">
        <v>3</v>
      </c>
      <c r="D15" s="286" t="s">
        <v>1890</v>
      </c>
      <c r="E15" s="160"/>
      <c r="F15" s="282"/>
      <c r="G15" s="282"/>
      <c r="H15" s="283">
        <f t="shared" si="0"/>
        <v>0</v>
      </c>
      <c r="I15" s="274"/>
      <c r="J15" s="275">
        <f t="shared" si="1"/>
        <v>0</v>
      </c>
      <c r="K15" s="276">
        <f t="shared" ref="K15:K16" si="12">SUM(J15:J15)</f>
        <v>0</v>
      </c>
      <c r="L15" s="284"/>
      <c r="M15" s="275">
        <f t="shared" si="3"/>
        <v>0</v>
      </c>
      <c r="N15" s="278">
        <f t="shared" ref="N15:N16" si="13">SUM(M15:M15)</f>
        <v>0</v>
      </c>
      <c r="O15" s="279"/>
      <c r="P15" s="128" t="s">
        <v>1004</v>
      </c>
      <c r="Q15" s="280">
        <f t="shared" si="5"/>
        <v>0</v>
      </c>
      <c r="R15" s="280">
        <f t="shared" si="6"/>
        <v>0</v>
      </c>
      <c r="S15" s="166"/>
      <c r="T15" s="166"/>
      <c r="U15" s="166"/>
    </row>
    <row r="16" spans="1:21" hidden="1" outlineLevel="1" x14ac:dyDescent="0.25">
      <c r="A16" s="287" t="s">
        <v>1284</v>
      </c>
      <c r="B16" s="287" t="str">
        <f>+B15</f>
        <v>4.2/7</v>
      </c>
      <c r="C16" s="250">
        <v>3.1</v>
      </c>
      <c r="D16" s="286" t="s">
        <v>1891</v>
      </c>
      <c r="E16" s="160"/>
      <c r="F16" s="282"/>
      <c r="G16" s="282"/>
      <c r="H16" s="283">
        <f t="shared" si="0"/>
        <v>0</v>
      </c>
      <c r="I16" s="274"/>
      <c r="J16" s="275">
        <f t="shared" si="1"/>
        <v>0</v>
      </c>
      <c r="K16" s="276">
        <f t="shared" si="12"/>
        <v>0</v>
      </c>
      <c r="L16" s="284"/>
      <c r="M16" s="275">
        <f t="shared" si="3"/>
        <v>0</v>
      </c>
      <c r="N16" s="278">
        <f t="shared" si="13"/>
        <v>0</v>
      </c>
      <c r="O16" s="279"/>
      <c r="P16" s="128" t="s">
        <v>1004</v>
      </c>
      <c r="Q16" s="280">
        <f t="shared" si="5"/>
        <v>0</v>
      </c>
      <c r="R16" s="280">
        <f t="shared" si="6"/>
        <v>0</v>
      </c>
      <c r="S16" s="166"/>
      <c r="T16" s="166"/>
      <c r="U16" s="166"/>
    </row>
    <row r="17" spans="1:21" ht="72" hidden="1" outlineLevel="1" x14ac:dyDescent="0.25">
      <c r="A17" s="287" t="s">
        <v>1284</v>
      </c>
      <c r="B17" s="287" t="str">
        <f>+B14</f>
        <v>4.2/7</v>
      </c>
      <c r="C17" s="160" t="s">
        <v>1021</v>
      </c>
      <c r="D17" s="281" t="s">
        <v>1892</v>
      </c>
      <c r="E17" s="160" t="s">
        <v>1384</v>
      </c>
      <c r="F17" s="282"/>
      <c r="G17" s="282"/>
      <c r="H17" s="283">
        <f t="shared" si="0"/>
        <v>0</v>
      </c>
      <c r="I17" s="274"/>
      <c r="J17" s="275">
        <f t="shared" si="1"/>
        <v>0</v>
      </c>
      <c r="K17" s="276">
        <f t="shared" si="9"/>
        <v>0</v>
      </c>
      <c r="L17" s="284"/>
      <c r="M17" s="275">
        <f t="shared" si="3"/>
        <v>0</v>
      </c>
      <c r="N17" s="278">
        <f t="shared" si="10"/>
        <v>0</v>
      </c>
      <c r="O17" s="279"/>
      <c r="P17" s="128" t="s">
        <v>1004</v>
      </c>
      <c r="Q17" s="280">
        <f t="shared" si="5"/>
        <v>0</v>
      </c>
      <c r="R17" s="280">
        <f t="shared" si="6"/>
        <v>0</v>
      </c>
      <c r="S17" s="166"/>
      <c r="T17" s="166"/>
      <c r="U17" s="166"/>
    </row>
    <row r="18" spans="1:21" hidden="1" outlineLevel="1" x14ac:dyDescent="0.25">
      <c r="A18" s="287" t="s">
        <v>1298</v>
      </c>
      <c r="B18" s="287" t="str">
        <f>+B17</f>
        <v>4.2/7</v>
      </c>
      <c r="C18" s="250">
        <v>4</v>
      </c>
      <c r="D18" s="286" t="s">
        <v>1893</v>
      </c>
      <c r="E18" s="160"/>
      <c r="F18" s="282"/>
      <c r="G18" s="282"/>
      <c r="H18" s="283">
        <f t="shared" si="0"/>
        <v>0</v>
      </c>
      <c r="I18" s="274"/>
      <c r="J18" s="275">
        <f t="shared" si="1"/>
        <v>0</v>
      </c>
      <c r="K18" s="276">
        <f t="shared" si="9"/>
        <v>0</v>
      </c>
      <c r="L18" s="284"/>
      <c r="M18" s="275">
        <f t="shared" si="3"/>
        <v>0</v>
      </c>
      <c r="N18" s="278">
        <f t="shared" si="10"/>
        <v>0</v>
      </c>
      <c r="O18" s="279"/>
      <c r="P18" s="128" t="s">
        <v>1004</v>
      </c>
      <c r="Q18" s="280">
        <f t="shared" si="5"/>
        <v>0</v>
      </c>
      <c r="R18" s="280">
        <f t="shared" si="6"/>
        <v>0</v>
      </c>
      <c r="S18" s="166"/>
      <c r="T18" s="166"/>
      <c r="U18" s="166"/>
    </row>
    <row r="19" spans="1:21" hidden="1" outlineLevel="1" x14ac:dyDescent="0.25">
      <c r="A19" s="287" t="s">
        <v>1298</v>
      </c>
      <c r="B19" s="287" t="str">
        <f>+B18</f>
        <v>4.2/7</v>
      </c>
      <c r="C19" s="250">
        <v>4.0999999999999996</v>
      </c>
      <c r="D19" s="286" t="s">
        <v>1894</v>
      </c>
      <c r="E19" s="160"/>
      <c r="F19" s="282"/>
      <c r="G19" s="282"/>
      <c r="H19" s="283">
        <f t="shared" si="0"/>
        <v>0</v>
      </c>
      <c r="I19" s="274"/>
      <c r="J19" s="275">
        <f t="shared" si="1"/>
        <v>0</v>
      </c>
      <c r="K19" s="276">
        <f t="shared" si="9"/>
        <v>0</v>
      </c>
      <c r="L19" s="284"/>
      <c r="M19" s="275">
        <f t="shared" si="3"/>
        <v>0</v>
      </c>
      <c r="N19" s="278">
        <f t="shared" si="10"/>
        <v>0</v>
      </c>
      <c r="O19" s="279"/>
      <c r="P19" s="128" t="s">
        <v>1004</v>
      </c>
      <c r="Q19" s="280">
        <f t="shared" si="5"/>
        <v>0</v>
      </c>
      <c r="R19" s="280">
        <f t="shared" si="6"/>
        <v>0</v>
      </c>
      <c r="S19" s="166"/>
      <c r="T19" s="166"/>
      <c r="U19" s="166"/>
    </row>
    <row r="20" spans="1:21" ht="24" hidden="1" outlineLevel="1" x14ac:dyDescent="0.25">
      <c r="A20" s="287" t="s">
        <v>1298</v>
      </c>
      <c r="B20" s="287" t="str">
        <f>+B17</f>
        <v>4.2/7</v>
      </c>
      <c r="C20" s="160" t="s">
        <v>1506</v>
      </c>
      <c r="D20" s="281" t="s">
        <v>1895</v>
      </c>
      <c r="E20" s="160" t="s">
        <v>1384</v>
      </c>
      <c r="F20" s="282"/>
      <c r="G20" s="282"/>
      <c r="H20" s="283">
        <f t="shared" si="0"/>
        <v>0</v>
      </c>
      <c r="I20" s="274"/>
      <c r="J20" s="275">
        <f t="shared" si="1"/>
        <v>0</v>
      </c>
      <c r="K20" s="276">
        <f t="shared" si="9"/>
        <v>0</v>
      </c>
      <c r="L20" s="284"/>
      <c r="M20" s="275">
        <f t="shared" si="3"/>
        <v>0</v>
      </c>
      <c r="N20" s="278">
        <f t="shared" si="10"/>
        <v>0</v>
      </c>
      <c r="O20" s="279"/>
      <c r="P20" s="128" t="s">
        <v>1004</v>
      </c>
      <c r="Q20" s="280">
        <f t="shared" si="5"/>
        <v>0</v>
      </c>
      <c r="R20" s="280">
        <f t="shared" si="6"/>
        <v>0</v>
      </c>
      <c r="S20" s="166"/>
      <c r="T20" s="166"/>
      <c r="U20" s="166"/>
    </row>
    <row r="21" spans="1:21" s="25" customFormat="1" ht="15" customHeight="1" collapsed="1" x14ac:dyDescent="0.25">
      <c r="A21" s="175" t="s">
        <v>1022</v>
      </c>
      <c r="B21" s="185" t="str">
        <f>+B20</f>
        <v>4.2/7</v>
      </c>
      <c r="C21" s="177"/>
      <c r="D21" s="178" t="s">
        <v>1023</v>
      </c>
      <c r="E21" s="179"/>
      <c r="F21" s="41"/>
      <c r="G21" s="41"/>
      <c r="H21" s="42"/>
      <c r="I21" s="42"/>
      <c r="J21" s="42">
        <f>SUM(J7:J20)</f>
        <v>0</v>
      </c>
      <c r="K21" s="44">
        <f>SUM(K7:K20)</f>
        <v>0</v>
      </c>
      <c r="L21" s="42"/>
      <c r="M21" s="42">
        <f>SUM(M7:M20)</f>
        <v>0</v>
      </c>
      <c r="N21" s="44">
        <f>SUM(N7:N20)</f>
        <v>0</v>
      </c>
      <c r="O21" s="176"/>
      <c r="P21" s="128" t="s">
        <v>1004</v>
      </c>
      <c r="Q21" s="45">
        <f>SUM(Q7:Q20)</f>
        <v>0</v>
      </c>
      <c r="R21" s="45">
        <f>SUM(R7:R20)</f>
        <v>0</v>
      </c>
      <c r="S21" s="166"/>
      <c r="T21" s="166"/>
      <c r="U21" s="166"/>
    </row>
    <row r="22" spans="1:21" x14ac:dyDescent="0.25">
      <c r="A22" s="287" t="s">
        <v>1141</v>
      </c>
      <c r="B22" s="287" t="s">
        <v>1896</v>
      </c>
      <c r="C22" s="250"/>
      <c r="D22" s="286"/>
      <c r="E22" s="160"/>
      <c r="F22" s="282"/>
      <c r="G22" s="282"/>
      <c r="H22" s="283">
        <f t="shared" ref="H22" si="14">+SUM(F22:G22)</f>
        <v>0</v>
      </c>
      <c r="I22" s="274"/>
      <c r="J22" s="275">
        <f t="shared" ref="J22" si="15">+ROUND(I22*H22,2)</f>
        <v>0</v>
      </c>
      <c r="K22" s="276">
        <f>SUM(J22:J22)</f>
        <v>0</v>
      </c>
      <c r="L22" s="284"/>
      <c r="M22" s="275">
        <f t="shared" ref="M22" si="16">+ROUND(L22*H22,2)</f>
        <v>0</v>
      </c>
      <c r="N22" s="278">
        <f t="shared" ref="N22" si="17">SUM(M22:M22)</f>
        <v>0</v>
      </c>
      <c r="O22" s="279"/>
      <c r="P22" s="128" t="s">
        <v>1004</v>
      </c>
      <c r="Q22" s="280">
        <f t="shared" ref="Q22" si="18">+ROUND((K22)*(1+SUMIF($Q$2:$Q$4,P22,$R$2:$R$4)),0)</f>
        <v>0</v>
      </c>
      <c r="R22" s="280">
        <f t="shared" ref="R22" si="19">+ROUND((N22)*(1+SUMIF($Q$2:$Q$4,P22,$R$2:$R$4)),0)</f>
        <v>0</v>
      </c>
      <c r="S22" s="166"/>
      <c r="T22" s="166"/>
      <c r="U22" s="166"/>
    </row>
    <row r="23" spans="1:21" x14ac:dyDescent="0.25">
      <c r="A23" s="287" t="s">
        <v>1141</v>
      </c>
      <c r="B23" s="287" t="s">
        <v>1896</v>
      </c>
      <c r="C23" s="250">
        <v>5</v>
      </c>
      <c r="D23" s="286" t="s">
        <v>1897</v>
      </c>
      <c r="E23" s="160"/>
      <c r="F23" s="282"/>
      <c r="G23" s="282"/>
      <c r="H23" s="283">
        <f t="shared" ref="H23:H40" si="20">+SUM(F23:G23)</f>
        <v>0</v>
      </c>
      <c r="I23" s="274"/>
      <c r="J23" s="275">
        <f t="shared" ref="J23:J40" si="21">+ROUND(I23*H23,2)</f>
        <v>0</v>
      </c>
      <c r="K23" s="276">
        <f t="shared" ref="K23:K24" si="22">SUM(J23:J23)</f>
        <v>0</v>
      </c>
      <c r="L23" s="284"/>
      <c r="M23" s="275">
        <f t="shared" ref="M23:M40" si="23">+ROUND(L23*H23,2)</f>
        <v>0</v>
      </c>
      <c r="N23" s="278">
        <f t="shared" ref="N23:N24" si="24">SUM(M23:M23)</f>
        <v>0</v>
      </c>
      <c r="O23" s="279"/>
      <c r="P23" s="128" t="s">
        <v>1004</v>
      </c>
      <c r="Q23" s="280">
        <f t="shared" ref="Q23:Q40" si="25">+ROUND((K23)*(1+SUMIF($Q$2:$Q$4,P23,$R$2:$R$4)),0)</f>
        <v>0</v>
      </c>
      <c r="R23" s="280">
        <f t="shared" ref="R23:R40" si="26">+ROUND((N23)*(1+SUMIF($Q$2:$Q$4,P23,$R$2:$R$4)),0)</f>
        <v>0</v>
      </c>
      <c r="S23" s="166"/>
      <c r="T23" s="166"/>
      <c r="U23" s="166"/>
    </row>
    <row r="24" spans="1:21" hidden="1" outlineLevel="1" x14ac:dyDescent="0.25">
      <c r="A24" s="287" t="s">
        <v>1141</v>
      </c>
      <c r="B24" s="287" t="str">
        <f>+B23</f>
        <v>4.2/8</v>
      </c>
      <c r="C24" s="160">
        <v>5.0999999999999996</v>
      </c>
      <c r="D24" s="285" t="s">
        <v>1898</v>
      </c>
      <c r="E24" s="160" t="s">
        <v>1384</v>
      </c>
      <c r="F24" s="282"/>
      <c r="G24" s="282"/>
      <c r="H24" s="283">
        <f t="shared" si="20"/>
        <v>0</v>
      </c>
      <c r="I24" s="274"/>
      <c r="J24" s="275">
        <f t="shared" si="21"/>
        <v>0</v>
      </c>
      <c r="K24" s="276">
        <f t="shared" si="22"/>
        <v>0</v>
      </c>
      <c r="L24" s="284"/>
      <c r="M24" s="275">
        <f t="shared" si="23"/>
        <v>0</v>
      </c>
      <c r="N24" s="278">
        <f t="shared" si="24"/>
        <v>0</v>
      </c>
      <c r="O24" s="279"/>
      <c r="P24" s="128" t="s">
        <v>1004</v>
      </c>
      <c r="Q24" s="280">
        <f t="shared" si="25"/>
        <v>0</v>
      </c>
      <c r="R24" s="280">
        <f t="shared" si="26"/>
        <v>0</v>
      </c>
      <c r="S24" s="166"/>
      <c r="T24" s="166"/>
      <c r="U24" s="166"/>
    </row>
    <row r="25" spans="1:21" ht="36" hidden="1" outlineLevel="1" x14ac:dyDescent="0.25">
      <c r="A25" s="287" t="s">
        <v>1141</v>
      </c>
      <c r="B25" s="287" t="str">
        <f t="shared" ref="B25:B34" si="27">+B24</f>
        <v>4.2/8</v>
      </c>
      <c r="C25" s="160" t="s">
        <v>1531</v>
      </c>
      <c r="D25" s="281" t="s">
        <v>1899</v>
      </c>
      <c r="E25" s="160" t="s">
        <v>1384</v>
      </c>
      <c r="F25" s="282"/>
      <c r="G25" s="282"/>
      <c r="H25" s="283">
        <f t="shared" si="20"/>
        <v>0</v>
      </c>
      <c r="I25" s="274"/>
      <c r="J25" s="275">
        <f t="shared" si="21"/>
        <v>0</v>
      </c>
      <c r="K25" s="276">
        <f t="shared" si="9"/>
        <v>0</v>
      </c>
      <c r="L25" s="284"/>
      <c r="M25" s="275">
        <f t="shared" si="23"/>
        <v>0</v>
      </c>
      <c r="N25" s="278">
        <f t="shared" si="10"/>
        <v>0</v>
      </c>
      <c r="O25" s="279"/>
      <c r="P25" s="128" t="s">
        <v>1004</v>
      </c>
      <c r="Q25" s="280">
        <f t="shared" si="25"/>
        <v>0</v>
      </c>
      <c r="R25" s="280">
        <f t="shared" si="26"/>
        <v>0</v>
      </c>
      <c r="S25" s="166"/>
      <c r="T25" s="166"/>
      <c r="U25" s="166"/>
    </row>
    <row r="26" spans="1:21" hidden="1" outlineLevel="1" x14ac:dyDescent="0.25">
      <c r="A26" s="287" t="s">
        <v>1272</v>
      </c>
      <c r="B26" s="287" t="str">
        <f t="shared" si="27"/>
        <v>4.2/8</v>
      </c>
      <c r="C26" s="250">
        <v>6</v>
      </c>
      <c r="D26" s="286" t="s">
        <v>1530</v>
      </c>
      <c r="E26" s="160"/>
      <c r="F26" s="282"/>
      <c r="G26" s="282"/>
      <c r="H26" s="283">
        <f t="shared" si="20"/>
        <v>0</v>
      </c>
      <c r="I26" s="274"/>
      <c r="J26" s="275">
        <f t="shared" si="21"/>
        <v>0</v>
      </c>
      <c r="K26" s="276">
        <f t="shared" si="9"/>
        <v>0</v>
      </c>
      <c r="L26" s="284"/>
      <c r="M26" s="275">
        <f t="shared" si="23"/>
        <v>0</v>
      </c>
      <c r="N26" s="278">
        <f t="shared" si="10"/>
        <v>0</v>
      </c>
      <c r="O26" s="279"/>
      <c r="P26" s="128" t="s">
        <v>1004</v>
      </c>
      <c r="Q26" s="280">
        <f t="shared" si="25"/>
        <v>0</v>
      </c>
      <c r="R26" s="280">
        <f t="shared" si="26"/>
        <v>0</v>
      </c>
      <c r="S26" s="166"/>
      <c r="T26" s="166"/>
      <c r="U26" s="166"/>
    </row>
    <row r="27" spans="1:21" hidden="1" outlineLevel="1" x14ac:dyDescent="0.25">
      <c r="A27" s="287" t="s">
        <v>1272</v>
      </c>
      <c r="B27" s="287" t="str">
        <f t="shared" si="27"/>
        <v>4.2/8</v>
      </c>
      <c r="C27" s="160">
        <v>6.1</v>
      </c>
      <c r="D27" s="285" t="s">
        <v>1900</v>
      </c>
      <c r="E27" s="160" t="s">
        <v>1384</v>
      </c>
      <c r="F27" s="282"/>
      <c r="G27" s="282"/>
      <c r="H27" s="283">
        <f t="shared" si="20"/>
        <v>0</v>
      </c>
      <c r="I27" s="274"/>
      <c r="J27" s="275">
        <f t="shared" si="21"/>
        <v>0</v>
      </c>
      <c r="K27" s="276">
        <f t="shared" si="9"/>
        <v>0</v>
      </c>
      <c r="L27" s="284"/>
      <c r="M27" s="275">
        <f t="shared" si="23"/>
        <v>0</v>
      </c>
      <c r="N27" s="278">
        <f t="shared" si="10"/>
        <v>0</v>
      </c>
      <c r="O27" s="279"/>
      <c r="P27" s="128" t="s">
        <v>1004</v>
      </c>
      <c r="Q27" s="280">
        <f t="shared" si="25"/>
        <v>0</v>
      </c>
      <c r="R27" s="280">
        <f t="shared" si="26"/>
        <v>0</v>
      </c>
      <c r="S27" s="166"/>
      <c r="T27" s="166"/>
      <c r="U27" s="166"/>
    </row>
    <row r="28" spans="1:21" ht="36" hidden="1" outlineLevel="1" x14ac:dyDescent="0.25">
      <c r="A28" s="287" t="s">
        <v>1272</v>
      </c>
      <c r="B28" s="287" t="str">
        <f t="shared" si="27"/>
        <v>4.2/8</v>
      </c>
      <c r="C28" s="160" t="s">
        <v>1901</v>
      </c>
      <c r="D28" s="281" t="s">
        <v>1902</v>
      </c>
      <c r="E28" s="160" t="s">
        <v>1384</v>
      </c>
      <c r="F28" s="282"/>
      <c r="G28" s="282"/>
      <c r="H28" s="283">
        <f t="shared" si="20"/>
        <v>0</v>
      </c>
      <c r="I28" s="274"/>
      <c r="J28" s="275">
        <f t="shared" si="21"/>
        <v>0</v>
      </c>
      <c r="K28" s="276">
        <f t="shared" si="9"/>
        <v>0</v>
      </c>
      <c r="L28" s="284"/>
      <c r="M28" s="275">
        <f t="shared" si="23"/>
        <v>0</v>
      </c>
      <c r="N28" s="278">
        <f t="shared" si="10"/>
        <v>0</v>
      </c>
      <c r="O28" s="279"/>
      <c r="P28" s="128" t="s">
        <v>1004</v>
      </c>
      <c r="Q28" s="280">
        <f t="shared" si="25"/>
        <v>0</v>
      </c>
      <c r="R28" s="280">
        <f t="shared" si="26"/>
        <v>0</v>
      </c>
      <c r="S28" s="166"/>
      <c r="T28" s="166"/>
      <c r="U28" s="166"/>
    </row>
    <row r="29" spans="1:21" hidden="1" outlineLevel="1" x14ac:dyDescent="0.25">
      <c r="A29" s="287" t="s">
        <v>1304</v>
      </c>
      <c r="B29" s="287" t="str">
        <f t="shared" ref="B29:B30" si="28">+B28</f>
        <v>4.2/8</v>
      </c>
      <c r="C29" s="250">
        <v>7</v>
      </c>
      <c r="D29" s="286" t="s">
        <v>1903</v>
      </c>
      <c r="E29" s="160"/>
      <c r="F29" s="282"/>
      <c r="G29" s="282"/>
      <c r="H29" s="283">
        <f t="shared" si="20"/>
        <v>0</v>
      </c>
      <c r="I29" s="274"/>
      <c r="J29" s="275">
        <f t="shared" si="21"/>
        <v>0</v>
      </c>
      <c r="K29" s="276">
        <f t="shared" ref="K29:K30" si="29">SUM(J29:J29)</f>
        <v>0</v>
      </c>
      <c r="L29" s="284"/>
      <c r="M29" s="275">
        <f t="shared" si="23"/>
        <v>0</v>
      </c>
      <c r="N29" s="278">
        <f t="shared" ref="N29:N30" si="30">SUM(M29:M29)</f>
        <v>0</v>
      </c>
      <c r="O29" s="279"/>
      <c r="P29" s="128" t="s">
        <v>1004</v>
      </c>
      <c r="Q29" s="280">
        <f t="shared" si="25"/>
        <v>0</v>
      </c>
      <c r="R29" s="280">
        <f t="shared" si="26"/>
        <v>0</v>
      </c>
      <c r="S29" s="166"/>
      <c r="T29" s="166"/>
      <c r="U29" s="166"/>
    </row>
    <row r="30" spans="1:21" hidden="1" outlineLevel="1" x14ac:dyDescent="0.25">
      <c r="A30" s="287" t="s">
        <v>1304</v>
      </c>
      <c r="B30" s="287" t="str">
        <f t="shared" si="28"/>
        <v>4.2/8</v>
      </c>
      <c r="C30" s="160">
        <v>7.1</v>
      </c>
      <c r="D30" s="285" t="s">
        <v>1904</v>
      </c>
      <c r="E30" s="160" t="s">
        <v>1384</v>
      </c>
      <c r="F30" s="282"/>
      <c r="G30" s="282"/>
      <c r="H30" s="283">
        <f t="shared" si="20"/>
        <v>0</v>
      </c>
      <c r="I30" s="274"/>
      <c r="J30" s="275">
        <f t="shared" si="21"/>
        <v>0</v>
      </c>
      <c r="K30" s="276">
        <f t="shared" si="29"/>
        <v>0</v>
      </c>
      <c r="L30" s="284"/>
      <c r="M30" s="275">
        <f t="shared" si="23"/>
        <v>0</v>
      </c>
      <c r="N30" s="278">
        <f t="shared" si="30"/>
        <v>0</v>
      </c>
      <c r="O30" s="279"/>
      <c r="P30" s="128" t="s">
        <v>1004</v>
      </c>
      <c r="Q30" s="280">
        <f t="shared" si="25"/>
        <v>0</v>
      </c>
      <c r="R30" s="280">
        <f t="shared" si="26"/>
        <v>0</v>
      </c>
      <c r="S30" s="166"/>
      <c r="T30" s="166"/>
      <c r="U30" s="166"/>
    </row>
    <row r="31" spans="1:21" ht="36" hidden="1" outlineLevel="1" x14ac:dyDescent="0.25">
      <c r="A31" s="287" t="s">
        <v>1304</v>
      </c>
      <c r="B31" s="287" t="str">
        <f>+B28</f>
        <v>4.2/8</v>
      </c>
      <c r="C31" s="160" t="s">
        <v>1906</v>
      </c>
      <c r="D31" s="281" t="s">
        <v>1905</v>
      </c>
      <c r="E31" s="160" t="s">
        <v>1612</v>
      </c>
      <c r="F31" s="282"/>
      <c r="G31" s="282"/>
      <c r="H31" s="283">
        <f t="shared" si="20"/>
        <v>0</v>
      </c>
      <c r="I31" s="274"/>
      <c r="J31" s="275">
        <f t="shared" si="21"/>
        <v>0</v>
      </c>
      <c r="K31" s="276">
        <f t="shared" si="9"/>
        <v>0</v>
      </c>
      <c r="L31" s="284"/>
      <c r="M31" s="275">
        <f t="shared" si="23"/>
        <v>0</v>
      </c>
      <c r="N31" s="278">
        <f t="shared" si="10"/>
        <v>0</v>
      </c>
      <c r="O31" s="279"/>
      <c r="P31" s="128" t="s">
        <v>1004</v>
      </c>
      <c r="Q31" s="280">
        <f t="shared" si="25"/>
        <v>0</v>
      </c>
      <c r="R31" s="280">
        <f t="shared" si="26"/>
        <v>0</v>
      </c>
      <c r="S31" s="166"/>
      <c r="T31" s="166"/>
      <c r="U31" s="166"/>
    </row>
    <row r="32" spans="1:21" ht="24" hidden="1" outlineLevel="1" x14ac:dyDescent="0.25">
      <c r="A32" s="287" t="s">
        <v>1304</v>
      </c>
      <c r="B32" s="287" t="str">
        <f t="shared" si="27"/>
        <v>4.2/8</v>
      </c>
      <c r="C32" s="160" t="s">
        <v>1907</v>
      </c>
      <c r="D32" s="281" t="s">
        <v>1908</v>
      </c>
      <c r="E32" s="160" t="s">
        <v>1612</v>
      </c>
      <c r="F32" s="282"/>
      <c r="G32" s="282"/>
      <c r="H32" s="283">
        <f t="shared" si="20"/>
        <v>0</v>
      </c>
      <c r="I32" s="274"/>
      <c r="J32" s="275">
        <f t="shared" si="21"/>
        <v>0</v>
      </c>
      <c r="K32" s="276">
        <f t="shared" si="9"/>
        <v>0</v>
      </c>
      <c r="L32" s="284"/>
      <c r="M32" s="275">
        <f t="shared" si="23"/>
        <v>0</v>
      </c>
      <c r="N32" s="278">
        <f t="shared" si="10"/>
        <v>0</v>
      </c>
      <c r="O32" s="279"/>
      <c r="P32" s="128" t="s">
        <v>1004</v>
      </c>
      <c r="Q32" s="280">
        <f t="shared" si="25"/>
        <v>0</v>
      </c>
      <c r="R32" s="280">
        <f t="shared" si="26"/>
        <v>0</v>
      </c>
      <c r="S32" s="166"/>
      <c r="T32" s="166"/>
      <c r="U32" s="166"/>
    </row>
    <row r="33" spans="1:21" hidden="1" outlineLevel="1" x14ac:dyDescent="0.25">
      <c r="A33" s="287" t="s">
        <v>1286</v>
      </c>
      <c r="B33" s="287" t="str">
        <f t="shared" si="27"/>
        <v>4.2/8</v>
      </c>
      <c r="C33" s="250">
        <v>8</v>
      </c>
      <c r="D33" s="286" t="s">
        <v>1909</v>
      </c>
      <c r="E33" s="160"/>
      <c r="F33" s="282"/>
      <c r="G33" s="282"/>
      <c r="H33" s="283">
        <f t="shared" si="20"/>
        <v>0</v>
      </c>
      <c r="I33" s="274"/>
      <c r="J33" s="275">
        <f t="shared" si="21"/>
        <v>0</v>
      </c>
      <c r="K33" s="276">
        <f t="shared" si="9"/>
        <v>0</v>
      </c>
      <c r="L33" s="284"/>
      <c r="M33" s="275">
        <f t="shared" si="23"/>
        <v>0</v>
      </c>
      <c r="N33" s="278">
        <f t="shared" si="10"/>
        <v>0</v>
      </c>
      <c r="O33" s="279"/>
      <c r="P33" s="128" t="s">
        <v>1004</v>
      </c>
      <c r="Q33" s="280">
        <f t="shared" si="25"/>
        <v>0</v>
      </c>
      <c r="R33" s="280">
        <f t="shared" si="26"/>
        <v>0</v>
      </c>
      <c r="S33" s="166"/>
      <c r="T33" s="166"/>
      <c r="U33" s="166"/>
    </row>
    <row r="34" spans="1:21" hidden="1" outlineLevel="1" x14ac:dyDescent="0.25">
      <c r="A34" s="287" t="s">
        <v>1286</v>
      </c>
      <c r="B34" s="287" t="str">
        <f t="shared" si="27"/>
        <v>4.2/8</v>
      </c>
      <c r="C34" s="160">
        <v>8.1</v>
      </c>
      <c r="D34" s="285" t="s">
        <v>1910</v>
      </c>
      <c r="E34" s="160" t="s">
        <v>1384</v>
      </c>
      <c r="F34" s="282"/>
      <c r="G34" s="282"/>
      <c r="H34" s="283">
        <f t="shared" si="20"/>
        <v>0</v>
      </c>
      <c r="I34" s="274"/>
      <c r="J34" s="275">
        <f t="shared" si="21"/>
        <v>0</v>
      </c>
      <c r="K34" s="276">
        <f t="shared" si="9"/>
        <v>0</v>
      </c>
      <c r="L34" s="284"/>
      <c r="M34" s="275">
        <f t="shared" si="23"/>
        <v>0</v>
      </c>
      <c r="N34" s="278">
        <f t="shared" si="10"/>
        <v>0</v>
      </c>
      <c r="O34" s="279"/>
      <c r="P34" s="128" t="s">
        <v>1004</v>
      </c>
      <c r="Q34" s="280">
        <f t="shared" si="25"/>
        <v>0</v>
      </c>
      <c r="R34" s="280">
        <f t="shared" si="26"/>
        <v>0</v>
      </c>
      <c r="S34" s="166"/>
      <c r="T34" s="166"/>
      <c r="U34" s="166"/>
    </row>
    <row r="35" spans="1:21" ht="36" hidden="1" outlineLevel="1" x14ac:dyDescent="0.25">
      <c r="A35" s="287" t="s">
        <v>1286</v>
      </c>
      <c r="B35" s="287" t="str">
        <f>+B32</f>
        <v>4.2/8</v>
      </c>
      <c r="C35" s="160" t="s">
        <v>1912</v>
      </c>
      <c r="D35" s="281" t="s">
        <v>1911</v>
      </c>
      <c r="E35" s="160" t="s">
        <v>1384</v>
      </c>
      <c r="F35" s="282"/>
      <c r="G35" s="282"/>
      <c r="H35" s="283">
        <f t="shared" si="20"/>
        <v>0</v>
      </c>
      <c r="I35" s="274"/>
      <c r="J35" s="275">
        <f t="shared" si="21"/>
        <v>0</v>
      </c>
      <c r="K35" s="276">
        <f t="shared" si="9"/>
        <v>0</v>
      </c>
      <c r="L35" s="284"/>
      <c r="M35" s="275">
        <f t="shared" si="23"/>
        <v>0</v>
      </c>
      <c r="N35" s="278">
        <f t="shared" si="10"/>
        <v>0</v>
      </c>
      <c r="O35" s="279"/>
      <c r="P35" s="128" t="s">
        <v>1004</v>
      </c>
      <c r="Q35" s="280">
        <f t="shared" si="25"/>
        <v>0</v>
      </c>
      <c r="R35" s="280">
        <f t="shared" si="26"/>
        <v>0</v>
      </c>
      <c r="S35" s="166"/>
      <c r="T35" s="166"/>
      <c r="U35" s="166"/>
    </row>
    <row r="36" spans="1:21" hidden="1" outlineLevel="2" x14ac:dyDescent="0.25">
      <c r="A36" s="287" t="s">
        <v>1286</v>
      </c>
      <c r="B36" s="287" t="str">
        <f t="shared" si="11"/>
        <v>4.2/8</v>
      </c>
      <c r="C36" s="160"/>
      <c r="D36" s="288" t="s">
        <v>1613</v>
      </c>
      <c r="E36" s="160" t="s">
        <v>66</v>
      </c>
      <c r="F36" s="282"/>
      <c r="G36" s="282"/>
      <c r="H36" s="283">
        <f t="shared" si="20"/>
        <v>0</v>
      </c>
      <c r="I36" s="274"/>
      <c r="J36" s="275">
        <f t="shared" si="21"/>
        <v>0</v>
      </c>
      <c r="K36" s="276">
        <f t="shared" si="9"/>
        <v>0</v>
      </c>
      <c r="L36" s="284"/>
      <c r="M36" s="275">
        <f t="shared" si="23"/>
        <v>0</v>
      </c>
      <c r="N36" s="278">
        <f t="shared" si="10"/>
        <v>0</v>
      </c>
      <c r="O36" s="279"/>
      <c r="P36" s="128" t="s">
        <v>1004</v>
      </c>
      <c r="Q36" s="280">
        <f t="shared" si="25"/>
        <v>0</v>
      </c>
      <c r="R36" s="280">
        <f t="shared" si="26"/>
        <v>0</v>
      </c>
      <c r="S36" s="166"/>
      <c r="T36" s="166"/>
      <c r="U36" s="166"/>
    </row>
    <row r="37" spans="1:21" hidden="1" outlineLevel="2" x14ac:dyDescent="0.25">
      <c r="A37" s="287" t="s">
        <v>1286</v>
      </c>
      <c r="B37" s="287" t="str">
        <f t="shared" si="11"/>
        <v>4.2/8</v>
      </c>
      <c r="C37" s="160"/>
      <c r="D37" s="288" t="s">
        <v>1614</v>
      </c>
      <c r="E37" s="160" t="s">
        <v>66</v>
      </c>
      <c r="F37" s="282"/>
      <c r="G37" s="282"/>
      <c r="H37" s="283">
        <f t="shared" si="20"/>
        <v>0</v>
      </c>
      <c r="I37" s="274"/>
      <c r="J37" s="275">
        <f t="shared" si="21"/>
        <v>0</v>
      </c>
      <c r="K37" s="276">
        <f t="shared" si="9"/>
        <v>0</v>
      </c>
      <c r="L37" s="284"/>
      <c r="M37" s="275">
        <f t="shared" si="23"/>
        <v>0</v>
      </c>
      <c r="N37" s="278">
        <f t="shared" si="10"/>
        <v>0</v>
      </c>
      <c r="O37" s="279"/>
      <c r="P37" s="128" t="s">
        <v>1004</v>
      </c>
      <c r="Q37" s="280">
        <f t="shared" si="25"/>
        <v>0</v>
      </c>
      <c r="R37" s="280">
        <f t="shared" si="26"/>
        <v>0</v>
      </c>
      <c r="S37" s="166"/>
      <c r="T37" s="166"/>
      <c r="U37" s="166"/>
    </row>
    <row r="38" spans="1:21" hidden="1" outlineLevel="2" x14ac:dyDescent="0.25">
      <c r="A38" s="287" t="s">
        <v>1286</v>
      </c>
      <c r="B38" s="287" t="str">
        <f t="shared" si="11"/>
        <v>4.2/8</v>
      </c>
      <c r="C38" s="160"/>
      <c r="D38" s="288" t="s">
        <v>1615</v>
      </c>
      <c r="E38" s="160" t="s">
        <v>1616</v>
      </c>
      <c r="F38" s="282"/>
      <c r="G38" s="282"/>
      <c r="H38" s="283">
        <f t="shared" si="20"/>
        <v>0</v>
      </c>
      <c r="I38" s="274"/>
      <c r="J38" s="275">
        <f t="shared" si="21"/>
        <v>0</v>
      </c>
      <c r="K38" s="276">
        <f t="shared" si="9"/>
        <v>0</v>
      </c>
      <c r="L38" s="284"/>
      <c r="M38" s="275">
        <f t="shared" si="23"/>
        <v>0</v>
      </c>
      <c r="N38" s="278">
        <f t="shared" si="10"/>
        <v>0</v>
      </c>
      <c r="O38" s="279"/>
      <c r="P38" s="128" t="s">
        <v>1004</v>
      </c>
      <c r="Q38" s="280">
        <f t="shared" si="25"/>
        <v>0</v>
      </c>
      <c r="R38" s="280">
        <f t="shared" si="26"/>
        <v>0</v>
      </c>
      <c r="S38" s="166"/>
      <c r="T38" s="166"/>
      <c r="U38" s="166"/>
    </row>
    <row r="39" spans="1:21" hidden="1" outlineLevel="2" x14ac:dyDescent="0.25">
      <c r="A39" s="287" t="s">
        <v>1286</v>
      </c>
      <c r="B39" s="287" t="str">
        <f>+B37</f>
        <v>4.2/8</v>
      </c>
      <c r="C39" s="160"/>
      <c r="D39" s="288" t="s">
        <v>1617</v>
      </c>
      <c r="E39" s="160" t="s">
        <v>1612</v>
      </c>
      <c r="F39" s="282"/>
      <c r="G39" s="282"/>
      <c r="H39" s="283">
        <f t="shared" si="20"/>
        <v>0</v>
      </c>
      <c r="I39" s="274"/>
      <c r="J39" s="275">
        <f t="shared" si="21"/>
        <v>0</v>
      </c>
      <c r="K39" s="276">
        <f t="shared" ref="K39" si="31">SUM(J39:J39)</f>
        <v>0</v>
      </c>
      <c r="L39" s="284"/>
      <c r="M39" s="275">
        <f t="shared" si="23"/>
        <v>0</v>
      </c>
      <c r="N39" s="278">
        <f t="shared" ref="N39" si="32">SUM(M39:M39)</f>
        <v>0</v>
      </c>
      <c r="O39" s="279"/>
      <c r="P39" s="128" t="s">
        <v>1004</v>
      </c>
      <c r="Q39" s="280">
        <f t="shared" si="25"/>
        <v>0</v>
      </c>
      <c r="R39" s="280">
        <f t="shared" si="26"/>
        <v>0</v>
      </c>
      <c r="S39" s="166"/>
      <c r="T39" s="166"/>
      <c r="U39" s="166"/>
    </row>
    <row r="40" spans="1:21" hidden="1" outlineLevel="1" x14ac:dyDescent="0.25">
      <c r="A40" s="287" t="s">
        <v>1286</v>
      </c>
      <c r="B40" s="287" t="str">
        <f>+B38</f>
        <v>4.2/8</v>
      </c>
      <c r="C40" s="160"/>
      <c r="D40" s="288"/>
      <c r="E40" s="160"/>
      <c r="F40" s="282"/>
      <c r="G40" s="282"/>
      <c r="H40" s="283">
        <f t="shared" si="20"/>
        <v>0</v>
      </c>
      <c r="I40" s="274"/>
      <c r="J40" s="275">
        <f t="shared" si="21"/>
        <v>0</v>
      </c>
      <c r="K40" s="276">
        <f t="shared" si="9"/>
        <v>0</v>
      </c>
      <c r="L40" s="284"/>
      <c r="M40" s="275">
        <f t="shared" si="23"/>
        <v>0</v>
      </c>
      <c r="N40" s="278">
        <f t="shared" si="10"/>
        <v>0</v>
      </c>
      <c r="O40" s="279"/>
      <c r="P40" s="128" t="s">
        <v>1004</v>
      </c>
      <c r="Q40" s="280">
        <f t="shared" si="25"/>
        <v>0</v>
      </c>
      <c r="R40" s="280">
        <f t="shared" si="26"/>
        <v>0</v>
      </c>
      <c r="S40" s="166"/>
      <c r="T40" s="166"/>
      <c r="U40" s="166"/>
    </row>
    <row r="41" spans="1:21" s="25" customFormat="1" ht="15" customHeight="1" collapsed="1" x14ac:dyDescent="0.25">
      <c r="A41" s="175" t="s">
        <v>1022</v>
      </c>
      <c r="B41" s="185" t="str">
        <f>+B40</f>
        <v>4.2/8</v>
      </c>
      <c r="C41" s="177"/>
      <c r="D41" s="178" t="s">
        <v>1023</v>
      </c>
      <c r="E41" s="179"/>
      <c r="F41" s="41"/>
      <c r="G41" s="41"/>
      <c r="H41" s="42"/>
      <c r="I41" s="42"/>
      <c r="J41" s="42">
        <f>SUM(J23:J40)</f>
        <v>0</v>
      </c>
      <c r="K41" s="42">
        <f>SUM(K23:K40)</f>
        <v>0</v>
      </c>
      <c r="L41" s="42"/>
      <c r="M41" s="42">
        <f>SUM(M23:M40)</f>
        <v>0</v>
      </c>
      <c r="N41" s="42">
        <f>SUM(N23:N40)</f>
        <v>0</v>
      </c>
      <c r="O41" s="176"/>
      <c r="P41" s="128" t="s">
        <v>1004</v>
      </c>
      <c r="Q41" s="42">
        <f>SUM(Q23:Q40)</f>
        <v>0</v>
      </c>
      <c r="R41" s="42">
        <f>SUM(R23:R40)</f>
        <v>0</v>
      </c>
      <c r="S41" s="166"/>
      <c r="T41" s="166"/>
      <c r="U41" s="166"/>
    </row>
    <row r="42" spans="1:21" x14ac:dyDescent="0.25">
      <c r="A42" s="287" t="s">
        <v>1316</v>
      </c>
      <c r="B42" s="287" t="str">
        <f>+B40</f>
        <v>4.2/8</v>
      </c>
      <c r="C42" s="250"/>
      <c r="D42" s="286"/>
      <c r="E42" s="160"/>
      <c r="F42" s="282"/>
      <c r="G42" s="282"/>
      <c r="H42" s="283">
        <f t="shared" ref="H42" si="33">+SUM(F42:G42)</f>
        <v>0</v>
      </c>
      <c r="I42" s="274"/>
      <c r="J42" s="275">
        <f t="shared" ref="J42" si="34">+ROUND(I42*H42,2)</f>
        <v>0</v>
      </c>
      <c r="K42" s="276">
        <f t="shared" ref="K42" si="35">SUM(J42:J42)</f>
        <v>0</v>
      </c>
      <c r="L42" s="284"/>
      <c r="M42" s="275">
        <f t="shared" ref="M42" si="36">+ROUND(L42*H42,2)</f>
        <v>0</v>
      </c>
      <c r="N42" s="278">
        <f t="shared" ref="N42" si="37">SUM(M42:M42)</f>
        <v>0</v>
      </c>
      <c r="O42" s="279"/>
      <c r="P42" s="128" t="s">
        <v>1004</v>
      </c>
      <c r="Q42" s="280">
        <f t="shared" ref="Q42" si="38">+ROUND((K42)*(1+SUMIF($Q$2:$Q$4,P42,$R$2:$R$4)),0)</f>
        <v>0</v>
      </c>
      <c r="R42" s="280">
        <f t="shared" ref="R42" si="39">+ROUND((N42)*(1+SUMIF($Q$2:$Q$4,P42,$R$2:$R$4)),0)</f>
        <v>0</v>
      </c>
      <c r="S42" s="166"/>
      <c r="T42" s="166"/>
      <c r="U42" s="166"/>
    </row>
    <row r="43" spans="1:21" x14ac:dyDescent="0.25">
      <c r="A43" s="287" t="s">
        <v>1316</v>
      </c>
      <c r="B43" s="287" t="str">
        <f>+B41</f>
        <v>4.2/8</v>
      </c>
      <c r="C43" s="250">
        <v>9</v>
      </c>
      <c r="D43" s="286" t="s">
        <v>1914</v>
      </c>
      <c r="E43" s="160"/>
      <c r="F43" s="282"/>
      <c r="G43" s="282"/>
      <c r="H43" s="283">
        <f t="shared" ref="H43:H55" si="40">+SUM(F43:G43)</f>
        <v>0</v>
      </c>
      <c r="I43" s="274"/>
      <c r="J43" s="275">
        <f t="shared" ref="J43:J55" si="41">+ROUND(I43*H43,2)</f>
        <v>0</v>
      </c>
      <c r="K43" s="276">
        <f t="shared" ref="K43:K44" si="42">SUM(J43:J43)</f>
        <v>0</v>
      </c>
      <c r="L43" s="284"/>
      <c r="M43" s="275">
        <f t="shared" ref="M43:M55" si="43">+ROUND(L43*H43,2)</f>
        <v>0</v>
      </c>
      <c r="N43" s="278">
        <f t="shared" ref="N43:N44" si="44">SUM(M43:M43)</f>
        <v>0</v>
      </c>
      <c r="O43" s="279"/>
      <c r="P43" s="128" t="s">
        <v>1004</v>
      </c>
      <c r="Q43" s="280">
        <f t="shared" ref="Q43:Q55" si="45">+ROUND((K43)*(1+SUMIF($Q$2:$Q$4,P43,$R$2:$R$4)),0)</f>
        <v>0</v>
      </c>
      <c r="R43" s="280">
        <f t="shared" ref="R43:R55" si="46">+ROUND((N43)*(1+SUMIF($Q$2:$Q$4,P43,$R$2:$R$4)),0)</f>
        <v>0</v>
      </c>
      <c r="S43" s="166"/>
      <c r="T43" s="166"/>
      <c r="U43" s="166"/>
    </row>
    <row r="44" spans="1:21" hidden="1" outlineLevel="1" x14ac:dyDescent="0.25">
      <c r="A44" s="287" t="s">
        <v>1316</v>
      </c>
      <c r="B44" s="287" t="str">
        <f t="shared" ref="B44" si="47">+B43</f>
        <v>4.2/8</v>
      </c>
      <c r="C44" s="160">
        <v>9.1</v>
      </c>
      <c r="D44" s="285" t="s">
        <v>1915</v>
      </c>
      <c r="E44" s="160" t="s">
        <v>1384</v>
      </c>
      <c r="F44" s="282"/>
      <c r="G44" s="282"/>
      <c r="H44" s="283">
        <f t="shared" si="40"/>
        <v>0</v>
      </c>
      <c r="I44" s="274"/>
      <c r="J44" s="275">
        <f t="shared" si="41"/>
        <v>0</v>
      </c>
      <c r="K44" s="276">
        <f t="shared" si="42"/>
        <v>0</v>
      </c>
      <c r="L44" s="284"/>
      <c r="M44" s="275">
        <f t="shared" si="43"/>
        <v>0</v>
      </c>
      <c r="N44" s="278">
        <f t="shared" si="44"/>
        <v>0</v>
      </c>
      <c r="O44" s="279"/>
      <c r="P44" s="128" t="s">
        <v>1004</v>
      </c>
      <c r="Q44" s="280">
        <f t="shared" si="45"/>
        <v>0</v>
      </c>
      <c r="R44" s="280">
        <f t="shared" si="46"/>
        <v>0</v>
      </c>
      <c r="S44" s="166"/>
      <c r="T44" s="166"/>
      <c r="U44" s="166"/>
    </row>
    <row r="45" spans="1:21" hidden="1" outlineLevel="1" x14ac:dyDescent="0.25">
      <c r="A45" s="287" t="s">
        <v>1316</v>
      </c>
      <c r="B45" s="287" t="s">
        <v>1913</v>
      </c>
      <c r="C45" s="160" t="s">
        <v>1916</v>
      </c>
      <c r="D45" s="281" t="s">
        <v>1919</v>
      </c>
      <c r="E45" s="160" t="s">
        <v>1612</v>
      </c>
      <c r="F45" s="282"/>
      <c r="G45" s="282"/>
      <c r="H45" s="283">
        <f t="shared" si="40"/>
        <v>0</v>
      </c>
      <c r="I45" s="274"/>
      <c r="J45" s="275">
        <f t="shared" si="41"/>
        <v>0</v>
      </c>
      <c r="K45" s="276">
        <f t="shared" si="9"/>
        <v>0</v>
      </c>
      <c r="L45" s="284"/>
      <c r="M45" s="275">
        <f t="shared" si="43"/>
        <v>0</v>
      </c>
      <c r="N45" s="278">
        <f t="shared" si="10"/>
        <v>0</v>
      </c>
      <c r="O45" s="279"/>
      <c r="P45" s="128" t="s">
        <v>1004</v>
      </c>
      <c r="Q45" s="280">
        <f t="shared" si="45"/>
        <v>0</v>
      </c>
      <c r="R45" s="280">
        <f t="shared" si="46"/>
        <v>0</v>
      </c>
      <c r="S45" s="166"/>
      <c r="T45" s="166"/>
      <c r="U45" s="166"/>
    </row>
    <row r="46" spans="1:21" hidden="1" outlineLevel="1" x14ac:dyDescent="0.25">
      <c r="A46" s="287" t="s">
        <v>1316</v>
      </c>
      <c r="B46" s="287" t="str">
        <f t="shared" si="11"/>
        <v>4.2/9</v>
      </c>
      <c r="C46" s="160" t="s">
        <v>1917</v>
      </c>
      <c r="D46" s="281" t="s">
        <v>1920</v>
      </c>
      <c r="E46" s="160" t="s">
        <v>1612</v>
      </c>
      <c r="F46" s="282"/>
      <c r="G46" s="282"/>
      <c r="H46" s="283">
        <f t="shared" si="40"/>
        <v>0</v>
      </c>
      <c r="I46" s="274"/>
      <c r="J46" s="275">
        <f t="shared" si="41"/>
        <v>0</v>
      </c>
      <c r="K46" s="276">
        <f t="shared" si="9"/>
        <v>0</v>
      </c>
      <c r="L46" s="284"/>
      <c r="M46" s="275">
        <f t="shared" si="43"/>
        <v>0</v>
      </c>
      <c r="N46" s="278">
        <f t="shared" si="10"/>
        <v>0</v>
      </c>
      <c r="O46" s="279"/>
      <c r="P46" s="128" t="s">
        <v>1004</v>
      </c>
      <c r="Q46" s="280">
        <f t="shared" si="45"/>
        <v>0</v>
      </c>
      <c r="R46" s="280">
        <f t="shared" si="46"/>
        <v>0</v>
      </c>
      <c r="S46" s="166"/>
      <c r="T46" s="166"/>
      <c r="U46" s="166"/>
    </row>
    <row r="47" spans="1:21" hidden="1" outlineLevel="1" x14ac:dyDescent="0.25">
      <c r="A47" s="287" t="s">
        <v>1308</v>
      </c>
      <c r="B47" s="287" t="str">
        <f t="shared" si="11"/>
        <v>4.2/9</v>
      </c>
      <c r="C47" s="160" t="s">
        <v>1918</v>
      </c>
      <c r="D47" s="281" t="s">
        <v>1921</v>
      </c>
      <c r="E47" s="160" t="s">
        <v>1029</v>
      </c>
      <c r="F47" s="282"/>
      <c r="G47" s="282"/>
      <c r="H47" s="283">
        <f t="shared" si="40"/>
        <v>0</v>
      </c>
      <c r="I47" s="274"/>
      <c r="J47" s="275">
        <f t="shared" si="41"/>
        <v>0</v>
      </c>
      <c r="K47" s="276">
        <f t="shared" si="9"/>
        <v>0</v>
      </c>
      <c r="L47" s="284"/>
      <c r="M47" s="275">
        <f t="shared" si="43"/>
        <v>0</v>
      </c>
      <c r="N47" s="278">
        <f t="shared" si="10"/>
        <v>0</v>
      </c>
      <c r="O47" s="279"/>
      <c r="P47" s="128" t="s">
        <v>1004</v>
      </c>
      <c r="Q47" s="280">
        <f t="shared" si="45"/>
        <v>0</v>
      </c>
      <c r="R47" s="280">
        <f t="shared" si="46"/>
        <v>0</v>
      </c>
      <c r="S47" s="166"/>
      <c r="T47" s="166"/>
      <c r="U47" s="166"/>
    </row>
    <row r="48" spans="1:21" hidden="1" outlineLevel="1" x14ac:dyDescent="0.25">
      <c r="A48" s="287" t="s">
        <v>1290</v>
      </c>
      <c r="B48" s="287" t="str">
        <f>+B47</f>
        <v>4.2/9</v>
      </c>
      <c r="C48" s="250">
        <v>10</v>
      </c>
      <c r="D48" s="286" t="s">
        <v>1922</v>
      </c>
      <c r="E48" s="160"/>
      <c r="F48" s="282"/>
      <c r="G48" s="282"/>
      <c r="H48" s="283">
        <f t="shared" si="40"/>
        <v>0</v>
      </c>
      <c r="I48" s="274"/>
      <c r="J48" s="275">
        <f t="shared" si="41"/>
        <v>0</v>
      </c>
      <c r="K48" s="276">
        <f t="shared" si="9"/>
        <v>0</v>
      </c>
      <c r="L48" s="284"/>
      <c r="M48" s="275">
        <f t="shared" si="43"/>
        <v>0</v>
      </c>
      <c r="N48" s="278">
        <f t="shared" si="10"/>
        <v>0</v>
      </c>
      <c r="O48" s="279"/>
      <c r="P48" s="128" t="s">
        <v>1004</v>
      </c>
      <c r="Q48" s="280">
        <f t="shared" si="45"/>
        <v>0</v>
      </c>
      <c r="R48" s="280">
        <f t="shared" si="46"/>
        <v>0</v>
      </c>
      <c r="S48" s="166"/>
      <c r="T48" s="166"/>
      <c r="U48" s="166"/>
    </row>
    <row r="49" spans="1:21" hidden="1" outlineLevel="1" x14ac:dyDescent="0.25">
      <c r="A49" s="287" t="s">
        <v>1290</v>
      </c>
      <c r="B49" s="287" t="str">
        <f t="shared" ref="B49:B52" si="48">+B48</f>
        <v>4.2/9</v>
      </c>
      <c r="C49" s="160">
        <v>10.1</v>
      </c>
      <c r="D49" s="285" t="s">
        <v>1923</v>
      </c>
      <c r="E49" s="160"/>
      <c r="F49" s="282"/>
      <c r="G49" s="282"/>
      <c r="H49" s="283">
        <f t="shared" si="40"/>
        <v>0</v>
      </c>
      <c r="I49" s="274"/>
      <c r="J49" s="275">
        <f t="shared" si="41"/>
        <v>0</v>
      </c>
      <c r="K49" s="276">
        <f t="shared" si="9"/>
        <v>0</v>
      </c>
      <c r="L49" s="284"/>
      <c r="M49" s="275">
        <f t="shared" si="43"/>
        <v>0</v>
      </c>
      <c r="N49" s="278">
        <f t="shared" si="10"/>
        <v>0</v>
      </c>
      <c r="O49" s="279"/>
      <c r="P49" s="128" t="s">
        <v>1004</v>
      </c>
      <c r="Q49" s="280">
        <f t="shared" si="45"/>
        <v>0</v>
      </c>
      <c r="R49" s="280">
        <f t="shared" si="46"/>
        <v>0</v>
      </c>
      <c r="S49" s="166"/>
      <c r="T49" s="166"/>
      <c r="U49" s="166"/>
    </row>
    <row r="50" spans="1:21" ht="72" hidden="1" outlineLevel="1" x14ac:dyDescent="0.25">
      <c r="A50" s="287" t="s">
        <v>1290</v>
      </c>
      <c r="B50" s="287" t="str">
        <f t="shared" si="48"/>
        <v>4.2/9</v>
      </c>
      <c r="C50" s="160" t="s">
        <v>1925</v>
      </c>
      <c r="D50" s="281" t="s">
        <v>1924</v>
      </c>
      <c r="E50" s="160"/>
      <c r="F50" s="282"/>
      <c r="G50" s="282"/>
      <c r="H50" s="283">
        <f t="shared" si="40"/>
        <v>0</v>
      </c>
      <c r="I50" s="274"/>
      <c r="J50" s="275">
        <f t="shared" si="41"/>
        <v>0</v>
      </c>
      <c r="K50" s="276">
        <f t="shared" ref="K50" si="49">SUM(J50:J50)</f>
        <v>0</v>
      </c>
      <c r="L50" s="284"/>
      <c r="M50" s="275">
        <f t="shared" si="43"/>
        <v>0</v>
      </c>
      <c r="N50" s="278">
        <f t="shared" ref="N50" si="50">SUM(M50:M50)</f>
        <v>0</v>
      </c>
      <c r="O50" s="279"/>
      <c r="P50" s="128" t="s">
        <v>1004</v>
      </c>
      <c r="Q50" s="280">
        <f t="shared" si="45"/>
        <v>0</v>
      </c>
      <c r="R50" s="280">
        <f t="shared" si="46"/>
        <v>0</v>
      </c>
      <c r="S50" s="166"/>
      <c r="T50" s="166"/>
      <c r="U50" s="166"/>
    </row>
    <row r="51" spans="1:21" hidden="1" outlineLevel="2" x14ac:dyDescent="0.25">
      <c r="A51" s="287" t="s">
        <v>1290</v>
      </c>
      <c r="B51" s="287" t="str">
        <f t="shared" si="48"/>
        <v>4.2/9</v>
      </c>
      <c r="C51" s="160"/>
      <c r="D51" s="288" t="s">
        <v>1618</v>
      </c>
      <c r="E51" s="160" t="s">
        <v>66</v>
      </c>
      <c r="F51" s="282"/>
      <c r="G51" s="282"/>
      <c r="H51" s="283">
        <f t="shared" si="40"/>
        <v>0</v>
      </c>
      <c r="I51" s="274"/>
      <c r="J51" s="275">
        <f t="shared" si="41"/>
        <v>0</v>
      </c>
      <c r="K51" s="276">
        <f t="shared" si="9"/>
        <v>0</v>
      </c>
      <c r="L51" s="284"/>
      <c r="M51" s="275">
        <f t="shared" si="43"/>
        <v>0</v>
      </c>
      <c r="N51" s="278">
        <f t="shared" si="10"/>
        <v>0</v>
      </c>
      <c r="O51" s="279"/>
      <c r="P51" s="128" t="s">
        <v>1004</v>
      </c>
      <c r="Q51" s="280">
        <f t="shared" si="45"/>
        <v>0</v>
      </c>
      <c r="R51" s="280">
        <f t="shared" si="46"/>
        <v>0</v>
      </c>
      <c r="S51" s="166"/>
      <c r="T51" s="166"/>
      <c r="U51" s="166"/>
    </row>
    <row r="52" spans="1:21" hidden="1" outlineLevel="2" x14ac:dyDescent="0.25">
      <c r="A52" s="287" t="s">
        <v>1290</v>
      </c>
      <c r="B52" s="287" t="str">
        <f t="shared" si="48"/>
        <v>4.2/9</v>
      </c>
      <c r="C52" s="160"/>
      <c r="D52" s="288" t="s">
        <v>1619</v>
      </c>
      <c r="E52" s="160" t="s">
        <v>1616</v>
      </c>
      <c r="F52" s="282"/>
      <c r="G52" s="282"/>
      <c r="H52" s="283">
        <f t="shared" si="40"/>
        <v>0</v>
      </c>
      <c r="I52" s="274"/>
      <c r="J52" s="275">
        <f t="shared" si="41"/>
        <v>0</v>
      </c>
      <c r="K52" s="276">
        <f t="shared" si="9"/>
        <v>0</v>
      </c>
      <c r="L52" s="284"/>
      <c r="M52" s="275">
        <f t="shared" si="43"/>
        <v>0</v>
      </c>
      <c r="N52" s="278">
        <f t="shared" si="10"/>
        <v>0</v>
      </c>
      <c r="O52" s="279"/>
      <c r="P52" s="128" t="s">
        <v>1004</v>
      </c>
      <c r="Q52" s="280">
        <f t="shared" si="45"/>
        <v>0</v>
      </c>
      <c r="R52" s="280">
        <f t="shared" si="46"/>
        <v>0</v>
      </c>
      <c r="S52" s="166"/>
      <c r="T52" s="166"/>
      <c r="U52" s="166"/>
    </row>
    <row r="53" spans="1:21" hidden="1" outlineLevel="2" x14ac:dyDescent="0.25">
      <c r="A53" s="287" t="s">
        <v>1290</v>
      </c>
      <c r="B53" s="287" t="str">
        <f t="shared" si="11"/>
        <v>4.2/9</v>
      </c>
      <c r="C53" s="160"/>
      <c r="D53" s="288" t="s">
        <v>1620</v>
      </c>
      <c r="E53" s="160" t="s">
        <v>1616</v>
      </c>
      <c r="F53" s="282"/>
      <c r="G53" s="282"/>
      <c r="H53" s="283">
        <f t="shared" si="40"/>
        <v>0</v>
      </c>
      <c r="I53" s="274"/>
      <c r="J53" s="275">
        <f t="shared" si="41"/>
        <v>0</v>
      </c>
      <c r="K53" s="276">
        <f t="shared" si="9"/>
        <v>0</v>
      </c>
      <c r="L53" s="284"/>
      <c r="M53" s="275">
        <f t="shared" si="43"/>
        <v>0</v>
      </c>
      <c r="N53" s="278">
        <f t="shared" si="10"/>
        <v>0</v>
      </c>
      <c r="O53" s="279"/>
      <c r="P53" s="128" t="s">
        <v>1004</v>
      </c>
      <c r="Q53" s="280">
        <f t="shared" si="45"/>
        <v>0</v>
      </c>
      <c r="R53" s="280">
        <f t="shared" si="46"/>
        <v>0</v>
      </c>
      <c r="S53" s="166"/>
      <c r="T53" s="166"/>
      <c r="U53" s="166"/>
    </row>
    <row r="54" spans="1:21" ht="12" hidden="1" customHeight="1" outlineLevel="2" x14ac:dyDescent="0.25">
      <c r="A54" s="287" t="s">
        <v>1290</v>
      </c>
      <c r="B54" s="287" t="str">
        <f t="shared" si="11"/>
        <v>4.2/9</v>
      </c>
      <c r="C54" s="160"/>
      <c r="D54" s="288" t="s">
        <v>1621</v>
      </c>
      <c r="E54" s="160" t="s">
        <v>1616</v>
      </c>
      <c r="F54" s="282"/>
      <c r="G54" s="282"/>
      <c r="H54" s="283">
        <f t="shared" si="40"/>
        <v>0</v>
      </c>
      <c r="I54" s="274"/>
      <c r="J54" s="275">
        <f t="shared" si="41"/>
        <v>0</v>
      </c>
      <c r="K54" s="276">
        <f t="shared" si="9"/>
        <v>0</v>
      </c>
      <c r="L54" s="284"/>
      <c r="M54" s="275">
        <f t="shared" si="43"/>
        <v>0</v>
      </c>
      <c r="N54" s="278">
        <f t="shared" si="10"/>
        <v>0</v>
      </c>
      <c r="O54" s="279"/>
      <c r="P54" s="128" t="s">
        <v>1004</v>
      </c>
      <c r="Q54" s="280">
        <f t="shared" si="45"/>
        <v>0</v>
      </c>
      <c r="R54" s="280">
        <f t="shared" si="46"/>
        <v>0</v>
      </c>
      <c r="S54" s="166"/>
      <c r="T54" s="166"/>
      <c r="U54" s="166"/>
    </row>
    <row r="55" spans="1:21" ht="12" hidden="1" customHeight="1" outlineLevel="1" x14ac:dyDescent="0.25">
      <c r="A55" s="287" t="s">
        <v>1290</v>
      </c>
      <c r="B55" s="287" t="str">
        <f t="shared" si="11"/>
        <v>4.2/9</v>
      </c>
      <c r="C55" s="160"/>
      <c r="D55" s="288"/>
      <c r="E55" s="160"/>
      <c r="F55" s="282"/>
      <c r="G55" s="282"/>
      <c r="H55" s="283">
        <f t="shared" si="40"/>
        <v>0</v>
      </c>
      <c r="I55" s="274"/>
      <c r="J55" s="275">
        <f t="shared" si="41"/>
        <v>0</v>
      </c>
      <c r="K55" s="276">
        <f t="shared" ref="K55" si="51">SUM(J55:J55)</f>
        <v>0</v>
      </c>
      <c r="L55" s="284"/>
      <c r="M55" s="275">
        <f t="shared" si="43"/>
        <v>0</v>
      </c>
      <c r="N55" s="278">
        <f t="shared" ref="N55" si="52">SUM(M55:M55)</f>
        <v>0</v>
      </c>
      <c r="O55" s="279"/>
      <c r="P55" s="128" t="s">
        <v>1004</v>
      </c>
      <c r="Q55" s="280">
        <f t="shared" si="45"/>
        <v>0</v>
      </c>
      <c r="R55" s="280">
        <f t="shared" si="46"/>
        <v>0</v>
      </c>
      <c r="S55" s="166"/>
      <c r="T55" s="166"/>
      <c r="U55" s="166"/>
    </row>
    <row r="56" spans="1:21" s="25" customFormat="1" ht="15" customHeight="1" collapsed="1" x14ac:dyDescent="0.25">
      <c r="A56" s="175" t="s">
        <v>1022</v>
      </c>
      <c r="B56" s="185" t="str">
        <f>+B55</f>
        <v>4.2/9</v>
      </c>
      <c r="C56" s="177"/>
      <c r="D56" s="178" t="s">
        <v>1023</v>
      </c>
      <c r="E56" s="179"/>
      <c r="F56" s="41"/>
      <c r="G56" s="41"/>
      <c r="H56" s="42"/>
      <c r="I56" s="42"/>
      <c r="J56" s="42">
        <f>SUM(J43:J55)</f>
        <v>0</v>
      </c>
      <c r="K56" s="42">
        <f>SUM(K43:K55)</f>
        <v>0</v>
      </c>
      <c r="L56" s="42"/>
      <c r="M56" s="42">
        <f>SUM(M43:M55)</f>
        <v>0</v>
      </c>
      <c r="N56" s="42">
        <f>SUM(N43:N55)</f>
        <v>0</v>
      </c>
      <c r="O56" s="176"/>
      <c r="P56" s="128" t="s">
        <v>1004</v>
      </c>
      <c r="Q56" s="42">
        <f>SUM(Q43:Q55)</f>
        <v>0</v>
      </c>
      <c r="R56" s="42">
        <f>SUM(R43:R55)</f>
        <v>0</v>
      </c>
      <c r="S56" s="166"/>
      <c r="T56" s="166"/>
      <c r="U56" s="166"/>
    </row>
    <row r="57" spans="1:21" x14ac:dyDescent="0.25">
      <c r="A57" s="569" t="s">
        <v>1022</v>
      </c>
      <c r="B57" s="569" t="s">
        <v>1926</v>
      </c>
      <c r="C57" s="432"/>
      <c r="D57" s="432"/>
      <c r="E57" s="432"/>
      <c r="F57" s="579"/>
      <c r="G57" s="580"/>
      <c r="H57" s="581"/>
      <c r="I57" s="440"/>
      <c r="J57" s="438"/>
      <c r="K57" s="582"/>
      <c r="L57" s="439"/>
      <c r="M57" s="438"/>
      <c r="N57" s="278"/>
      <c r="O57" s="441"/>
      <c r="P57" s="442"/>
      <c r="Q57" s="280"/>
      <c r="R57" s="280"/>
      <c r="S57" s="166"/>
      <c r="T57" s="166"/>
      <c r="U57" s="166"/>
    </row>
    <row r="58" spans="1:21" x14ac:dyDescent="0.25">
      <c r="A58" s="569" t="s">
        <v>1022</v>
      </c>
      <c r="B58" s="569" t="str">
        <f>+B57</f>
        <v>4.2/10</v>
      </c>
      <c r="C58" s="432"/>
      <c r="D58" s="432" t="s">
        <v>1927</v>
      </c>
      <c r="E58" s="432"/>
      <c r="F58" s="579"/>
      <c r="G58" s="580"/>
      <c r="H58" s="581"/>
      <c r="I58" s="440"/>
      <c r="J58" s="438"/>
      <c r="K58" s="582">
        <v>0</v>
      </c>
      <c r="L58" s="439"/>
      <c r="M58" s="438"/>
      <c r="N58" s="278">
        <v>0</v>
      </c>
      <c r="O58" s="441"/>
      <c r="P58" s="442"/>
      <c r="Q58" s="280">
        <v>0</v>
      </c>
      <c r="R58" s="280">
        <v>0</v>
      </c>
      <c r="S58" s="166"/>
      <c r="T58" s="166"/>
      <c r="U58" s="166"/>
    </row>
    <row r="59" spans="1:21" x14ac:dyDescent="0.25">
      <c r="A59" s="578" t="s">
        <v>1022</v>
      </c>
      <c r="B59" s="569" t="str">
        <f>+B58</f>
        <v>4.2/10</v>
      </c>
      <c r="C59" s="432"/>
      <c r="D59" s="432" t="s">
        <v>1928</v>
      </c>
      <c r="E59" s="432"/>
      <c r="F59" s="579"/>
      <c r="G59" s="580"/>
      <c r="H59" s="581"/>
      <c r="I59" s="440"/>
      <c r="J59" s="438"/>
      <c r="K59" s="582">
        <v>0</v>
      </c>
      <c r="L59" s="439"/>
      <c r="M59" s="438"/>
      <c r="N59" s="278">
        <v>0</v>
      </c>
      <c r="O59" s="441"/>
      <c r="P59" s="442"/>
      <c r="Q59" s="280">
        <v>0</v>
      </c>
      <c r="R59" s="280">
        <v>0</v>
      </c>
      <c r="S59" s="166"/>
      <c r="T59" s="166"/>
      <c r="U59" s="166"/>
    </row>
    <row r="60" spans="1:21" x14ac:dyDescent="0.25">
      <c r="A60" s="578" t="s">
        <v>1022</v>
      </c>
      <c r="B60" s="569" t="str">
        <f t="shared" ref="B60:B63" si="53">+B59</f>
        <v>4.2/10</v>
      </c>
      <c r="C60" s="432"/>
      <c r="D60" s="432" t="s">
        <v>1929</v>
      </c>
      <c r="E60" s="432"/>
      <c r="F60" s="579"/>
      <c r="G60" s="580"/>
      <c r="H60" s="581"/>
      <c r="I60" s="440"/>
      <c r="J60" s="438"/>
      <c r="K60" s="582">
        <v>0</v>
      </c>
      <c r="L60" s="439"/>
      <c r="M60" s="438"/>
      <c r="N60" s="278">
        <v>0</v>
      </c>
      <c r="O60" s="441"/>
      <c r="P60" s="442"/>
      <c r="Q60" s="280">
        <v>0</v>
      </c>
      <c r="R60" s="280">
        <v>0</v>
      </c>
      <c r="S60" s="166"/>
      <c r="T60" s="166"/>
      <c r="U60" s="166"/>
    </row>
    <row r="61" spans="1:21" x14ac:dyDescent="0.25">
      <c r="A61" s="578" t="s">
        <v>1022</v>
      </c>
      <c r="B61" s="569" t="str">
        <f t="shared" si="53"/>
        <v>4.2/10</v>
      </c>
      <c r="C61" s="432"/>
      <c r="D61" s="432" t="s">
        <v>1930</v>
      </c>
      <c r="E61" s="432"/>
      <c r="F61" s="579"/>
      <c r="G61" s="580"/>
      <c r="H61" s="581"/>
      <c r="I61" s="440"/>
      <c r="J61" s="438"/>
      <c r="K61" s="582">
        <v>0</v>
      </c>
      <c r="L61" s="439"/>
      <c r="M61" s="438"/>
      <c r="N61" s="278">
        <v>0</v>
      </c>
      <c r="O61" s="441"/>
      <c r="P61" s="442"/>
      <c r="Q61" s="280">
        <v>0</v>
      </c>
      <c r="R61" s="280">
        <v>0</v>
      </c>
      <c r="S61" s="166"/>
      <c r="T61" s="166"/>
      <c r="U61" s="166"/>
    </row>
    <row r="62" spans="1:21" x14ac:dyDescent="0.25">
      <c r="A62" s="578" t="s">
        <v>1022</v>
      </c>
      <c r="B62" s="569" t="str">
        <f t="shared" si="53"/>
        <v>4.2/10</v>
      </c>
      <c r="C62" s="432"/>
      <c r="D62" s="432" t="s">
        <v>1931</v>
      </c>
      <c r="E62" s="432"/>
      <c r="F62" s="579"/>
      <c r="G62" s="580"/>
      <c r="H62" s="581"/>
      <c r="I62" s="440"/>
      <c r="J62" s="438"/>
      <c r="K62" s="582">
        <v>0</v>
      </c>
      <c r="L62" s="439"/>
      <c r="M62" s="438"/>
      <c r="N62" s="278">
        <v>0</v>
      </c>
      <c r="O62" s="441"/>
      <c r="P62" s="442"/>
      <c r="Q62" s="280">
        <v>0</v>
      </c>
      <c r="R62" s="280">
        <v>0</v>
      </c>
      <c r="S62" s="166"/>
      <c r="T62" s="166"/>
      <c r="U62" s="166"/>
    </row>
    <row r="63" spans="1:21" x14ac:dyDescent="0.25">
      <c r="A63" s="578" t="s">
        <v>1022</v>
      </c>
      <c r="B63" s="569" t="str">
        <f t="shared" si="53"/>
        <v>4.2/10</v>
      </c>
      <c r="C63" s="432"/>
      <c r="D63" s="432" t="s">
        <v>1932</v>
      </c>
      <c r="E63" s="432"/>
      <c r="F63" s="579"/>
      <c r="G63" s="580"/>
      <c r="H63" s="581"/>
      <c r="I63" s="440"/>
      <c r="J63" s="438"/>
      <c r="K63" s="582">
        <v>0</v>
      </c>
      <c r="L63" s="439"/>
      <c r="M63" s="438"/>
      <c r="N63" s="278">
        <v>0</v>
      </c>
      <c r="O63" s="441"/>
      <c r="P63" s="442"/>
      <c r="Q63" s="280">
        <v>0</v>
      </c>
      <c r="R63" s="280">
        <v>0</v>
      </c>
      <c r="S63" s="166"/>
      <c r="T63" s="166"/>
      <c r="U63" s="166"/>
    </row>
    <row r="64" spans="1:21" x14ac:dyDescent="0.25">
      <c r="A64" s="578" t="s">
        <v>1022</v>
      </c>
      <c r="B64" s="569" t="str">
        <f t="shared" ref="B64:B66" si="54">+B63</f>
        <v>4.2/10</v>
      </c>
      <c r="C64" s="432"/>
      <c r="D64" s="432" t="s">
        <v>1933</v>
      </c>
      <c r="E64" s="432"/>
      <c r="F64" s="579"/>
      <c r="G64" s="580"/>
      <c r="H64" s="581"/>
      <c r="I64" s="440"/>
      <c r="J64" s="438"/>
      <c r="K64" s="582">
        <f>K21</f>
        <v>0</v>
      </c>
      <c r="L64" s="439"/>
      <c r="M64" s="438"/>
      <c r="N64" s="278">
        <f>N21</f>
        <v>0</v>
      </c>
      <c r="O64" s="441"/>
      <c r="P64" s="442"/>
      <c r="Q64" s="280">
        <f>Q21</f>
        <v>0</v>
      </c>
      <c r="R64" s="280">
        <f>R21</f>
        <v>0</v>
      </c>
      <c r="S64" s="166"/>
      <c r="T64" s="166"/>
      <c r="U64" s="166"/>
    </row>
    <row r="65" spans="1:21" x14ac:dyDescent="0.25">
      <c r="A65" s="578" t="s">
        <v>1022</v>
      </c>
      <c r="B65" s="569" t="str">
        <f t="shared" si="54"/>
        <v>4.2/10</v>
      </c>
      <c r="C65" s="432"/>
      <c r="D65" s="432" t="s">
        <v>1934</v>
      </c>
      <c r="E65" s="432"/>
      <c r="F65" s="579"/>
      <c r="G65" s="580"/>
      <c r="H65" s="581"/>
      <c r="I65" s="440"/>
      <c r="J65" s="438"/>
      <c r="K65" s="582">
        <f>K41</f>
        <v>0</v>
      </c>
      <c r="L65" s="439"/>
      <c r="M65" s="438"/>
      <c r="N65" s="278">
        <f>N41</f>
        <v>0</v>
      </c>
      <c r="O65" s="441"/>
      <c r="P65" s="442"/>
      <c r="Q65" s="280">
        <f>Q41</f>
        <v>0</v>
      </c>
      <c r="R65" s="280">
        <f>R41</f>
        <v>0</v>
      </c>
      <c r="S65" s="166"/>
      <c r="T65" s="166"/>
      <c r="U65" s="166"/>
    </row>
    <row r="66" spans="1:21" x14ac:dyDescent="0.25">
      <c r="A66" s="578" t="s">
        <v>1022</v>
      </c>
      <c r="B66" s="569" t="str">
        <f t="shared" si="54"/>
        <v>4.2/10</v>
      </c>
      <c r="C66" s="432"/>
      <c r="D66" s="432" t="s">
        <v>1935</v>
      </c>
      <c r="E66" s="432"/>
      <c r="F66" s="579"/>
      <c r="G66" s="580"/>
      <c r="H66" s="581"/>
      <c r="I66" s="440"/>
      <c r="J66" s="438"/>
      <c r="K66" s="582">
        <f>K56</f>
        <v>0</v>
      </c>
      <c r="L66" s="439"/>
      <c r="M66" s="438"/>
      <c r="N66" s="278">
        <f>N56</f>
        <v>0</v>
      </c>
      <c r="O66" s="441"/>
      <c r="P66" s="442"/>
      <c r="Q66" s="280">
        <f>Q56</f>
        <v>0</v>
      </c>
      <c r="R66" s="280">
        <f>R56</f>
        <v>0</v>
      </c>
      <c r="S66" s="166"/>
      <c r="T66" s="166"/>
      <c r="U66" s="166"/>
    </row>
    <row r="67" spans="1:21" ht="15.75" thickBot="1" x14ac:dyDescent="0.3">
      <c r="A67" s="569" t="s">
        <v>1022</v>
      </c>
      <c r="B67" s="569" t="str">
        <f>+B59</f>
        <v>4.2/10</v>
      </c>
      <c r="C67" s="432"/>
      <c r="D67" s="432"/>
      <c r="E67" s="432"/>
      <c r="F67" s="579"/>
      <c r="G67" s="580"/>
      <c r="H67" s="581"/>
      <c r="I67" s="440"/>
      <c r="J67" s="438"/>
      <c r="K67" s="582"/>
      <c r="L67" s="439"/>
      <c r="M67" s="438"/>
      <c r="N67" s="278"/>
      <c r="O67" s="441"/>
      <c r="P67" s="442"/>
      <c r="Q67" s="280"/>
      <c r="R67" s="280"/>
      <c r="S67" s="166"/>
      <c r="T67" s="166"/>
      <c r="U67" s="166"/>
    </row>
    <row r="68" spans="1:21" s="25" customFormat="1" ht="21.75" customHeight="1" thickBot="1" x14ac:dyDescent="0.3">
      <c r="A68" s="401" t="s">
        <v>1022</v>
      </c>
      <c r="B68" s="402"/>
      <c r="C68" s="403"/>
      <c r="D68" s="402" t="s">
        <v>1000</v>
      </c>
      <c r="E68" s="404"/>
      <c r="F68" s="404"/>
      <c r="G68" s="404"/>
      <c r="H68" s="405"/>
      <c r="I68" s="405"/>
      <c r="J68" s="402"/>
      <c r="K68" s="406">
        <f>SUM(K57:K67)</f>
        <v>0</v>
      </c>
      <c r="L68" s="406" t="b">
        <f>+K68=SUM(J7:J57)/2</f>
        <v>1</v>
      </c>
      <c r="M68" s="402"/>
      <c r="N68" s="406">
        <f>SUM(N57:N67)</f>
        <v>0</v>
      </c>
      <c r="O68" s="406" t="b">
        <f>+N68=SUM(M7:M57)/2</f>
        <v>1</v>
      </c>
      <c r="P68" s="402"/>
      <c r="Q68" s="406">
        <f>SUM(Q57:Q67)</f>
        <v>0</v>
      </c>
      <c r="R68" s="406">
        <f>SUM(R57:R67)</f>
        <v>0</v>
      </c>
      <c r="S68" s="166"/>
      <c r="T68" s="38"/>
      <c r="U68" s="38"/>
    </row>
    <row r="69" spans="1:21" x14ac:dyDescent="0.25">
      <c r="A69"/>
      <c r="B69"/>
      <c r="C69"/>
      <c r="D69"/>
      <c r="E69"/>
      <c r="F69"/>
      <c r="G69"/>
      <c r="H69"/>
      <c r="I69"/>
      <c r="J69"/>
      <c r="K69"/>
      <c r="L69"/>
      <c r="M69"/>
      <c r="N69"/>
      <c r="O69"/>
      <c r="P69"/>
      <c r="Q69"/>
      <c r="R69"/>
      <c r="S69" s="166"/>
      <c r="T69" s="166"/>
      <c r="U69" s="166"/>
    </row>
    <row r="70" spans="1:21" x14ac:dyDescent="0.25">
      <c r="A70"/>
      <c r="B70"/>
      <c r="C70"/>
      <c r="D70"/>
      <c r="E70"/>
      <c r="F70"/>
      <c r="G70"/>
      <c r="H70"/>
      <c r="I70"/>
      <c r="J70"/>
      <c r="K70"/>
      <c r="L70"/>
      <c r="M70"/>
      <c r="N70"/>
      <c r="O70"/>
      <c r="P70"/>
      <c r="Q70"/>
      <c r="R70"/>
      <c r="S70" s="166"/>
      <c r="T70" s="166"/>
      <c r="U70" s="166"/>
    </row>
    <row r="71" spans="1:21" x14ac:dyDescent="0.25">
      <c r="A71"/>
      <c r="B71"/>
      <c r="C71"/>
      <c r="D71"/>
      <c r="E71"/>
      <c r="F71"/>
      <c r="G71"/>
      <c r="H71"/>
      <c r="I71"/>
      <c r="J71"/>
      <c r="K71"/>
      <c r="L71"/>
      <c r="M71"/>
      <c r="N71"/>
      <c r="O71"/>
      <c r="P71"/>
      <c r="Q71"/>
      <c r="R71"/>
      <c r="S71" s="166"/>
      <c r="T71" s="166"/>
      <c r="U71" s="166"/>
    </row>
    <row r="72" spans="1:21" x14ac:dyDescent="0.25">
      <c r="A72"/>
      <c r="B72"/>
      <c r="C72"/>
      <c r="D72"/>
      <c r="E72"/>
      <c r="F72"/>
      <c r="G72"/>
      <c r="H72"/>
      <c r="I72"/>
      <c r="J72"/>
      <c r="K72"/>
      <c r="L72"/>
      <c r="M72"/>
      <c r="N72"/>
      <c r="O72"/>
      <c r="P72"/>
      <c r="Q72"/>
      <c r="R72"/>
      <c r="S72" s="166"/>
      <c r="T72" s="166"/>
      <c r="U72" s="166"/>
    </row>
    <row r="73" spans="1:21" ht="15.75" thickBot="1" x14ac:dyDescent="0.3">
      <c r="A73"/>
      <c r="B73"/>
      <c r="C73"/>
      <c r="D73"/>
      <c r="E73"/>
      <c r="F73"/>
      <c r="G73"/>
      <c r="H73"/>
      <c r="I73"/>
      <c r="J73"/>
      <c r="K73" t="b">
        <f>+K68=K235</f>
        <v>1</v>
      </c>
      <c r="L73"/>
      <c r="M73"/>
      <c r="N73" t="b">
        <f>+N68=N235</f>
        <v>1</v>
      </c>
      <c r="O73"/>
      <c r="P73"/>
      <c r="Q73" t="b">
        <f>+Q68=Q235</f>
        <v>1</v>
      </c>
      <c r="R73" t="b">
        <f>+R68=R235</f>
        <v>1</v>
      </c>
      <c r="S73" s="166"/>
      <c r="T73" s="166"/>
      <c r="U73" s="166"/>
    </row>
    <row r="74" spans="1:21" ht="16.5" thickBot="1" x14ac:dyDescent="0.3">
      <c r="A74" s="136" t="s">
        <v>1049</v>
      </c>
      <c r="B74" s="137"/>
      <c r="C74" s="137"/>
      <c r="D74" s="258" t="s">
        <v>1936</v>
      </c>
      <c r="E74" s="137"/>
      <c r="F74" s="137"/>
      <c r="G74" s="137"/>
      <c r="H74" s="137"/>
      <c r="I74" s="137"/>
      <c r="J74" s="137"/>
      <c r="K74" s="137"/>
      <c r="L74" s="137"/>
      <c r="M74" s="137"/>
      <c r="N74" s="137"/>
      <c r="O74" s="137"/>
      <c r="P74" s="137"/>
      <c r="Q74" s="137"/>
      <c r="R74" s="137"/>
      <c r="S74" s="166"/>
      <c r="T74" s="166"/>
      <c r="U74" s="166"/>
    </row>
    <row r="75" spans="1:21" ht="36.75" thickBot="1" x14ac:dyDescent="0.3">
      <c r="A75" s="140" t="s">
        <v>618</v>
      </c>
      <c r="B75" s="251" t="s">
        <v>622</v>
      </c>
      <c r="C75" s="141"/>
      <c r="D75" s="141"/>
      <c r="E75" s="141"/>
      <c r="F75" s="141"/>
      <c r="G75" s="141"/>
      <c r="H75" s="141"/>
      <c r="I75" s="141"/>
      <c r="J75" s="141"/>
      <c r="K75" s="236" t="s">
        <v>1013</v>
      </c>
      <c r="L75" s="237"/>
      <c r="M75" s="237"/>
      <c r="N75" s="238" t="s">
        <v>1016</v>
      </c>
      <c r="O75" s="237"/>
      <c r="P75" s="142" t="s">
        <v>1017</v>
      </c>
      <c r="Q75" s="142" t="s">
        <v>1375</v>
      </c>
      <c r="R75" s="142" t="s">
        <v>1376</v>
      </c>
      <c r="S75" s="166"/>
      <c r="T75" s="166"/>
      <c r="U75" s="166"/>
    </row>
    <row r="76" spans="1:21" hidden="1" outlineLevel="1" x14ac:dyDescent="0.25">
      <c r="A76" s="189" t="s">
        <v>1067</v>
      </c>
      <c r="B76" s="252" t="s">
        <v>1068</v>
      </c>
      <c r="C76" s="190"/>
      <c r="D76" s="191"/>
      <c r="E76" s="191"/>
      <c r="F76" s="192"/>
      <c r="G76" s="192"/>
      <c r="H76" s="48"/>
      <c r="I76" s="49"/>
      <c r="J76" s="193"/>
      <c r="K76" s="172">
        <f>SUMIF($A$7:$A$56,A76,$K$7:$K$56)</f>
        <v>0</v>
      </c>
      <c r="L76" s="49"/>
      <c r="M76" s="193"/>
      <c r="N76" s="173">
        <f>SUMIF($A$7:$A$56,A76,$N$7:$N$56)</f>
        <v>0</v>
      </c>
      <c r="O76" s="194"/>
      <c r="P76" s="165" t="s">
        <v>1004</v>
      </c>
      <c r="Q76" s="37">
        <f t="shared" ref="Q76:Q107" si="55">+ROUND((K76)*(1+SUMIF($Q$2:$Q$4,P76,$R$2:$R$4)),0)</f>
        <v>0</v>
      </c>
      <c r="R76" s="37">
        <f t="shared" ref="R76:R107" si="56">+ROUND((N76)*(1+SUMIF($Q$2:$Q$4,P76,$R$2:$R$4)),0)</f>
        <v>0</v>
      </c>
      <c r="S76" s="166"/>
      <c r="T76" s="166"/>
      <c r="U76" s="166"/>
    </row>
    <row r="77" spans="1:21" hidden="1" outlineLevel="1" x14ac:dyDescent="0.25">
      <c r="A77" s="189" t="s">
        <v>1069</v>
      </c>
      <c r="B77" s="253" t="s">
        <v>1070</v>
      </c>
      <c r="C77" s="195"/>
      <c r="D77" s="196"/>
      <c r="E77" s="196"/>
      <c r="F77" s="192"/>
      <c r="G77" s="192"/>
      <c r="H77" s="50"/>
      <c r="I77" s="49"/>
      <c r="J77" s="193"/>
      <c r="K77" s="172">
        <f>SUMIF($A$7:$A$56,A77,$K$7:$K$56)</f>
        <v>0</v>
      </c>
      <c r="L77" s="49"/>
      <c r="M77" s="193"/>
      <c r="N77" s="173">
        <f>SUMIF($A$7:$A$56,A77,$N$7:$N$56)</f>
        <v>0</v>
      </c>
      <c r="O77" s="197"/>
      <c r="P77" s="165" t="s">
        <v>1004</v>
      </c>
      <c r="Q77" s="37">
        <f t="shared" si="55"/>
        <v>0</v>
      </c>
      <c r="R77" s="37">
        <f t="shared" si="56"/>
        <v>0</v>
      </c>
      <c r="S77" s="166"/>
      <c r="T77" s="166"/>
      <c r="U77" s="166"/>
    </row>
    <row r="78" spans="1:21" hidden="1" outlineLevel="1" x14ac:dyDescent="0.25">
      <c r="A78" s="189" t="s">
        <v>1071</v>
      </c>
      <c r="B78" s="252" t="s">
        <v>1072</v>
      </c>
      <c r="C78" s="190"/>
      <c r="D78" s="191"/>
      <c r="E78" s="191"/>
      <c r="F78" s="192"/>
      <c r="G78" s="192"/>
      <c r="H78" s="48"/>
      <c r="I78" s="49"/>
      <c r="J78" s="193"/>
      <c r="K78" s="172">
        <f>SUMIF($A$7:$A$56,A78,$K$7:$K$56)</f>
        <v>0</v>
      </c>
      <c r="L78" s="49"/>
      <c r="M78" s="193"/>
      <c r="N78" s="173">
        <f>SUMIF($A$7:$A$56,A78,$N$7:$N$56)</f>
        <v>0</v>
      </c>
      <c r="O78" s="194"/>
      <c r="P78" s="165" t="s">
        <v>1004</v>
      </c>
      <c r="Q78" s="37">
        <f t="shared" si="55"/>
        <v>0</v>
      </c>
      <c r="R78" s="37">
        <f t="shared" si="56"/>
        <v>0</v>
      </c>
    </row>
    <row r="79" spans="1:21" hidden="1" outlineLevel="1" x14ac:dyDescent="0.25">
      <c r="A79" s="189" t="s">
        <v>1073</v>
      </c>
      <c r="B79" s="253" t="s">
        <v>1074</v>
      </c>
      <c r="C79" s="195"/>
      <c r="D79" s="196"/>
      <c r="E79" s="196"/>
      <c r="F79" s="192"/>
      <c r="G79" s="192"/>
      <c r="H79" s="50"/>
      <c r="I79" s="49"/>
      <c r="J79" s="193"/>
      <c r="K79" s="172">
        <f>SUMIF($A$7:$A$56,A79,$K$7:$K$56)</f>
        <v>0</v>
      </c>
      <c r="L79" s="49"/>
      <c r="M79" s="193"/>
      <c r="N79" s="173">
        <f>SUMIF($A$7:$A$56,A79,$N$7:$N$56)</f>
        <v>0</v>
      </c>
      <c r="O79" s="197"/>
      <c r="P79" s="165" t="s">
        <v>1004</v>
      </c>
      <c r="Q79" s="37">
        <f t="shared" si="55"/>
        <v>0</v>
      </c>
      <c r="R79" s="37">
        <f t="shared" si="56"/>
        <v>0</v>
      </c>
    </row>
    <row r="80" spans="1:21" hidden="1" outlineLevel="1" x14ac:dyDescent="0.25">
      <c r="A80" s="189" t="s">
        <v>1075</v>
      </c>
      <c r="B80" s="252" t="s">
        <v>1076</v>
      </c>
      <c r="C80" s="190"/>
      <c r="D80" s="191"/>
      <c r="E80" s="191"/>
      <c r="F80" s="192"/>
      <c r="G80" s="192"/>
      <c r="H80" s="48"/>
      <c r="I80" s="49"/>
      <c r="J80" s="193"/>
      <c r="K80" s="172">
        <f>SUMIF($A$7:$A$56,A80,$K$7:$K$56)</f>
        <v>0</v>
      </c>
      <c r="L80" s="49"/>
      <c r="M80" s="193"/>
      <c r="N80" s="173">
        <f>SUMIF($A$7:$A$56,A80,$N$7:$N$56)</f>
        <v>0</v>
      </c>
      <c r="O80" s="194"/>
      <c r="P80" s="165" t="s">
        <v>1004</v>
      </c>
      <c r="Q80" s="37">
        <f t="shared" si="55"/>
        <v>0</v>
      </c>
      <c r="R80" s="37">
        <f t="shared" si="56"/>
        <v>0</v>
      </c>
    </row>
    <row r="81" spans="1:18" hidden="1" outlineLevel="1" x14ac:dyDescent="0.25">
      <c r="A81" s="189" t="s">
        <v>1077</v>
      </c>
      <c r="B81" s="253" t="s">
        <v>1078</v>
      </c>
      <c r="C81" s="195"/>
      <c r="D81" s="196"/>
      <c r="E81" s="196"/>
      <c r="F81" s="192"/>
      <c r="G81" s="192"/>
      <c r="H81" s="50"/>
      <c r="I81" s="49"/>
      <c r="J81" s="193"/>
      <c r="K81" s="172">
        <f>SUMIF($A$7:$A$56,A81,$K$7:$K$56)</f>
        <v>0</v>
      </c>
      <c r="L81" s="49"/>
      <c r="M81" s="193"/>
      <c r="N81" s="173">
        <f>SUMIF($A$7:$A$56,A81,$N$7:$N$56)</f>
        <v>0</v>
      </c>
      <c r="O81" s="197"/>
      <c r="P81" s="165" t="s">
        <v>1004</v>
      </c>
      <c r="Q81" s="37">
        <f t="shared" si="55"/>
        <v>0</v>
      </c>
      <c r="R81" s="37">
        <f t="shared" si="56"/>
        <v>0</v>
      </c>
    </row>
    <row r="82" spans="1:18" hidden="1" outlineLevel="1" x14ac:dyDescent="0.25">
      <c r="A82" s="189" t="s">
        <v>1079</v>
      </c>
      <c r="B82" s="252" t="s">
        <v>1080</v>
      </c>
      <c r="C82" s="190"/>
      <c r="D82" s="191"/>
      <c r="E82" s="191"/>
      <c r="F82" s="192"/>
      <c r="G82" s="192"/>
      <c r="H82" s="48"/>
      <c r="I82" s="49"/>
      <c r="J82" s="193"/>
      <c r="K82" s="172">
        <f>SUMIF($A$7:$A$56,A82,$K$7:$K$56)</f>
        <v>0</v>
      </c>
      <c r="L82" s="49"/>
      <c r="M82" s="193"/>
      <c r="N82" s="173">
        <f>SUMIF($A$7:$A$56,A82,$N$7:$N$56)</f>
        <v>0</v>
      </c>
      <c r="O82" s="194"/>
      <c r="P82" s="165" t="s">
        <v>1004</v>
      </c>
      <c r="Q82" s="37">
        <f t="shared" si="55"/>
        <v>0</v>
      </c>
      <c r="R82" s="37">
        <f t="shared" si="56"/>
        <v>0</v>
      </c>
    </row>
    <row r="83" spans="1:18" hidden="1" outlineLevel="1" x14ac:dyDescent="0.25">
      <c r="A83" s="189" t="s">
        <v>1081</v>
      </c>
      <c r="B83" s="253" t="s">
        <v>1082</v>
      </c>
      <c r="C83" s="195"/>
      <c r="D83" s="196"/>
      <c r="E83" s="196"/>
      <c r="F83" s="192"/>
      <c r="G83" s="192"/>
      <c r="H83" s="50"/>
      <c r="I83" s="49"/>
      <c r="J83" s="193"/>
      <c r="K83" s="172">
        <f>SUMIF($A$7:$A$56,A83,$K$7:$K$56)</f>
        <v>0</v>
      </c>
      <c r="L83" s="49"/>
      <c r="M83" s="193"/>
      <c r="N83" s="173">
        <f>SUMIF($A$7:$A$56,A83,$N$7:$N$56)</f>
        <v>0</v>
      </c>
      <c r="O83" s="197"/>
      <c r="P83" s="165" t="s">
        <v>1004</v>
      </c>
      <c r="Q83" s="37">
        <f t="shared" si="55"/>
        <v>0</v>
      </c>
      <c r="R83" s="37">
        <f t="shared" si="56"/>
        <v>0</v>
      </c>
    </row>
    <row r="84" spans="1:18" hidden="1" outlineLevel="1" x14ac:dyDescent="0.25">
      <c r="A84" s="189" t="s">
        <v>1083</v>
      </c>
      <c r="B84" s="252" t="s">
        <v>1084</v>
      </c>
      <c r="C84" s="190"/>
      <c r="D84" s="191"/>
      <c r="E84" s="191"/>
      <c r="F84" s="192"/>
      <c r="G84" s="192"/>
      <c r="H84" s="48"/>
      <c r="I84" s="49"/>
      <c r="J84" s="193"/>
      <c r="K84" s="172">
        <f>SUMIF($A$7:$A$56,A84,$K$7:$K$56)</f>
        <v>0</v>
      </c>
      <c r="L84" s="49"/>
      <c r="M84" s="193"/>
      <c r="N84" s="173">
        <f>SUMIF($A$7:$A$56,A84,$N$7:$N$56)</f>
        <v>0</v>
      </c>
      <c r="O84" s="194"/>
      <c r="P84" s="165" t="s">
        <v>1004</v>
      </c>
      <c r="Q84" s="37">
        <f t="shared" si="55"/>
        <v>0</v>
      </c>
      <c r="R84" s="37">
        <f t="shared" si="56"/>
        <v>0</v>
      </c>
    </row>
    <row r="85" spans="1:18" hidden="1" outlineLevel="1" x14ac:dyDescent="0.25">
      <c r="A85" s="189" t="s">
        <v>1085</v>
      </c>
      <c r="B85" s="253" t="s">
        <v>1086</v>
      </c>
      <c r="C85" s="195"/>
      <c r="D85" s="196"/>
      <c r="E85" s="196"/>
      <c r="F85" s="192"/>
      <c r="G85" s="192"/>
      <c r="H85" s="50"/>
      <c r="I85" s="49"/>
      <c r="J85" s="193"/>
      <c r="K85" s="172">
        <f>SUMIF($A$7:$A$56,A85,$K$7:$K$56)</f>
        <v>0</v>
      </c>
      <c r="L85" s="49"/>
      <c r="M85" s="193"/>
      <c r="N85" s="173">
        <f>SUMIF($A$7:$A$56,A85,$N$7:$N$56)</f>
        <v>0</v>
      </c>
      <c r="O85" s="197"/>
      <c r="P85" s="165" t="s">
        <v>1004</v>
      </c>
      <c r="Q85" s="37">
        <f t="shared" si="55"/>
        <v>0</v>
      </c>
      <c r="R85" s="37">
        <f t="shared" si="56"/>
        <v>0</v>
      </c>
    </row>
    <row r="86" spans="1:18" hidden="1" outlineLevel="1" x14ac:dyDescent="0.25">
      <c r="A86" s="189" t="s">
        <v>1087</v>
      </c>
      <c r="B86" s="252" t="s">
        <v>1088</v>
      </c>
      <c r="C86" s="190"/>
      <c r="D86" s="191"/>
      <c r="E86" s="191"/>
      <c r="F86" s="192"/>
      <c r="G86" s="192"/>
      <c r="H86" s="48"/>
      <c r="I86" s="49"/>
      <c r="J86" s="193"/>
      <c r="K86" s="172">
        <f>SUMIF($A$7:$A$56,A86,$K$7:$K$56)</f>
        <v>0</v>
      </c>
      <c r="L86" s="49"/>
      <c r="M86" s="193"/>
      <c r="N86" s="173">
        <f>SUMIF($A$7:$A$56,A86,$N$7:$N$56)</f>
        <v>0</v>
      </c>
      <c r="O86" s="194"/>
      <c r="P86" s="165" t="s">
        <v>1004</v>
      </c>
      <c r="Q86" s="37">
        <f t="shared" si="55"/>
        <v>0</v>
      </c>
      <c r="R86" s="37">
        <f t="shared" si="56"/>
        <v>0</v>
      </c>
    </row>
    <row r="87" spans="1:18" hidden="1" outlineLevel="1" x14ac:dyDescent="0.25">
      <c r="A87" s="189" t="s">
        <v>1089</v>
      </c>
      <c r="B87" s="253" t="s">
        <v>1090</v>
      </c>
      <c r="C87" s="195"/>
      <c r="D87" s="196"/>
      <c r="E87" s="196"/>
      <c r="F87" s="192"/>
      <c r="G87" s="192"/>
      <c r="H87" s="50"/>
      <c r="I87" s="49"/>
      <c r="J87" s="193"/>
      <c r="K87" s="172">
        <f>SUMIF($A$7:$A$56,A87,$K$7:$K$56)</f>
        <v>0</v>
      </c>
      <c r="L87" s="49"/>
      <c r="M87" s="193"/>
      <c r="N87" s="173">
        <f>SUMIF($A$7:$A$56,A87,$N$7:$N$56)</f>
        <v>0</v>
      </c>
      <c r="O87" s="197"/>
      <c r="P87" s="165" t="s">
        <v>1004</v>
      </c>
      <c r="Q87" s="37">
        <f t="shared" si="55"/>
        <v>0</v>
      </c>
      <c r="R87" s="37">
        <f t="shared" si="56"/>
        <v>0</v>
      </c>
    </row>
    <row r="88" spans="1:18" hidden="1" outlineLevel="1" x14ac:dyDescent="0.25">
      <c r="A88" s="189" t="s">
        <v>1091</v>
      </c>
      <c r="B88" s="252" t="s">
        <v>1092</v>
      </c>
      <c r="C88" s="190"/>
      <c r="D88" s="191"/>
      <c r="E88" s="191"/>
      <c r="F88" s="192"/>
      <c r="G88" s="192"/>
      <c r="H88" s="48"/>
      <c r="I88" s="49"/>
      <c r="J88" s="193"/>
      <c r="K88" s="172">
        <f>SUMIF($A$7:$A$56,A88,$K$7:$K$56)</f>
        <v>0</v>
      </c>
      <c r="L88" s="49"/>
      <c r="M88" s="193"/>
      <c r="N88" s="173">
        <f>SUMIF($A$7:$A$56,A88,$N$7:$N$56)</f>
        <v>0</v>
      </c>
      <c r="O88" s="194"/>
      <c r="P88" s="165" t="s">
        <v>1004</v>
      </c>
      <c r="Q88" s="37">
        <f t="shared" si="55"/>
        <v>0</v>
      </c>
      <c r="R88" s="37">
        <f t="shared" si="56"/>
        <v>0</v>
      </c>
    </row>
    <row r="89" spans="1:18" hidden="1" outlineLevel="1" x14ac:dyDescent="0.25">
      <c r="A89" s="189" t="s">
        <v>1093</v>
      </c>
      <c r="B89" s="253" t="s">
        <v>1094</v>
      </c>
      <c r="C89" s="195"/>
      <c r="D89" s="196"/>
      <c r="E89" s="196"/>
      <c r="F89" s="192"/>
      <c r="G89" s="192"/>
      <c r="H89" s="50"/>
      <c r="I89" s="49"/>
      <c r="J89" s="193"/>
      <c r="K89" s="172">
        <f>SUMIF($A$7:$A$56,A89,$K$7:$K$56)</f>
        <v>0</v>
      </c>
      <c r="L89" s="49"/>
      <c r="M89" s="193"/>
      <c r="N89" s="173">
        <f>SUMIF($A$7:$A$56,A89,$N$7:$N$56)</f>
        <v>0</v>
      </c>
      <c r="O89" s="197"/>
      <c r="P89" s="165" t="s">
        <v>1004</v>
      </c>
      <c r="Q89" s="37">
        <f t="shared" si="55"/>
        <v>0</v>
      </c>
      <c r="R89" s="37">
        <f t="shared" si="56"/>
        <v>0</v>
      </c>
    </row>
    <row r="90" spans="1:18" hidden="1" outlineLevel="1" x14ac:dyDescent="0.25">
      <c r="A90" s="189" t="s">
        <v>1095</v>
      </c>
      <c r="B90" s="252" t="s">
        <v>1096</v>
      </c>
      <c r="C90" s="190"/>
      <c r="D90" s="191"/>
      <c r="E90" s="191"/>
      <c r="F90" s="192"/>
      <c r="G90" s="192"/>
      <c r="H90" s="48"/>
      <c r="I90" s="49"/>
      <c r="J90" s="193"/>
      <c r="K90" s="172">
        <f>SUMIF($A$7:$A$56,A90,$K$7:$K$56)</f>
        <v>0</v>
      </c>
      <c r="L90" s="49"/>
      <c r="M90" s="193"/>
      <c r="N90" s="173">
        <f>SUMIF($A$7:$A$56,A90,$N$7:$N$56)</f>
        <v>0</v>
      </c>
      <c r="O90" s="194"/>
      <c r="P90" s="165" t="s">
        <v>1004</v>
      </c>
      <c r="Q90" s="37">
        <f t="shared" si="55"/>
        <v>0</v>
      </c>
      <c r="R90" s="37">
        <f t="shared" si="56"/>
        <v>0</v>
      </c>
    </row>
    <row r="91" spans="1:18" hidden="1" outlineLevel="1" x14ac:dyDescent="0.25">
      <c r="A91" s="189" t="s">
        <v>1097</v>
      </c>
      <c r="B91" s="253" t="s">
        <v>1098</v>
      </c>
      <c r="C91" s="195"/>
      <c r="D91" s="196"/>
      <c r="E91" s="196"/>
      <c r="F91" s="192"/>
      <c r="G91" s="192"/>
      <c r="H91" s="50"/>
      <c r="I91" s="49"/>
      <c r="J91" s="193"/>
      <c r="K91" s="172">
        <f>SUMIF($A$7:$A$56,A91,$K$7:$K$56)</f>
        <v>0</v>
      </c>
      <c r="L91" s="49"/>
      <c r="M91" s="193"/>
      <c r="N91" s="173">
        <f>SUMIF($A$7:$A$56,A91,$N$7:$N$56)</f>
        <v>0</v>
      </c>
      <c r="O91" s="197"/>
      <c r="P91" s="165" t="s">
        <v>1004</v>
      </c>
      <c r="Q91" s="37">
        <f t="shared" si="55"/>
        <v>0</v>
      </c>
      <c r="R91" s="37">
        <f t="shared" si="56"/>
        <v>0</v>
      </c>
    </row>
    <row r="92" spans="1:18" hidden="1" outlineLevel="1" x14ac:dyDescent="0.25">
      <c r="A92" s="189" t="s">
        <v>1099</v>
      </c>
      <c r="B92" s="252" t="s">
        <v>1100</v>
      </c>
      <c r="C92" s="190"/>
      <c r="D92" s="191"/>
      <c r="E92" s="191"/>
      <c r="F92" s="192"/>
      <c r="G92" s="192"/>
      <c r="H92" s="48"/>
      <c r="I92" s="49"/>
      <c r="J92" s="193"/>
      <c r="K92" s="172">
        <f>SUMIF($A$7:$A$56,A92,$K$7:$K$56)</f>
        <v>0</v>
      </c>
      <c r="L92" s="49"/>
      <c r="M92" s="193"/>
      <c r="N92" s="173">
        <f>SUMIF($A$7:$A$56,A92,$N$7:$N$56)</f>
        <v>0</v>
      </c>
      <c r="O92" s="194"/>
      <c r="P92" s="165" t="s">
        <v>1004</v>
      </c>
      <c r="Q92" s="37">
        <f t="shared" si="55"/>
        <v>0</v>
      </c>
      <c r="R92" s="37">
        <f t="shared" si="56"/>
        <v>0</v>
      </c>
    </row>
    <row r="93" spans="1:18" hidden="1" outlineLevel="1" x14ac:dyDescent="0.25">
      <c r="A93" s="189" t="s">
        <v>1101</v>
      </c>
      <c r="B93" s="253" t="s">
        <v>1102</v>
      </c>
      <c r="C93" s="195"/>
      <c r="D93" s="196"/>
      <c r="E93" s="196"/>
      <c r="F93" s="192"/>
      <c r="G93" s="192"/>
      <c r="H93" s="50"/>
      <c r="I93" s="49"/>
      <c r="J93" s="193"/>
      <c r="K93" s="172">
        <f>SUMIF($A$7:$A$56,A93,$K$7:$K$56)</f>
        <v>0</v>
      </c>
      <c r="L93" s="49"/>
      <c r="M93" s="193"/>
      <c r="N93" s="173">
        <f>SUMIF($A$7:$A$56,A93,$N$7:$N$56)</f>
        <v>0</v>
      </c>
      <c r="O93" s="197"/>
      <c r="P93" s="165" t="s">
        <v>1004</v>
      </c>
      <c r="Q93" s="37">
        <f t="shared" si="55"/>
        <v>0</v>
      </c>
      <c r="R93" s="37">
        <f t="shared" si="56"/>
        <v>0</v>
      </c>
    </row>
    <row r="94" spans="1:18" hidden="1" outlineLevel="1" x14ac:dyDescent="0.25">
      <c r="A94" s="189" t="s">
        <v>1103</v>
      </c>
      <c r="B94" s="252" t="s">
        <v>1104</v>
      </c>
      <c r="C94" s="190"/>
      <c r="D94" s="191"/>
      <c r="E94" s="191"/>
      <c r="F94" s="192"/>
      <c r="G94" s="192"/>
      <c r="H94" s="48"/>
      <c r="I94" s="49"/>
      <c r="J94" s="193"/>
      <c r="K94" s="172">
        <f>SUMIF($A$7:$A$56,A94,$K$7:$K$56)</f>
        <v>0</v>
      </c>
      <c r="L94" s="49"/>
      <c r="M94" s="193"/>
      <c r="N94" s="173">
        <f>SUMIF($A$7:$A$56,A94,$N$7:$N$56)</f>
        <v>0</v>
      </c>
      <c r="O94" s="194"/>
      <c r="P94" s="165" t="s">
        <v>1004</v>
      </c>
      <c r="Q94" s="37">
        <f t="shared" si="55"/>
        <v>0</v>
      </c>
      <c r="R94" s="37">
        <f t="shared" si="56"/>
        <v>0</v>
      </c>
    </row>
    <row r="95" spans="1:18" hidden="1" outlineLevel="1" x14ac:dyDescent="0.25">
      <c r="A95" s="189" t="s">
        <v>1105</v>
      </c>
      <c r="B95" s="253" t="s">
        <v>1106</v>
      </c>
      <c r="C95" s="195"/>
      <c r="D95" s="196"/>
      <c r="E95" s="196"/>
      <c r="F95" s="192"/>
      <c r="G95" s="192"/>
      <c r="H95" s="50"/>
      <c r="I95" s="49"/>
      <c r="J95" s="193"/>
      <c r="K95" s="172">
        <f>SUMIF($A$7:$A$56,A95,$K$7:$K$56)</f>
        <v>0</v>
      </c>
      <c r="L95" s="49"/>
      <c r="M95" s="193"/>
      <c r="N95" s="173">
        <f>SUMIF($A$7:$A$56,A95,$N$7:$N$56)</f>
        <v>0</v>
      </c>
      <c r="O95" s="197"/>
      <c r="P95" s="165" t="s">
        <v>1004</v>
      </c>
      <c r="Q95" s="37">
        <f t="shared" si="55"/>
        <v>0</v>
      </c>
      <c r="R95" s="37">
        <f t="shared" si="56"/>
        <v>0</v>
      </c>
    </row>
    <row r="96" spans="1:18" hidden="1" outlineLevel="1" x14ac:dyDescent="0.25">
      <c r="A96" s="189" t="s">
        <v>1107</v>
      </c>
      <c r="B96" s="252" t="s">
        <v>1108</v>
      </c>
      <c r="C96" s="190"/>
      <c r="D96" s="191"/>
      <c r="E96" s="191"/>
      <c r="F96" s="192"/>
      <c r="G96" s="192"/>
      <c r="H96" s="48"/>
      <c r="I96" s="49"/>
      <c r="J96" s="193"/>
      <c r="K96" s="172">
        <f>SUMIF($A$7:$A$56,A96,$K$7:$K$56)</f>
        <v>0</v>
      </c>
      <c r="L96" s="49"/>
      <c r="M96" s="193"/>
      <c r="N96" s="173">
        <f>SUMIF($A$7:$A$56,A96,$N$7:$N$56)</f>
        <v>0</v>
      </c>
      <c r="O96" s="194"/>
      <c r="P96" s="165" t="s">
        <v>1004</v>
      </c>
      <c r="Q96" s="37">
        <f t="shared" si="55"/>
        <v>0</v>
      </c>
      <c r="R96" s="37">
        <f t="shared" si="56"/>
        <v>0</v>
      </c>
    </row>
    <row r="97" spans="1:18" hidden="1" outlineLevel="1" x14ac:dyDescent="0.25">
      <c r="A97" s="189" t="s">
        <v>1109</v>
      </c>
      <c r="B97" s="253" t="s">
        <v>1110</v>
      </c>
      <c r="C97" s="195"/>
      <c r="D97" s="196"/>
      <c r="E97" s="196"/>
      <c r="F97" s="192"/>
      <c r="G97" s="192"/>
      <c r="H97" s="50"/>
      <c r="I97" s="49"/>
      <c r="J97" s="193"/>
      <c r="K97" s="172">
        <f>SUMIF($A$7:$A$56,A97,$K$7:$K$56)</f>
        <v>0</v>
      </c>
      <c r="L97" s="49"/>
      <c r="M97" s="193"/>
      <c r="N97" s="173">
        <f>SUMIF($A$7:$A$56,A97,$N$7:$N$56)</f>
        <v>0</v>
      </c>
      <c r="O97" s="197"/>
      <c r="P97" s="165" t="s">
        <v>1004</v>
      </c>
      <c r="Q97" s="37">
        <f t="shared" si="55"/>
        <v>0</v>
      </c>
      <c r="R97" s="37">
        <f t="shared" si="56"/>
        <v>0</v>
      </c>
    </row>
    <row r="98" spans="1:18" hidden="1" outlineLevel="1" x14ac:dyDescent="0.25">
      <c r="A98" s="189" t="s">
        <v>1111</v>
      </c>
      <c r="B98" s="252" t="s">
        <v>1112</v>
      </c>
      <c r="C98" s="190"/>
      <c r="D98" s="191"/>
      <c r="E98" s="191"/>
      <c r="F98" s="192"/>
      <c r="G98" s="192"/>
      <c r="H98" s="48"/>
      <c r="I98" s="49"/>
      <c r="J98" s="193"/>
      <c r="K98" s="172">
        <f>SUMIF($A$7:$A$56,A98,$K$7:$K$56)</f>
        <v>0</v>
      </c>
      <c r="L98" s="49"/>
      <c r="M98" s="193"/>
      <c r="N98" s="173">
        <f>SUMIF($A$7:$A$56,A98,$N$7:$N$56)</f>
        <v>0</v>
      </c>
      <c r="O98" s="194"/>
      <c r="P98" s="165" t="s">
        <v>1004</v>
      </c>
      <c r="Q98" s="37">
        <f t="shared" si="55"/>
        <v>0</v>
      </c>
      <c r="R98" s="37">
        <f t="shared" si="56"/>
        <v>0</v>
      </c>
    </row>
    <row r="99" spans="1:18" hidden="1" outlineLevel="1" x14ac:dyDescent="0.25">
      <c r="A99" s="189" t="s">
        <v>1113</v>
      </c>
      <c r="B99" s="253" t="s">
        <v>1114</v>
      </c>
      <c r="C99" s="195"/>
      <c r="D99" s="196"/>
      <c r="E99" s="196"/>
      <c r="F99" s="192"/>
      <c r="G99" s="192"/>
      <c r="H99" s="50"/>
      <c r="I99" s="49"/>
      <c r="J99" s="193"/>
      <c r="K99" s="172">
        <f>SUMIF($A$7:$A$56,A99,$K$7:$K$56)</f>
        <v>0</v>
      </c>
      <c r="L99" s="49"/>
      <c r="M99" s="193"/>
      <c r="N99" s="173">
        <f>SUMIF($A$7:$A$56,A99,$N$7:$N$56)</f>
        <v>0</v>
      </c>
      <c r="O99" s="197"/>
      <c r="P99" s="165" t="s">
        <v>1004</v>
      </c>
      <c r="Q99" s="37">
        <f t="shared" si="55"/>
        <v>0</v>
      </c>
      <c r="R99" s="37">
        <f t="shared" si="56"/>
        <v>0</v>
      </c>
    </row>
    <row r="100" spans="1:18" hidden="1" outlineLevel="1" x14ac:dyDescent="0.25">
      <c r="A100" s="189" t="s">
        <v>1115</v>
      </c>
      <c r="B100" s="252" t="s">
        <v>1116</v>
      </c>
      <c r="C100" s="190"/>
      <c r="D100" s="191"/>
      <c r="E100" s="191"/>
      <c r="F100" s="192"/>
      <c r="G100" s="192"/>
      <c r="H100" s="48"/>
      <c r="I100" s="49"/>
      <c r="J100" s="193"/>
      <c r="K100" s="172">
        <f>SUMIF($A$7:$A$56,A100,$K$7:$K$56)</f>
        <v>0</v>
      </c>
      <c r="L100" s="49"/>
      <c r="M100" s="193"/>
      <c r="N100" s="173">
        <f>SUMIF($A$7:$A$56,A100,$N$7:$N$56)</f>
        <v>0</v>
      </c>
      <c r="O100" s="194"/>
      <c r="P100" s="165" t="s">
        <v>1004</v>
      </c>
      <c r="Q100" s="37">
        <f t="shared" si="55"/>
        <v>0</v>
      </c>
      <c r="R100" s="37">
        <f t="shared" si="56"/>
        <v>0</v>
      </c>
    </row>
    <row r="101" spans="1:18" hidden="1" outlineLevel="1" x14ac:dyDescent="0.25">
      <c r="A101" s="189" t="s">
        <v>1117</v>
      </c>
      <c r="B101" s="253" t="s">
        <v>1118</v>
      </c>
      <c r="C101" s="195"/>
      <c r="D101" s="196"/>
      <c r="E101" s="196"/>
      <c r="F101" s="192"/>
      <c r="G101" s="192"/>
      <c r="H101" s="50"/>
      <c r="I101" s="49"/>
      <c r="J101" s="193"/>
      <c r="K101" s="172">
        <f>SUMIF($A$7:$A$56,A101,$K$7:$K$56)</f>
        <v>0</v>
      </c>
      <c r="L101" s="49"/>
      <c r="M101" s="193"/>
      <c r="N101" s="173">
        <f>SUMIF($A$7:$A$56,A101,$N$7:$N$56)</f>
        <v>0</v>
      </c>
      <c r="O101" s="197"/>
      <c r="P101" s="165" t="s">
        <v>1004</v>
      </c>
      <c r="Q101" s="37">
        <f t="shared" si="55"/>
        <v>0</v>
      </c>
      <c r="R101" s="37">
        <f t="shared" si="56"/>
        <v>0</v>
      </c>
    </row>
    <row r="102" spans="1:18" hidden="1" outlineLevel="1" x14ac:dyDescent="0.25">
      <c r="A102" s="189" t="s">
        <v>1119</v>
      </c>
      <c r="B102" s="252" t="s">
        <v>1120</v>
      </c>
      <c r="C102" s="190"/>
      <c r="D102" s="191"/>
      <c r="E102" s="191"/>
      <c r="F102" s="192"/>
      <c r="G102" s="192"/>
      <c r="H102" s="48"/>
      <c r="I102" s="49"/>
      <c r="J102" s="193"/>
      <c r="K102" s="172">
        <f>SUMIF($A$7:$A$56,A102,$K$7:$K$56)</f>
        <v>0</v>
      </c>
      <c r="L102" s="49"/>
      <c r="M102" s="193"/>
      <c r="N102" s="173">
        <f>SUMIF($A$7:$A$56,A102,$N$7:$N$56)</f>
        <v>0</v>
      </c>
      <c r="O102" s="194"/>
      <c r="P102" s="165" t="s">
        <v>1004</v>
      </c>
      <c r="Q102" s="37">
        <f t="shared" si="55"/>
        <v>0</v>
      </c>
      <c r="R102" s="37">
        <f t="shared" si="56"/>
        <v>0</v>
      </c>
    </row>
    <row r="103" spans="1:18" hidden="1" outlineLevel="1" x14ac:dyDescent="0.25">
      <c r="A103" s="189" t="s">
        <v>1121</v>
      </c>
      <c r="B103" s="253" t="s">
        <v>1122</v>
      </c>
      <c r="C103" s="195"/>
      <c r="D103" s="196"/>
      <c r="E103" s="196"/>
      <c r="F103" s="192"/>
      <c r="G103" s="192"/>
      <c r="H103" s="50"/>
      <c r="I103" s="49"/>
      <c r="J103" s="193"/>
      <c r="K103" s="172">
        <f>SUMIF($A$7:$A$56,A103,$K$7:$K$56)</f>
        <v>0</v>
      </c>
      <c r="L103" s="49"/>
      <c r="M103" s="193"/>
      <c r="N103" s="173">
        <f>SUMIF($A$7:$A$56,A103,$N$7:$N$56)</f>
        <v>0</v>
      </c>
      <c r="O103" s="197"/>
      <c r="P103" s="165" t="s">
        <v>1004</v>
      </c>
      <c r="Q103" s="37">
        <f t="shared" si="55"/>
        <v>0</v>
      </c>
      <c r="R103" s="37">
        <f t="shared" si="56"/>
        <v>0</v>
      </c>
    </row>
    <row r="104" spans="1:18" hidden="1" outlineLevel="1" x14ac:dyDescent="0.25">
      <c r="A104" s="189" t="s">
        <v>1123</v>
      </c>
      <c r="B104" s="252" t="s">
        <v>1124</v>
      </c>
      <c r="C104" s="190"/>
      <c r="D104" s="191"/>
      <c r="E104" s="191"/>
      <c r="F104" s="192"/>
      <c r="G104" s="192"/>
      <c r="H104" s="48"/>
      <c r="I104" s="49"/>
      <c r="J104" s="193"/>
      <c r="K104" s="172">
        <f>SUMIF($A$7:$A$56,A104,$K$7:$K$56)</f>
        <v>0</v>
      </c>
      <c r="L104" s="49"/>
      <c r="M104" s="193"/>
      <c r="N104" s="173">
        <f>SUMIF($A$7:$A$56,A104,$N$7:$N$56)</f>
        <v>0</v>
      </c>
      <c r="O104" s="194"/>
      <c r="P104" s="165" t="s">
        <v>1004</v>
      </c>
      <c r="Q104" s="37">
        <f t="shared" si="55"/>
        <v>0</v>
      </c>
      <c r="R104" s="37">
        <f t="shared" si="56"/>
        <v>0</v>
      </c>
    </row>
    <row r="105" spans="1:18" hidden="1" outlineLevel="1" x14ac:dyDescent="0.25">
      <c r="A105" s="189" t="s">
        <v>1125</v>
      </c>
      <c r="B105" s="253" t="s">
        <v>1126</v>
      </c>
      <c r="C105" s="195"/>
      <c r="D105" s="196"/>
      <c r="E105" s="196"/>
      <c r="F105" s="192"/>
      <c r="G105" s="192"/>
      <c r="H105" s="50"/>
      <c r="I105" s="49"/>
      <c r="J105" s="193"/>
      <c r="K105" s="172">
        <f>SUMIF($A$7:$A$56,A105,$K$7:$K$56)</f>
        <v>0</v>
      </c>
      <c r="L105" s="49"/>
      <c r="M105" s="193"/>
      <c r="N105" s="173">
        <f>SUMIF($A$7:$A$56,A105,$N$7:$N$56)</f>
        <v>0</v>
      </c>
      <c r="O105" s="197"/>
      <c r="P105" s="165" t="s">
        <v>1004</v>
      </c>
      <c r="Q105" s="37">
        <f t="shared" si="55"/>
        <v>0</v>
      </c>
      <c r="R105" s="37">
        <f t="shared" si="56"/>
        <v>0</v>
      </c>
    </row>
    <row r="106" spans="1:18" hidden="1" outlineLevel="1" x14ac:dyDescent="0.25">
      <c r="A106" s="189" t="s">
        <v>1127</v>
      </c>
      <c r="B106" s="252" t="s">
        <v>1128</v>
      </c>
      <c r="C106" s="190"/>
      <c r="D106" s="191"/>
      <c r="E106" s="191"/>
      <c r="F106" s="192"/>
      <c r="G106" s="192"/>
      <c r="H106" s="48"/>
      <c r="I106" s="49"/>
      <c r="J106" s="193"/>
      <c r="K106" s="172">
        <f>SUMIF($A$7:$A$56,A106,$K$7:$K$56)</f>
        <v>0</v>
      </c>
      <c r="L106" s="49"/>
      <c r="M106" s="193"/>
      <c r="N106" s="173">
        <f>SUMIF($A$7:$A$56,A106,$N$7:$N$56)</f>
        <v>0</v>
      </c>
      <c r="O106" s="194"/>
      <c r="P106" s="165" t="s">
        <v>1004</v>
      </c>
      <c r="Q106" s="37">
        <f t="shared" si="55"/>
        <v>0</v>
      </c>
      <c r="R106" s="37">
        <f t="shared" si="56"/>
        <v>0</v>
      </c>
    </row>
    <row r="107" spans="1:18" hidden="1" outlineLevel="1" x14ac:dyDescent="0.25">
      <c r="A107" s="189" t="s">
        <v>1129</v>
      </c>
      <c r="B107" s="253" t="s">
        <v>1130</v>
      </c>
      <c r="C107" s="195"/>
      <c r="D107" s="196"/>
      <c r="E107" s="196"/>
      <c r="F107" s="192"/>
      <c r="G107" s="192"/>
      <c r="H107" s="50"/>
      <c r="I107" s="49"/>
      <c r="J107" s="193"/>
      <c r="K107" s="172">
        <f>SUMIF($A$7:$A$56,A107,$K$7:$K$56)</f>
        <v>0</v>
      </c>
      <c r="L107" s="49"/>
      <c r="M107" s="193"/>
      <c r="N107" s="173">
        <f>SUMIF($A$7:$A$56,A107,$N$7:$N$56)</f>
        <v>0</v>
      </c>
      <c r="O107" s="197"/>
      <c r="P107" s="165" t="s">
        <v>1004</v>
      </c>
      <c r="Q107" s="37">
        <f t="shared" si="55"/>
        <v>0</v>
      </c>
      <c r="R107" s="37">
        <f t="shared" si="56"/>
        <v>0</v>
      </c>
    </row>
    <row r="108" spans="1:18" hidden="1" outlineLevel="1" x14ac:dyDescent="0.25">
      <c r="A108" s="189" t="s">
        <v>1131</v>
      </c>
      <c r="B108" s="252" t="s">
        <v>1132</v>
      </c>
      <c r="C108" s="190"/>
      <c r="D108" s="191"/>
      <c r="E108" s="191"/>
      <c r="F108" s="192"/>
      <c r="G108" s="192"/>
      <c r="H108" s="48"/>
      <c r="I108" s="49"/>
      <c r="J108" s="193"/>
      <c r="K108" s="172">
        <f>SUMIF($A$7:$A$56,A108,$K$7:$K$56)</f>
        <v>0</v>
      </c>
      <c r="L108" s="49"/>
      <c r="M108" s="193"/>
      <c r="N108" s="173">
        <f>SUMIF($A$7:$A$56,A108,$N$7:$N$56)</f>
        <v>0</v>
      </c>
      <c r="O108" s="194"/>
      <c r="P108" s="165" t="s">
        <v>1004</v>
      </c>
      <c r="Q108" s="37">
        <f t="shared" ref="Q108:Q139" si="57">+ROUND((K108)*(1+SUMIF($Q$2:$Q$4,P108,$R$2:$R$4)),0)</f>
        <v>0</v>
      </c>
      <c r="R108" s="37">
        <f t="shared" ref="R108:R139" si="58">+ROUND((N108)*(1+SUMIF($Q$2:$Q$4,P108,$R$2:$R$4)),0)</f>
        <v>0</v>
      </c>
    </row>
    <row r="109" spans="1:18" hidden="1" outlineLevel="1" x14ac:dyDescent="0.25">
      <c r="A109" s="189" t="s">
        <v>1133</v>
      </c>
      <c r="B109" s="253" t="s">
        <v>1134</v>
      </c>
      <c r="C109" s="195"/>
      <c r="D109" s="196"/>
      <c r="E109" s="196"/>
      <c r="F109" s="192"/>
      <c r="G109" s="192"/>
      <c r="H109" s="50"/>
      <c r="I109" s="49"/>
      <c r="J109" s="193"/>
      <c r="K109" s="172">
        <f>SUMIF($A$7:$A$56,A109,$K$7:$K$56)</f>
        <v>0</v>
      </c>
      <c r="L109" s="49"/>
      <c r="M109" s="193"/>
      <c r="N109" s="173">
        <f>SUMIF($A$7:$A$56,A109,$N$7:$N$56)</f>
        <v>0</v>
      </c>
      <c r="O109" s="197"/>
      <c r="P109" s="165" t="s">
        <v>1004</v>
      </c>
      <c r="Q109" s="37">
        <f t="shared" si="57"/>
        <v>0</v>
      </c>
      <c r="R109" s="37">
        <f t="shared" si="58"/>
        <v>0</v>
      </c>
    </row>
    <row r="110" spans="1:18" hidden="1" outlineLevel="1" x14ac:dyDescent="0.25">
      <c r="A110" s="189" t="s">
        <v>1135</v>
      </c>
      <c r="B110" s="252" t="s">
        <v>1136</v>
      </c>
      <c r="C110" s="190"/>
      <c r="D110" s="191"/>
      <c r="E110" s="191"/>
      <c r="F110" s="192"/>
      <c r="G110" s="192"/>
      <c r="H110" s="48"/>
      <c r="I110" s="49"/>
      <c r="J110" s="193"/>
      <c r="K110" s="172">
        <f>SUMIF($A$7:$A$56,A110,$K$7:$K$56)</f>
        <v>0</v>
      </c>
      <c r="L110" s="49"/>
      <c r="M110" s="193"/>
      <c r="N110" s="173">
        <f>SUMIF($A$7:$A$56,A110,$N$7:$N$56)</f>
        <v>0</v>
      </c>
      <c r="O110" s="194"/>
      <c r="P110" s="165" t="s">
        <v>1004</v>
      </c>
      <c r="Q110" s="37">
        <f t="shared" si="57"/>
        <v>0</v>
      </c>
      <c r="R110" s="37">
        <f t="shared" si="58"/>
        <v>0</v>
      </c>
    </row>
    <row r="111" spans="1:18" hidden="1" outlineLevel="1" x14ac:dyDescent="0.25">
      <c r="A111" s="189" t="s">
        <v>1137</v>
      </c>
      <c r="B111" s="253" t="s">
        <v>1138</v>
      </c>
      <c r="C111" s="195"/>
      <c r="D111" s="196"/>
      <c r="E111" s="196"/>
      <c r="F111" s="192"/>
      <c r="G111" s="192"/>
      <c r="H111" s="50"/>
      <c r="I111" s="49"/>
      <c r="J111" s="193"/>
      <c r="K111" s="172">
        <f>SUMIF($A$7:$A$56,A111,$K$7:$K$56)</f>
        <v>0</v>
      </c>
      <c r="L111" s="49"/>
      <c r="M111" s="193"/>
      <c r="N111" s="173">
        <f>SUMIF($A$7:$A$56,A111,$N$7:$N$56)</f>
        <v>0</v>
      </c>
      <c r="O111" s="197"/>
      <c r="P111" s="165" t="s">
        <v>1004</v>
      </c>
      <c r="Q111" s="37">
        <f t="shared" si="57"/>
        <v>0</v>
      </c>
      <c r="R111" s="37">
        <f t="shared" si="58"/>
        <v>0</v>
      </c>
    </row>
    <row r="112" spans="1:18" hidden="1" outlineLevel="1" x14ac:dyDescent="0.25">
      <c r="A112" s="189" t="s">
        <v>1139</v>
      </c>
      <c r="B112" s="252" t="s">
        <v>1140</v>
      </c>
      <c r="C112" s="190"/>
      <c r="D112" s="191"/>
      <c r="E112" s="191"/>
      <c r="F112" s="192"/>
      <c r="G112" s="192"/>
      <c r="H112" s="48"/>
      <c r="I112" s="49"/>
      <c r="J112" s="193"/>
      <c r="K112" s="172">
        <f>SUMIF($A$7:$A$56,A112,$K$7:$K$56)</f>
        <v>0</v>
      </c>
      <c r="L112" s="49"/>
      <c r="M112" s="193"/>
      <c r="N112" s="173">
        <f>SUMIF($A$7:$A$56,A112,$N$7:$N$56)</f>
        <v>0</v>
      </c>
      <c r="O112" s="194"/>
      <c r="P112" s="165" t="s">
        <v>1004</v>
      </c>
      <c r="Q112" s="37">
        <f t="shared" si="57"/>
        <v>0</v>
      </c>
      <c r="R112" s="37">
        <f t="shared" si="58"/>
        <v>0</v>
      </c>
    </row>
    <row r="113" spans="1:18" hidden="1" outlineLevel="1" x14ac:dyDescent="0.25">
      <c r="A113" s="189" t="s">
        <v>1141</v>
      </c>
      <c r="B113" s="253" t="s">
        <v>1142</v>
      </c>
      <c r="C113" s="195"/>
      <c r="D113" s="196"/>
      <c r="E113" s="196"/>
      <c r="F113" s="192"/>
      <c r="G113" s="192"/>
      <c r="H113" s="50"/>
      <c r="I113" s="49"/>
      <c r="J113" s="193"/>
      <c r="K113" s="172">
        <f>SUMIF($A$7:$A$56,A113,$K$7:$K$56)</f>
        <v>0</v>
      </c>
      <c r="L113" s="49"/>
      <c r="M113" s="193"/>
      <c r="N113" s="173">
        <f>SUMIF($A$7:$A$56,A113,$N$7:$N$56)</f>
        <v>0</v>
      </c>
      <c r="O113" s="197"/>
      <c r="P113" s="165" t="s">
        <v>1004</v>
      </c>
      <c r="Q113" s="37">
        <f t="shared" si="57"/>
        <v>0</v>
      </c>
      <c r="R113" s="37">
        <f t="shared" si="58"/>
        <v>0</v>
      </c>
    </row>
    <row r="114" spans="1:18" hidden="1" outlineLevel="1" x14ac:dyDescent="0.25">
      <c r="A114" s="189" t="s">
        <v>1143</v>
      </c>
      <c r="B114" s="252" t="s">
        <v>1144</v>
      </c>
      <c r="C114" s="190"/>
      <c r="D114" s="191"/>
      <c r="E114" s="191"/>
      <c r="F114" s="192"/>
      <c r="G114" s="192"/>
      <c r="H114" s="48"/>
      <c r="I114" s="49"/>
      <c r="J114" s="193"/>
      <c r="K114" s="172">
        <f>SUMIF($A$7:$A$56,A114,$K$7:$K$56)</f>
        <v>0</v>
      </c>
      <c r="L114" s="49"/>
      <c r="M114" s="193"/>
      <c r="N114" s="173">
        <f>SUMIF($A$7:$A$56,A114,$N$7:$N$56)</f>
        <v>0</v>
      </c>
      <c r="O114" s="194"/>
      <c r="P114" s="165" t="s">
        <v>1004</v>
      </c>
      <c r="Q114" s="37">
        <f t="shared" si="57"/>
        <v>0</v>
      </c>
      <c r="R114" s="37">
        <f t="shared" si="58"/>
        <v>0</v>
      </c>
    </row>
    <row r="115" spans="1:18" hidden="1" outlineLevel="1" x14ac:dyDescent="0.25">
      <c r="A115" s="189" t="s">
        <v>1145</v>
      </c>
      <c r="B115" s="253" t="s">
        <v>1146</v>
      </c>
      <c r="C115" s="195"/>
      <c r="D115" s="196"/>
      <c r="E115" s="196"/>
      <c r="F115" s="192"/>
      <c r="G115" s="192"/>
      <c r="H115" s="50"/>
      <c r="I115" s="49"/>
      <c r="J115" s="193"/>
      <c r="K115" s="172">
        <f>SUMIF($A$7:$A$56,A115,$K$7:$K$56)</f>
        <v>0</v>
      </c>
      <c r="L115" s="49"/>
      <c r="M115" s="193"/>
      <c r="N115" s="173">
        <f>SUMIF($A$7:$A$56,A115,$N$7:$N$56)</f>
        <v>0</v>
      </c>
      <c r="O115" s="197"/>
      <c r="P115" s="165" t="s">
        <v>1004</v>
      </c>
      <c r="Q115" s="37">
        <f t="shared" si="57"/>
        <v>0</v>
      </c>
      <c r="R115" s="37">
        <f t="shared" si="58"/>
        <v>0</v>
      </c>
    </row>
    <row r="116" spans="1:18" hidden="1" outlineLevel="1" x14ac:dyDescent="0.25">
      <c r="A116" s="189" t="s">
        <v>1147</v>
      </c>
      <c r="B116" s="252" t="s">
        <v>1148</v>
      </c>
      <c r="C116" s="190"/>
      <c r="D116" s="191"/>
      <c r="E116" s="191"/>
      <c r="F116" s="192"/>
      <c r="G116" s="192"/>
      <c r="H116" s="48"/>
      <c r="I116" s="49"/>
      <c r="J116" s="193"/>
      <c r="K116" s="172">
        <f>SUMIF($A$7:$A$56,A116,$K$7:$K$56)</f>
        <v>0</v>
      </c>
      <c r="L116" s="49"/>
      <c r="M116" s="193"/>
      <c r="N116" s="173">
        <f>SUMIF($A$7:$A$56,A116,$N$7:$N$56)</f>
        <v>0</v>
      </c>
      <c r="O116" s="194"/>
      <c r="P116" s="165" t="s">
        <v>1004</v>
      </c>
      <c r="Q116" s="37">
        <f t="shared" si="57"/>
        <v>0</v>
      </c>
      <c r="R116" s="37">
        <f t="shared" si="58"/>
        <v>0</v>
      </c>
    </row>
    <row r="117" spans="1:18" hidden="1" outlineLevel="1" x14ac:dyDescent="0.25">
      <c r="A117" s="189" t="s">
        <v>1149</v>
      </c>
      <c r="B117" s="253" t="s">
        <v>1150</v>
      </c>
      <c r="C117" s="195"/>
      <c r="D117" s="196"/>
      <c r="E117" s="196"/>
      <c r="F117" s="192"/>
      <c r="G117" s="192"/>
      <c r="H117" s="50"/>
      <c r="I117" s="49"/>
      <c r="J117" s="193"/>
      <c r="K117" s="172">
        <f>SUMIF($A$7:$A$56,A117,$K$7:$K$56)</f>
        <v>0</v>
      </c>
      <c r="L117" s="49"/>
      <c r="M117" s="193"/>
      <c r="N117" s="173">
        <f>SUMIF($A$7:$A$56,A117,$N$7:$N$56)</f>
        <v>0</v>
      </c>
      <c r="O117" s="197"/>
      <c r="P117" s="165" t="s">
        <v>1004</v>
      </c>
      <c r="Q117" s="37">
        <f t="shared" si="57"/>
        <v>0</v>
      </c>
      <c r="R117" s="37">
        <f t="shared" si="58"/>
        <v>0</v>
      </c>
    </row>
    <row r="118" spans="1:18" hidden="1" outlineLevel="1" x14ac:dyDescent="0.25">
      <c r="A118" s="189" t="s">
        <v>1151</v>
      </c>
      <c r="B118" s="252" t="s">
        <v>1152</v>
      </c>
      <c r="C118" s="190"/>
      <c r="D118" s="191"/>
      <c r="E118" s="191"/>
      <c r="F118" s="192"/>
      <c r="G118" s="192"/>
      <c r="H118" s="48"/>
      <c r="I118" s="49"/>
      <c r="J118" s="193"/>
      <c r="K118" s="172">
        <f>SUMIF($A$7:$A$56,A118,$K$7:$K$56)</f>
        <v>0</v>
      </c>
      <c r="L118" s="49"/>
      <c r="M118" s="193"/>
      <c r="N118" s="173">
        <f>SUMIF($A$7:$A$56,A118,$N$7:$N$56)</f>
        <v>0</v>
      </c>
      <c r="O118" s="194"/>
      <c r="P118" s="165" t="s">
        <v>1004</v>
      </c>
      <c r="Q118" s="37">
        <f t="shared" si="57"/>
        <v>0</v>
      </c>
      <c r="R118" s="37">
        <f t="shared" si="58"/>
        <v>0</v>
      </c>
    </row>
    <row r="119" spans="1:18" hidden="1" outlineLevel="1" x14ac:dyDescent="0.25">
      <c r="A119" s="189" t="s">
        <v>1153</v>
      </c>
      <c r="B119" s="253" t="s">
        <v>1154</v>
      </c>
      <c r="C119" s="195"/>
      <c r="D119" s="196"/>
      <c r="E119" s="196"/>
      <c r="F119" s="192"/>
      <c r="G119" s="192"/>
      <c r="H119" s="50"/>
      <c r="I119" s="49"/>
      <c r="J119" s="193"/>
      <c r="K119" s="172">
        <f>SUMIF($A$7:$A$56,A119,$K$7:$K$56)</f>
        <v>0</v>
      </c>
      <c r="L119" s="49"/>
      <c r="M119" s="193"/>
      <c r="N119" s="173">
        <f>SUMIF($A$7:$A$56,A119,$N$7:$N$56)</f>
        <v>0</v>
      </c>
      <c r="O119" s="197"/>
      <c r="P119" s="165" t="s">
        <v>1004</v>
      </c>
      <c r="Q119" s="37">
        <f t="shared" si="57"/>
        <v>0</v>
      </c>
      <c r="R119" s="37">
        <f t="shared" si="58"/>
        <v>0</v>
      </c>
    </row>
    <row r="120" spans="1:18" hidden="1" outlineLevel="1" x14ac:dyDescent="0.25">
      <c r="A120" s="189" t="s">
        <v>1155</v>
      </c>
      <c r="B120" s="252" t="s">
        <v>1156</v>
      </c>
      <c r="C120" s="190"/>
      <c r="D120" s="191"/>
      <c r="E120" s="191"/>
      <c r="F120" s="192"/>
      <c r="G120" s="192"/>
      <c r="H120" s="48"/>
      <c r="I120" s="49"/>
      <c r="J120" s="193"/>
      <c r="K120" s="172">
        <f>SUMIF($A$7:$A$56,A120,$K$7:$K$56)</f>
        <v>0</v>
      </c>
      <c r="L120" s="49"/>
      <c r="M120" s="193"/>
      <c r="N120" s="173">
        <f>SUMIF($A$7:$A$56,A120,$N$7:$N$56)</f>
        <v>0</v>
      </c>
      <c r="O120" s="194"/>
      <c r="P120" s="165" t="s">
        <v>1004</v>
      </c>
      <c r="Q120" s="37">
        <f t="shared" si="57"/>
        <v>0</v>
      </c>
      <c r="R120" s="37">
        <f t="shared" si="58"/>
        <v>0</v>
      </c>
    </row>
    <row r="121" spans="1:18" hidden="1" outlineLevel="1" x14ac:dyDescent="0.25">
      <c r="A121" s="189" t="s">
        <v>1157</v>
      </c>
      <c r="B121" s="253" t="s">
        <v>1158</v>
      </c>
      <c r="C121" s="195"/>
      <c r="D121" s="196"/>
      <c r="E121" s="196"/>
      <c r="F121" s="192"/>
      <c r="G121" s="192"/>
      <c r="H121" s="50"/>
      <c r="I121" s="49"/>
      <c r="J121" s="193"/>
      <c r="K121" s="172">
        <f>SUMIF($A$7:$A$56,A121,$K$7:$K$56)</f>
        <v>0</v>
      </c>
      <c r="L121" s="49"/>
      <c r="M121" s="193"/>
      <c r="N121" s="173">
        <f>SUMIF($A$7:$A$56,A121,$N$7:$N$56)</f>
        <v>0</v>
      </c>
      <c r="O121" s="197"/>
      <c r="P121" s="165" t="s">
        <v>1004</v>
      </c>
      <c r="Q121" s="37">
        <f t="shared" si="57"/>
        <v>0</v>
      </c>
      <c r="R121" s="37">
        <f t="shared" si="58"/>
        <v>0</v>
      </c>
    </row>
    <row r="122" spans="1:18" hidden="1" outlineLevel="1" x14ac:dyDescent="0.25">
      <c r="A122" s="189" t="s">
        <v>1159</v>
      </c>
      <c r="B122" s="252" t="s">
        <v>1160</v>
      </c>
      <c r="C122" s="190"/>
      <c r="D122" s="191"/>
      <c r="E122" s="191"/>
      <c r="F122" s="192"/>
      <c r="G122" s="192"/>
      <c r="H122" s="48"/>
      <c r="I122" s="49"/>
      <c r="J122" s="193"/>
      <c r="K122" s="172">
        <f>SUMIF($A$7:$A$56,A122,$K$7:$K$56)</f>
        <v>0</v>
      </c>
      <c r="L122" s="49"/>
      <c r="M122" s="193"/>
      <c r="N122" s="173">
        <f>SUMIF($A$7:$A$56,A122,$N$7:$N$56)</f>
        <v>0</v>
      </c>
      <c r="O122" s="194"/>
      <c r="P122" s="165" t="s">
        <v>1004</v>
      </c>
      <c r="Q122" s="37">
        <f t="shared" si="57"/>
        <v>0</v>
      </c>
      <c r="R122" s="37">
        <f t="shared" si="58"/>
        <v>0</v>
      </c>
    </row>
    <row r="123" spans="1:18" hidden="1" outlineLevel="1" x14ac:dyDescent="0.25">
      <c r="A123" s="189" t="s">
        <v>1161</v>
      </c>
      <c r="B123" s="253" t="s">
        <v>1162</v>
      </c>
      <c r="C123" s="195"/>
      <c r="D123" s="196"/>
      <c r="E123" s="196"/>
      <c r="F123" s="192"/>
      <c r="G123" s="192"/>
      <c r="H123" s="50"/>
      <c r="I123" s="49"/>
      <c r="J123" s="193"/>
      <c r="K123" s="172">
        <f>SUMIF($A$7:$A$56,A123,$K$7:$K$56)</f>
        <v>0</v>
      </c>
      <c r="L123" s="49"/>
      <c r="M123" s="193"/>
      <c r="N123" s="173">
        <f>SUMIF($A$7:$A$56,A123,$N$7:$N$56)</f>
        <v>0</v>
      </c>
      <c r="O123" s="197"/>
      <c r="P123" s="165" t="s">
        <v>1004</v>
      </c>
      <c r="Q123" s="37">
        <f t="shared" si="57"/>
        <v>0</v>
      </c>
      <c r="R123" s="37">
        <f t="shared" si="58"/>
        <v>0</v>
      </c>
    </row>
    <row r="124" spans="1:18" hidden="1" outlineLevel="1" x14ac:dyDescent="0.25">
      <c r="A124" s="189" t="s">
        <v>1163</v>
      </c>
      <c r="B124" s="252" t="s">
        <v>1164</v>
      </c>
      <c r="C124" s="190"/>
      <c r="D124" s="191"/>
      <c r="E124" s="191"/>
      <c r="F124" s="192"/>
      <c r="G124" s="192"/>
      <c r="H124" s="48"/>
      <c r="I124" s="49"/>
      <c r="J124" s="193"/>
      <c r="K124" s="172">
        <f>SUMIF($A$7:$A$56,A124,$K$7:$K$56)</f>
        <v>0</v>
      </c>
      <c r="L124" s="49"/>
      <c r="M124" s="193"/>
      <c r="N124" s="173">
        <f>SUMIF($A$7:$A$56,A124,$N$7:$N$56)</f>
        <v>0</v>
      </c>
      <c r="O124" s="194"/>
      <c r="P124" s="165" t="s">
        <v>1004</v>
      </c>
      <c r="Q124" s="37">
        <f t="shared" si="57"/>
        <v>0</v>
      </c>
      <c r="R124" s="37">
        <f t="shared" si="58"/>
        <v>0</v>
      </c>
    </row>
    <row r="125" spans="1:18" hidden="1" outlineLevel="1" x14ac:dyDescent="0.25">
      <c r="A125" s="189" t="s">
        <v>1165</v>
      </c>
      <c r="B125" s="253" t="s">
        <v>1166</v>
      </c>
      <c r="C125" s="195"/>
      <c r="D125" s="196"/>
      <c r="E125" s="196"/>
      <c r="F125" s="192"/>
      <c r="G125" s="192"/>
      <c r="H125" s="50"/>
      <c r="I125" s="49"/>
      <c r="J125" s="193"/>
      <c r="K125" s="172">
        <f>SUMIF($A$7:$A$56,A125,$K$7:$K$56)</f>
        <v>0</v>
      </c>
      <c r="L125" s="49"/>
      <c r="M125" s="193"/>
      <c r="N125" s="173">
        <f>SUMIF($A$7:$A$56,A125,$N$7:$N$56)</f>
        <v>0</v>
      </c>
      <c r="O125" s="197"/>
      <c r="P125" s="165" t="s">
        <v>1004</v>
      </c>
      <c r="Q125" s="37">
        <f t="shared" si="57"/>
        <v>0</v>
      </c>
      <c r="R125" s="37">
        <f t="shared" si="58"/>
        <v>0</v>
      </c>
    </row>
    <row r="126" spans="1:18" hidden="1" outlineLevel="1" x14ac:dyDescent="0.25">
      <c r="A126" s="189" t="s">
        <v>1167</v>
      </c>
      <c r="B126" s="252" t="s">
        <v>1168</v>
      </c>
      <c r="C126" s="190"/>
      <c r="D126" s="191"/>
      <c r="E126" s="191"/>
      <c r="F126" s="192"/>
      <c r="G126" s="192"/>
      <c r="H126" s="48"/>
      <c r="I126" s="49"/>
      <c r="J126" s="193"/>
      <c r="K126" s="172">
        <f>SUMIF($A$7:$A$56,A126,$K$7:$K$56)</f>
        <v>0</v>
      </c>
      <c r="L126" s="49"/>
      <c r="M126" s="193"/>
      <c r="N126" s="173">
        <f>SUMIF($A$7:$A$56,A126,$N$7:$N$56)</f>
        <v>0</v>
      </c>
      <c r="O126" s="194"/>
      <c r="P126" s="165" t="s">
        <v>1004</v>
      </c>
      <c r="Q126" s="37">
        <f t="shared" si="57"/>
        <v>0</v>
      </c>
      <c r="R126" s="37">
        <f t="shared" si="58"/>
        <v>0</v>
      </c>
    </row>
    <row r="127" spans="1:18" hidden="1" outlineLevel="1" x14ac:dyDescent="0.25">
      <c r="A127" s="189" t="s">
        <v>1169</v>
      </c>
      <c r="B127" s="253" t="s">
        <v>1170</v>
      </c>
      <c r="C127" s="195"/>
      <c r="D127" s="196"/>
      <c r="E127" s="196"/>
      <c r="F127" s="192"/>
      <c r="G127" s="192"/>
      <c r="H127" s="50"/>
      <c r="I127" s="49"/>
      <c r="J127" s="193"/>
      <c r="K127" s="172">
        <f>SUMIF($A$7:$A$56,A127,$K$7:$K$56)</f>
        <v>0</v>
      </c>
      <c r="L127" s="49"/>
      <c r="M127" s="193"/>
      <c r="N127" s="173">
        <f>SUMIF($A$7:$A$56,A127,$N$7:$N$56)</f>
        <v>0</v>
      </c>
      <c r="O127" s="197"/>
      <c r="P127" s="165" t="s">
        <v>1004</v>
      </c>
      <c r="Q127" s="37">
        <f t="shared" si="57"/>
        <v>0</v>
      </c>
      <c r="R127" s="37">
        <f t="shared" si="58"/>
        <v>0</v>
      </c>
    </row>
    <row r="128" spans="1:18" hidden="1" outlineLevel="1" x14ac:dyDescent="0.25">
      <c r="A128" s="189" t="s">
        <v>1171</v>
      </c>
      <c r="B128" s="252" t="s">
        <v>1172</v>
      </c>
      <c r="C128" s="190"/>
      <c r="D128" s="191"/>
      <c r="E128" s="191"/>
      <c r="F128" s="192"/>
      <c r="G128" s="192"/>
      <c r="H128" s="48"/>
      <c r="I128" s="49"/>
      <c r="J128" s="193"/>
      <c r="K128" s="172">
        <f>SUMIF($A$7:$A$56,A128,$K$7:$K$56)</f>
        <v>0</v>
      </c>
      <c r="L128" s="49"/>
      <c r="M128" s="193"/>
      <c r="N128" s="173">
        <f>SUMIF($A$7:$A$56,A128,$N$7:$N$56)</f>
        <v>0</v>
      </c>
      <c r="O128" s="194"/>
      <c r="P128" s="165" t="s">
        <v>1004</v>
      </c>
      <c r="Q128" s="37">
        <f t="shared" si="57"/>
        <v>0</v>
      </c>
      <c r="R128" s="37">
        <f t="shared" si="58"/>
        <v>0</v>
      </c>
    </row>
    <row r="129" spans="1:18" hidden="1" outlineLevel="1" x14ac:dyDescent="0.25">
      <c r="A129" s="189" t="s">
        <v>1173</v>
      </c>
      <c r="B129" s="253" t="s">
        <v>1174</v>
      </c>
      <c r="C129" s="195"/>
      <c r="D129" s="196"/>
      <c r="E129" s="196"/>
      <c r="F129" s="192"/>
      <c r="G129" s="192"/>
      <c r="H129" s="50"/>
      <c r="I129" s="49"/>
      <c r="J129" s="193"/>
      <c r="K129" s="172">
        <f>SUMIF($A$7:$A$56,A129,$K$7:$K$56)</f>
        <v>0</v>
      </c>
      <c r="L129" s="49"/>
      <c r="M129" s="193"/>
      <c r="N129" s="173">
        <f>SUMIF($A$7:$A$56,A129,$N$7:$N$56)</f>
        <v>0</v>
      </c>
      <c r="O129" s="197"/>
      <c r="P129" s="165" t="s">
        <v>1004</v>
      </c>
      <c r="Q129" s="37">
        <f t="shared" si="57"/>
        <v>0</v>
      </c>
      <c r="R129" s="37">
        <f t="shared" si="58"/>
        <v>0</v>
      </c>
    </row>
    <row r="130" spans="1:18" hidden="1" outlineLevel="1" x14ac:dyDescent="0.25">
      <c r="A130" s="189" t="s">
        <v>1175</v>
      </c>
      <c r="B130" s="252" t="s">
        <v>157</v>
      </c>
      <c r="C130" s="190"/>
      <c r="D130" s="191"/>
      <c r="E130" s="191"/>
      <c r="F130" s="192"/>
      <c r="G130" s="192"/>
      <c r="H130" s="48"/>
      <c r="I130" s="49"/>
      <c r="J130" s="193"/>
      <c r="K130" s="172">
        <f>SUMIF($A$7:$A$56,A130,$K$7:$K$56)</f>
        <v>0</v>
      </c>
      <c r="L130" s="49"/>
      <c r="M130" s="193"/>
      <c r="N130" s="173">
        <f>SUMIF($A$7:$A$56,A130,$N$7:$N$56)</f>
        <v>0</v>
      </c>
      <c r="O130" s="194"/>
      <c r="P130" s="165" t="s">
        <v>1004</v>
      </c>
      <c r="Q130" s="37">
        <f t="shared" si="57"/>
        <v>0</v>
      </c>
      <c r="R130" s="37">
        <f t="shared" si="58"/>
        <v>0</v>
      </c>
    </row>
    <row r="131" spans="1:18" hidden="1" outlineLevel="1" x14ac:dyDescent="0.25">
      <c r="A131" s="189" t="s">
        <v>1176</v>
      </c>
      <c r="B131" s="253" t="s">
        <v>1177</v>
      </c>
      <c r="C131" s="195"/>
      <c r="D131" s="196"/>
      <c r="E131" s="196"/>
      <c r="F131" s="192"/>
      <c r="G131" s="192"/>
      <c r="H131" s="50"/>
      <c r="I131" s="49"/>
      <c r="J131" s="193"/>
      <c r="K131" s="172">
        <f>SUMIF($A$7:$A$56,A131,$K$7:$K$56)</f>
        <v>0</v>
      </c>
      <c r="L131" s="49"/>
      <c r="M131" s="193"/>
      <c r="N131" s="173">
        <f>SUMIF($A$7:$A$56,A131,$N$7:$N$56)</f>
        <v>0</v>
      </c>
      <c r="O131" s="197"/>
      <c r="P131" s="165" t="s">
        <v>1004</v>
      </c>
      <c r="Q131" s="37">
        <f t="shared" si="57"/>
        <v>0</v>
      </c>
      <c r="R131" s="37">
        <f t="shared" si="58"/>
        <v>0</v>
      </c>
    </row>
    <row r="132" spans="1:18" hidden="1" outlineLevel="1" x14ac:dyDescent="0.25">
      <c r="A132" s="189" t="s">
        <v>1178</v>
      </c>
      <c r="B132" s="252" t="s">
        <v>1179</v>
      </c>
      <c r="C132" s="190"/>
      <c r="D132" s="191"/>
      <c r="E132" s="191"/>
      <c r="F132" s="192"/>
      <c r="G132" s="192"/>
      <c r="H132" s="48"/>
      <c r="I132" s="49"/>
      <c r="J132" s="193"/>
      <c r="K132" s="172">
        <f>SUMIF($A$7:$A$56,A132,$K$7:$K$56)</f>
        <v>0</v>
      </c>
      <c r="L132" s="49"/>
      <c r="M132" s="193"/>
      <c r="N132" s="173">
        <f>SUMIF($A$7:$A$56,A132,$N$7:$N$56)</f>
        <v>0</v>
      </c>
      <c r="O132" s="194"/>
      <c r="P132" s="165" t="s">
        <v>1004</v>
      </c>
      <c r="Q132" s="37">
        <f t="shared" si="57"/>
        <v>0</v>
      </c>
      <c r="R132" s="37">
        <f t="shared" si="58"/>
        <v>0</v>
      </c>
    </row>
    <row r="133" spans="1:18" hidden="1" outlineLevel="1" x14ac:dyDescent="0.25">
      <c r="A133" s="189" t="s">
        <v>1180</v>
      </c>
      <c r="B133" s="253" t="s">
        <v>1181</v>
      </c>
      <c r="C133" s="195"/>
      <c r="D133" s="196"/>
      <c r="E133" s="196"/>
      <c r="F133" s="192"/>
      <c r="G133" s="192"/>
      <c r="H133" s="50"/>
      <c r="I133" s="49"/>
      <c r="J133" s="193"/>
      <c r="K133" s="172">
        <f>SUMIF($A$7:$A$56,A133,$K$7:$K$56)</f>
        <v>0</v>
      </c>
      <c r="L133" s="49"/>
      <c r="M133" s="193"/>
      <c r="N133" s="173">
        <f>SUMIF($A$7:$A$56,A133,$N$7:$N$56)</f>
        <v>0</v>
      </c>
      <c r="O133" s="197"/>
      <c r="P133" s="165" t="s">
        <v>1004</v>
      </c>
      <c r="Q133" s="37">
        <f t="shared" si="57"/>
        <v>0</v>
      </c>
      <c r="R133" s="37">
        <f t="shared" si="58"/>
        <v>0</v>
      </c>
    </row>
    <row r="134" spans="1:18" hidden="1" outlineLevel="1" x14ac:dyDescent="0.25">
      <c r="A134" s="189" t="s">
        <v>1182</v>
      </c>
      <c r="B134" s="252" t="s">
        <v>1183</v>
      </c>
      <c r="C134" s="190"/>
      <c r="D134" s="191"/>
      <c r="E134" s="191"/>
      <c r="F134" s="192"/>
      <c r="G134" s="192"/>
      <c r="H134" s="48"/>
      <c r="I134" s="49"/>
      <c r="J134" s="193"/>
      <c r="K134" s="172">
        <f>SUMIF($A$7:$A$56,A134,$K$7:$K$56)</f>
        <v>0</v>
      </c>
      <c r="L134" s="49"/>
      <c r="M134" s="193"/>
      <c r="N134" s="173">
        <f>SUMIF($A$7:$A$56,A134,$N$7:$N$56)</f>
        <v>0</v>
      </c>
      <c r="O134" s="194"/>
      <c r="P134" s="165" t="s">
        <v>1004</v>
      </c>
      <c r="Q134" s="37">
        <f t="shared" si="57"/>
        <v>0</v>
      </c>
      <c r="R134" s="37">
        <f t="shared" si="58"/>
        <v>0</v>
      </c>
    </row>
    <row r="135" spans="1:18" hidden="1" outlineLevel="1" x14ac:dyDescent="0.25">
      <c r="A135" s="189" t="s">
        <v>1184</v>
      </c>
      <c r="B135" s="253" t="s">
        <v>1185</v>
      </c>
      <c r="C135" s="195"/>
      <c r="D135" s="196"/>
      <c r="E135" s="196"/>
      <c r="F135" s="192"/>
      <c r="G135" s="192"/>
      <c r="H135" s="50"/>
      <c r="I135" s="49"/>
      <c r="J135" s="193"/>
      <c r="K135" s="172">
        <f>SUMIF($A$7:$A$56,A135,$K$7:$K$56)</f>
        <v>0</v>
      </c>
      <c r="L135" s="49"/>
      <c r="M135" s="193"/>
      <c r="N135" s="173">
        <f>SUMIF($A$7:$A$56,A135,$N$7:$N$56)</f>
        <v>0</v>
      </c>
      <c r="O135" s="197"/>
      <c r="P135" s="165" t="s">
        <v>1004</v>
      </c>
      <c r="Q135" s="37">
        <f t="shared" si="57"/>
        <v>0</v>
      </c>
      <c r="R135" s="37">
        <f t="shared" si="58"/>
        <v>0</v>
      </c>
    </row>
    <row r="136" spans="1:18" hidden="1" outlineLevel="1" x14ac:dyDescent="0.25">
      <c r="A136" s="189" t="s">
        <v>1186</v>
      </c>
      <c r="B136" s="252" t="s">
        <v>1187</v>
      </c>
      <c r="C136" s="190"/>
      <c r="D136" s="191"/>
      <c r="E136" s="191"/>
      <c r="F136" s="192"/>
      <c r="G136" s="192"/>
      <c r="H136" s="48"/>
      <c r="I136" s="49"/>
      <c r="J136" s="193"/>
      <c r="K136" s="172">
        <f>SUMIF($A$7:$A$56,A136,$K$7:$K$56)</f>
        <v>0</v>
      </c>
      <c r="L136" s="49"/>
      <c r="M136" s="193"/>
      <c r="N136" s="173">
        <f>SUMIF($A$7:$A$56,A136,$N$7:$N$56)</f>
        <v>0</v>
      </c>
      <c r="O136" s="194"/>
      <c r="P136" s="165" t="s">
        <v>1004</v>
      </c>
      <c r="Q136" s="37">
        <f t="shared" si="57"/>
        <v>0</v>
      </c>
      <c r="R136" s="37">
        <f t="shared" si="58"/>
        <v>0</v>
      </c>
    </row>
    <row r="137" spans="1:18" hidden="1" outlineLevel="1" x14ac:dyDescent="0.25">
      <c r="A137" s="189" t="s">
        <v>1188</v>
      </c>
      <c r="B137" s="253" t="s">
        <v>166</v>
      </c>
      <c r="C137" s="195"/>
      <c r="D137" s="196"/>
      <c r="E137" s="196"/>
      <c r="F137" s="192"/>
      <c r="G137" s="192"/>
      <c r="H137" s="50"/>
      <c r="I137" s="49"/>
      <c r="J137" s="193"/>
      <c r="K137" s="172">
        <f>SUMIF($A$7:$A$56,A137,$K$7:$K$56)</f>
        <v>0</v>
      </c>
      <c r="L137" s="49"/>
      <c r="M137" s="193"/>
      <c r="N137" s="173">
        <f>SUMIF($A$7:$A$56,A137,$N$7:$N$56)</f>
        <v>0</v>
      </c>
      <c r="O137" s="197"/>
      <c r="P137" s="165" t="s">
        <v>1004</v>
      </c>
      <c r="Q137" s="37">
        <f t="shared" si="57"/>
        <v>0</v>
      </c>
      <c r="R137" s="37">
        <f t="shared" si="58"/>
        <v>0</v>
      </c>
    </row>
    <row r="138" spans="1:18" hidden="1" outlineLevel="1" x14ac:dyDescent="0.25">
      <c r="A138" s="189" t="s">
        <v>1189</v>
      </c>
      <c r="B138" s="252" t="s">
        <v>1190</v>
      </c>
      <c r="C138" s="190"/>
      <c r="D138" s="191"/>
      <c r="E138" s="191"/>
      <c r="F138" s="192"/>
      <c r="G138" s="192"/>
      <c r="H138" s="48"/>
      <c r="I138" s="49"/>
      <c r="J138" s="193"/>
      <c r="K138" s="172">
        <f>SUMIF($A$7:$A$56,A138,$K$7:$K$56)</f>
        <v>0</v>
      </c>
      <c r="L138" s="49"/>
      <c r="M138" s="193"/>
      <c r="N138" s="173">
        <f>SUMIF($A$7:$A$56,A138,$N$7:$N$56)</f>
        <v>0</v>
      </c>
      <c r="O138" s="194"/>
      <c r="P138" s="165" t="s">
        <v>1004</v>
      </c>
      <c r="Q138" s="37">
        <f t="shared" si="57"/>
        <v>0</v>
      </c>
      <c r="R138" s="37">
        <f t="shared" si="58"/>
        <v>0</v>
      </c>
    </row>
    <row r="139" spans="1:18" hidden="1" outlineLevel="1" x14ac:dyDescent="0.25">
      <c r="A139" s="189" t="s">
        <v>1191</v>
      </c>
      <c r="B139" s="253" t="s">
        <v>1192</v>
      </c>
      <c r="C139" s="195"/>
      <c r="D139" s="196"/>
      <c r="E139" s="196"/>
      <c r="F139" s="192"/>
      <c r="G139" s="192"/>
      <c r="H139" s="50"/>
      <c r="I139" s="49"/>
      <c r="J139" s="193"/>
      <c r="K139" s="172">
        <f>SUMIF($A$7:$A$56,A139,$K$7:$K$56)</f>
        <v>0</v>
      </c>
      <c r="L139" s="49"/>
      <c r="M139" s="193"/>
      <c r="N139" s="173">
        <f>SUMIF($A$7:$A$56,A139,$N$7:$N$56)</f>
        <v>0</v>
      </c>
      <c r="O139" s="197"/>
      <c r="P139" s="165" t="s">
        <v>1004</v>
      </c>
      <c r="Q139" s="37">
        <f t="shared" si="57"/>
        <v>0</v>
      </c>
      <c r="R139" s="37">
        <f t="shared" si="58"/>
        <v>0</v>
      </c>
    </row>
    <row r="140" spans="1:18" hidden="1" outlineLevel="1" x14ac:dyDescent="0.25">
      <c r="A140" s="189" t="s">
        <v>1193</v>
      </c>
      <c r="B140" s="252" t="s">
        <v>1194</v>
      </c>
      <c r="C140" s="190"/>
      <c r="D140" s="191"/>
      <c r="E140" s="191"/>
      <c r="F140" s="192"/>
      <c r="G140" s="192"/>
      <c r="H140" s="48"/>
      <c r="I140" s="49"/>
      <c r="J140" s="193"/>
      <c r="K140" s="172">
        <f>SUMIF($A$7:$A$56,A140,$K$7:$K$56)</f>
        <v>0</v>
      </c>
      <c r="L140" s="49"/>
      <c r="M140" s="193"/>
      <c r="N140" s="173">
        <f>SUMIF($A$7:$A$56,A140,$N$7:$N$56)</f>
        <v>0</v>
      </c>
      <c r="O140" s="194"/>
      <c r="P140" s="165" t="s">
        <v>1004</v>
      </c>
      <c r="Q140" s="37">
        <f t="shared" ref="Q140:Q171" si="59">+ROUND((K140)*(1+SUMIF($Q$2:$Q$4,P140,$R$2:$R$4)),0)</f>
        <v>0</v>
      </c>
      <c r="R140" s="37">
        <f t="shared" ref="R140:R171" si="60">+ROUND((N140)*(1+SUMIF($Q$2:$Q$4,P140,$R$2:$R$4)),0)</f>
        <v>0</v>
      </c>
    </row>
    <row r="141" spans="1:18" hidden="1" outlineLevel="1" x14ac:dyDescent="0.25">
      <c r="A141" s="189" t="s">
        <v>1195</v>
      </c>
      <c r="B141" s="253" t="s">
        <v>1196</v>
      </c>
      <c r="C141" s="195"/>
      <c r="D141" s="196"/>
      <c r="E141" s="196"/>
      <c r="F141" s="192"/>
      <c r="G141" s="192"/>
      <c r="H141" s="50"/>
      <c r="I141" s="49"/>
      <c r="J141" s="193"/>
      <c r="K141" s="172">
        <f>SUMIF($A$7:$A$56,A141,$K$7:$K$56)</f>
        <v>0</v>
      </c>
      <c r="L141" s="49"/>
      <c r="M141" s="193"/>
      <c r="N141" s="173">
        <f>SUMIF($A$7:$A$56,A141,$N$7:$N$56)</f>
        <v>0</v>
      </c>
      <c r="O141" s="197"/>
      <c r="P141" s="165" t="s">
        <v>1004</v>
      </c>
      <c r="Q141" s="37">
        <f t="shared" si="59"/>
        <v>0</v>
      </c>
      <c r="R141" s="37">
        <f t="shared" si="60"/>
        <v>0</v>
      </c>
    </row>
    <row r="142" spans="1:18" hidden="1" outlineLevel="1" x14ac:dyDescent="0.25">
      <c r="A142" s="189" t="s">
        <v>1197</v>
      </c>
      <c r="B142" s="252" t="s">
        <v>1198</v>
      </c>
      <c r="C142" s="190"/>
      <c r="D142" s="191"/>
      <c r="E142" s="191"/>
      <c r="F142" s="192"/>
      <c r="G142" s="192"/>
      <c r="H142" s="48"/>
      <c r="I142" s="49"/>
      <c r="J142" s="193"/>
      <c r="K142" s="172">
        <f>SUMIF($A$7:$A$56,A142,$K$7:$K$56)</f>
        <v>0</v>
      </c>
      <c r="L142" s="49"/>
      <c r="M142" s="193"/>
      <c r="N142" s="173">
        <f>SUMIF($A$7:$A$56,A142,$N$7:$N$56)</f>
        <v>0</v>
      </c>
      <c r="O142" s="194"/>
      <c r="P142" s="165" t="s">
        <v>1004</v>
      </c>
      <c r="Q142" s="37">
        <f t="shared" si="59"/>
        <v>0</v>
      </c>
      <c r="R142" s="37">
        <f t="shared" si="60"/>
        <v>0</v>
      </c>
    </row>
    <row r="143" spans="1:18" hidden="1" outlineLevel="1" x14ac:dyDescent="0.25">
      <c r="A143" s="189" t="s">
        <v>1199</v>
      </c>
      <c r="B143" s="253" t="s">
        <v>1200</v>
      </c>
      <c r="C143" s="195"/>
      <c r="D143" s="196"/>
      <c r="E143" s="196"/>
      <c r="F143" s="192"/>
      <c r="G143" s="192"/>
      <c r="H143" s="50"/>
      <c r="I143" s="49"/>
      <c r="J143" s="193"/>
      <c r="K143" s="172">
        <f>SUMIF($A$7:$A$56,A143,$K$7:$K$56)</f>
        <v>0</v>
      </c>
      <c r="L143" s="49"/>
      <c r="M143" s="193"/>
      <c r="N143" s="173">
        <f>SUMIF($A$7:$A$56,A143,$N$7:$N$56)</f>
        <v>0</v>
      </c>
      <c r="O143" s="197"/>
      <c r="P143" s="165" t="s">
        <v>1004</v>
      </c>
      <c r="Q143" s="37">
        <f t="shared" si="59"/>
        <v>0</v>
      </c>
      <c r="R143" s="37">
        <f t="shared" si="60"/>
        <v>0</v>
      </c>
    </row>
    <row r="144" spans="1:18" hidden="1" outlineLevel="1" x14ac:dyDescent="0.25">
      <c r="A144" s="189" t="s">
        <v>1201</v>
      </c>
      <c r="B144" s="252" t="s">
        <v>1202</v>
      </c>
      <c r="C144" s="190"/>
      <c r="D144" s="191"/>
      <c r="E144" s="191"/>
      <c r="F144" s="192"/>
      <c r="G144" s="192"/>
      <c r="H144" s="48"/>
      <c r="I144" s="49"/>
      <c r="J144" s="193"/>
      <c r="K144" s="172">
        <f>SUMIF($A$7:$A$56,A144,$K$7:$K$56)</f>
        <v>0</v>
      </c>
      <c r="L144" s="49"/>
      <c r="M144" s="193"/>
      <c r="N144" s="173">
        <f>SUMIF($A$7:$A$56,A144,$N$7:$N$56)</f>
        <v>0</v>
      </c>
      <c r="O144" s="194"/>
      <c r="P144" s="165" t="s">
        <v>1004</v>
      </c>
      <c r="Q144" s="37">
        <f t="shared" si="59"/>
        <v>0</v>
      </c>
      <c r="R144" s="37">
        <f t="shared" si="60"/>
        <v>0</v>
      </c>
    </row>
    <row r="145" spans="1:18" hidden="1" outlineLevel="1" x14ac:dyDescent="0.25">
      <c r="A145" s="189" t="s">
        <v>1203</v>
      </c>
      <c r="B145" s="253" t="s">
        <v>1204</v>
      </c>
      <c r="C145" s="195"/>
      <c r="D145" s="196"/>
      <c r="E145" s="196"/>
      <c r="F145" s="192"/>
      <c r="G145" s="192"/>
      <c r="H145" s="50"/>
      <c r="I145" s="49"/>
      <c r="J145" s="193"/>
      <c r="K145" s="172">
        <f>SUMIF($A$7:$A$56,A145,$K$7:$K$56)</f>
        <v>0</v>
      </c>
      <c r="L145" s="49"/>
      <c r="M145" s="193"/>
      <c r="N145" s="173">
        <f>SUMIF($A$7:$A$56,A145,$N$7:$N$56)</f>
        <v>0</v>
      </c>
      <c r="O145" s="197"/>
      <c r="P145" s="165" t="s">
        <v>1004</v>
      </c>
      <c r="Q145" s="37">
        <f t="shared" si="59"/>
        <v>0</v>
      </c>
      <c r="R145" s="37">
        <f t="shared" si="60"/>
        <v>0</v>
      </c>
    </row>
    <row r="146" spans="1:18" hidden="1" outlineLevel="1" x14ac:dyDescent="0.25">
      <c r="A146" s="189" t="s">
        <v>1205</v>
      </c>
      <c r="B146" s="252" t="s">
        <v>1206</v>
      </c>
      <c r="C146" s="190"/>
      <c r="D146" s="191"/>
      <c r="E146" s="191"/>
      <c r="F146" s="192"/>
      <c r="G146" s="192"/>
      <c r="H146" s="48"/>
      <c r="I146" s="49"/>
      <c r="J146" s="193"/>
      <c r="K146" s="172">
        <f>SUMIF($A$7:$A$56,A146,$K$7:$K$56)</f>
        <v>0</v>
      </c>
      <c r="L146" s="49"/>
      <c r="M146" s="193"/>
      <c r="N146" s="173">
        <f>SUMIF($A$7:$A$56,A146,$N$7:$N$56)</f>
        <v>0</v>
      </c>
      <c r="O146" s="194"/>
      <c r="P146" s="165" t="s">
        <v>1004</v>
      </c>
      <c r="Q146" s="37">
        <f t="shared" si="59"/>
        <v>0</v>
      </c>
      <c r="R146" s="37">
        <f t="shared" si="60"/>
        <v>0</v>
      </c>
    </row>
    <row r="147" spans="1:18" hidden="1" outlineLevel="1" x14ac:dyDescent="0.25">
      <c r="A147" s="189" t="s">
        <v>1207</v>
      </c>
      <c r="B147" s="253" t="s">
        <v>1208</v>
      </c>
      <c r="C147" s="195"/>
      <c r="D147" s="196"/>
      <c r="E147" s="196"/>
      <c r="F147" s="192"/>
      <c r="G147" s="192"/>
      <c r="H147" s="50"/>
      <c r="I147" s="49"/>
      <c r="J147" s="193"/>
      <c r="K147" s="172">
        <f>SUMIF($A$7:$A$56,A147,$K$7:$K$56)</f>
        <v>0</v>
      </c>
      <c r="L147" s="49"/>
      <c r="M147" s="193"/>
      <c r="N147" s="173">
        <f>SUMIF($A$7:$A$56,A147,$N$7:$N$56)</f>
        <v>0</v>
      </c>
      <c r="O147" s="197"/>
      <c r="P147" s="165" t="s">
        <v>1004</v>
      </c>
      <c r="Q147" s="37">
        <f t="shared" si="59"/>
        <v>0</v>
      </c>
      <c r="R147" s="37">
        <f t="shared" si="60"/>
        <v>0</v>
      </c>
    </row>
    <row r="148" spans="1:18" hidden="1" outlineLevel="1" x14ac:dyDescent="0.25">
      <c r="A148" s="189" t="s">
        <v>1209</v>
      </c>
      <c r="B148" s="252" t="s">
        <v>1210</v>
      </c>
      <c r="C148" s="190"/>
      <c r="D148" s="191"/>
      <c r="E148" s="191"/>
      <c r="F148" s="192"/>
      <c r="G148" s="192"/>
      <c r="H148" s="48"/>
      <c r="I148" s="49"/>
      <c r="J148" s="193"/>
      <c r="K148" s="172">
        <f>SUMIF($A$7:$A$56,A148,$K$7:$K$56)</f>
        <v>0</v>
      </c>
      <c r="L148" s="49"/>
      <c r="M148" s="193"/>
      <c r="N148" s="173">
        <f>SUMIF($A$7:$A$56,A148,$N$7:$N$56)</f>
        <v>0</v>
      </c>
      <c r="O148" s="194"/>
      <c r="P148" s="165" t="s">
        <v>1004</v>
      </c>
      <c r="Q148" s="37">
        <f t="shared" si="59"/>
        <v>0</v>
      </c>
      <c r="R148" s="37">
        <f t="shared" si="60"/>
        <v>0</v>
      </c>
    </row>
    <row r="149" spans="1:18" hidden="1" outlineLevel="1" x14ac:dyDescent="0.25">
      <c r="A149" s="189" t="s">
        <v>1211</v>
      </c>
      <c r="B149" s="253" t="s">
        <v>1212</v>
      </c>
      <c r="C149" s="195"/>
      <c r="D149" s="196"/>
      <c r="E149" s="196"/>
      <c r="F149" s="192"/>
      <c r="G149" s="192"/>
      <c r="H149" s="50"/>
      <c r="I149" s="49"/>
      <c r="J149" s="193"/>
      <c r="K149" s="172">
        <f>SUMIF($A$7:$A$56,A149,$K$7:$K$56)</f>
        <v>0</v>
      </c>
      <c r="L149" s="49"/>
      <c r="M149" s="193"/>
      <c r="N149" s="173">
        <f>SUMIF($A$7:$A$56,A149,$N$7:$N$56)</f>
        <v>0</v>
      </c>
      <c r="O149" s="197"/>
      <c r="P149" s="165" t="s">
        <v>1004</v>
      </c>
      <c r="Q149" s="37">
        <f t="shared" si="59"/>
        <v>0</v>
      </c>
      <c r="R149" s="37">
        <f t="shared" si="60"/>
        <v>0</v>
      </c>
    </row>
    <row r="150" spans="1:18" hidden="1" outlineLevel="1" x14ac:dyDescent="0.25">
      <c r="A150" s="189" t="s">
        <v>1213</v>
      </c>
      <c r="B150" s="252" t="s">
        <v>1214</v>
      </c>
      <c r="C150" s="190"/>
      <c r="D150" s="191"/>
      <c r="E150" s="191"/>
      <c r="F150" s="192"/>
      <c r="G150" s="192"/>
      <c r="H150" s="48"/>
      <c r="I150" s="49"/>
      <c r="J150" s="193"/>
      <c r="K150" s="172">
        <f>SUMIF($A$7:$A$56,A150,$K$7:$K$56)</f>
        <v>0</v>
      </c>
      <c r="L150" s="49"/>
      <c r="M150" s="193"/>
      <c r="N150" s="173">
        <f>SUMIF($A$7:$A$56,A150,$N$7:$N$56)</f>
        <v>0</v>
      </c>
      <c r="O150" s="194"/>
      <c r="P150" s="165" t="s">
        <v>1004</v>
      </c>
      <c r="Q150" s="37">
        <f t="shared" si="59"/>
        <v>0</v>
      </c>
      <c r="R150" s="37">
        <f t="shared" si="60"/>
        <v>0</v>
      </c>
    </row>
    <row r="151" spans="1:18" hidden="1" outlineLevel="1" x14ac:dyDescent="0.25">
      <c r="A151" s="189" t="s">
        <v>1215</v>
      </c>
      <c r="B151" s="253" t="s">
        <v>1216</v>
      </c>
      <c r="C151" s="195"/>
      <c r="D151" s="196"/>
      <c r="E151" s="196"/>
      <c r="F151" s="192"/>
      <c r="G151" s="192"/>
      <c r="H151" s="50"/>
      <c r="I151" s="49"/>
      <c r="J151" s="193"/>
      <c r="K151" s="172">
        <f>SUMIF($A$7:$A$56,A151,$K$7:$K$56)</f>
        <v>0</v>
      </c>
      <c r="L151" s="49"/>
      <c r="M151" s="193"/>
      <c r="N151" s="173">
        <f>SUMIF($A$7:$A$56,A151,$N$7:$N$56)</f>
        <v>0</v>
      </c>
      <c r="O151" s="197"/>
      <c r="P151" s="165" t="s">
        <v>1004</v>
      </c>
      <c r="Q151" s="37">
        <f t="shared" si="59"/>
        <v>0</v>
      </c>
      <c r="R151" s="37">
        <f t="shared" si="60"/>
        <v>0</v>
      </c>
    </row>
    <row r="152" spans="1:18" hidden="1" outlineLevel="1" x14ac:dyDescent="0.25">
      <c r="A152" s="189" t="s">
        <v>1217</v>
      </c>
      <c r="B152" s="252" t="s">
        <v>1218</v>
      </c>
      <c r="C152" s="190"/>
      <c r="D152" s="191"/>
      <c r="E152" s="191"/>
      <c r="F152" s="192"/>
      <c r="G152" s="192"/>
      <c r="H152" s="48"/>
      <c r="I152" s="49"/>
      <c r="J152" s="193"/>
      <c r="K152" s="172">
        <f>SUMIF($A$7:$A$56,A152,$K$7:$K$56)</f>
        <v>0</v>
      </c>
      <c r="L152" s="49"/>
      <c r="M152" s="193"/>
      <c r="N152" s="173">
        <f>SUMIF($A$7:$A$56,A152,$N$7:$N$56)</f>
        <v>0</v>
      </c>
      <c r="O152" s="194"/>
      <c r="P152" s="165" t="s">
        <v>1004</v>
      </c>
      <c r="Q152" s="37">
        <f t="shared" si="59"/>
        <v>0</v>
      </c>
      <c r="R152" s="37">
        <f t="shared" si="60"/>
        <v>0</v>
      </c>
    </row>
    <row r="153" spans="1:18" hidden="1" outlineLevel="1" x14ac:dyDescent="0.25">
      <c r="A153" s="189" t="s">
        <v>1219</v>
      </c>
      <c r="B153" s="253" t="s">
        <v>1220</v>
      </c>
      <c r="C153" s="195"/>
      <c r="D153" s="196"/>
      <c r="E153" s="196"/>
      <c r="F153" s="192"/>
      <c r="G153" s="192"/>
      <c r="H153" s="50"/>
      <c r="I153" s="49"/>
      <c r="J153" s="193"/>
      <c r="K153" s="172">
        <f>SUMIF($A$7:$A$56,A153,$K$7:$K$56)</f>
        <v>0</v>
      </c>
      <c r="L153" s="49"/>
      <c r="M153" s="193"/>
      <c r="N153" s="173">
        <f>SUMIF($A$7:$A$56,A153,$N$7:$N$56)</f>
        <v>0</v>
      </c>
      <c r="O153" s="197"/>
      <c r="P153" s="165" t="s">
        <v>1004</v>
      </c>
      <c r="Q153" s="37">
        <f t="shared" si="59"/>
        <v>0</v>
      </c>
      <c r="R153" s="37">
        <f t="shared" si="60"/>
        <v>0</v>
      </c>
    </row>
    <row r="154" spans="1:18" hidden="1" outlineLevel="1" x14ac:dyDescent="0.25">
      <c r="A154" s="189" t="s">
        <v>1221</v>
      </c>
      <c r="B154" s="252" t="s">
        <v>1222</v>
      </c>
      <c r="C154" s="190"/>
      <c r="D154" s="191"/>
      <c r="E154" s="191"/>
      <c r="F154" s="192"/>
      <c r="G154" s="192"/>
      <c r="H154" s="48"/>
      <c r="I154" s="49"/>
      <c r="J154" s="193"/>
      <c r="K154" s="172">
        <f>SUMIF($A$7:$A$56,A154,$K$7:$K$56)</f>
        <v>0</v>
      </c>
      <c r="L154" s="49"/>
      <c r="M154" s="193"/>
      <c r="N154" s="173">
        <f>SUMIF($A$7:$A$56,A154,$N$7:$N$56)</f>
        <v>0</v>
      </c>
      <c r="O154" s="194"/>
      <c r="P154" s="165" t="s">
        <v>1004</v>
      </c>
      <c r="Q154" s="37">
        <f t="shared" si="59"/>
        <v>0</v>
      </c>
      <c r="R154" s="37">
        <f t="shared" si="60"/>
        <v>0</v>
      </c>
    </row>
    <row r="155" spans="1:18" hidden="1" outlineLevel="1" x14ac:dyDescent="0.25">
      <c r="A155" s="189" t="s">
        <v>1223</v>
      </c>
      <c r="B155" s="253" t="s">
        <v>1224</v>
      </c>
      <c r="C155" s="195"/>
      <c r="D155" s="196"/>
      <c r="E155" s="196"/>
      <c r="F155" s="192"/>
      <c r="G155" s="192"/>
      <c r="H155" s="50"/>
      <c r="I155" s="49"/>
      <c r="J155" s="193"/>
      <c r="K155" s="172">
        <f>SUMIF($A$7:$A$56,A155,$K$7:$K$56)</f>
        <v>0</v>
      </c>
      <c r="L155" s="49"/>
      <c r="M155" s="193"/>
      <c r="N155" s="173">
        <f>SUMIF($A$7:$A$56,A155,$N$7:$N$56)</f>
        <v>0</v>
      </c>
      <c r="O155" s="197"/>
      <c r="P155" s="165" t="s">
        <v>1004</v>
      </c>
      <c r="Q155" s="37">
        <f t="shared" si="59"/>
        <v>0</v>
      </c>
      <c r="R155" s="37">
        <f t="shared" si="60"/>
        <v>0</v>
      </c>
    </row>
    <row r="156" spans="1:18" hidden="1" outlineLevel="1" x14ac:dyDescent="0.25">
      <c r="A156" s="189" t="s">
        <v>1225</v>
      </c>
      <c r="B156" s="252" t="s">
        <v>1225</v>
      </c>
      <c r="C156" s="190"/>
      <c r="D156" s="191"/>
      <c r="E156" s="191"/>
      <c r="F156" s="192"/>
      <c r="G156" s="192"/>
      <c r="H156" s="48"/>
      <c r="I156" s="49"/>
      <c r="J156" s="193"/>
      <c r="K156" s="172">
        <f>SUMIF($A$7:$A$56,A156,$K$7:$K$56)</f>
        <v>0</v>
      </c>
      <c r="L156" s="49"/>
      <c r="M156" s="193"/>
      <c r="N156" s="173">
        <f>SUMIF($A$7:$A$56,A156,$N$7:$N$56)</f>
        <v>0</v>
      </c>
      <c r="O156" s="194"/>
      <c r="P156" s="165" t="s">
        <v>1004</v>
      </c>
      <c r="Q156" s="37">
        <f t="shared" si="59"/>
        <v>0</v>
      </c>
      <c r="R156" s="37">
        <f t="shared" si="60"/>
        <v>0</v>
      </c>
    </row>
    <row r="157" spans="1:18" hidden="1" outlineLevel="1" x14ac:dyDescent="0.25">
      <c r="A157" s="189" t="s">
        <v>1226</v>
      </c>
      <c r="B157" s="253" t="s">
        <v>1227</v>
      </c>
      <c r="C157" s="195"/>
      <c r="D157" s="196"/>
      <c r="E157" s="196"/>
      <c r="F157" s="192"/>
      <c r="G157" s="192"/>
      <c r="H157" s="50"/>
      <c r="I157" s="49"/>
      <c r="J157" s="193"/>
      <c r="K157" s="172">
        <f>SUMIF($A$7:$A$56,A157,$K$7:$K$56)</f>
        <v>0</v>
      </c>
      <c r="L157" s="49"/>
      <c r="M157" s="193"/>
      <c r="N157" s="173">
        <f>SUMIF($A$7:$A$56,A157,$N$7:$N$56)</f>
        <v>0</v>
      </c>
      <c r="O157" s="197"/>
      <c r="P157" s="165" t="s">
        <v>1004</v>
      </c>
      <c r="Q157" s="37">
        <f t="shared" si="59"/>
        <v>0</v>
      </c>
      <c r="R157" s="37">
        <f t="shared" si="60"/>
        <v>0</v>
      </c>
    </row>
    <row r="158" spans="1:18" hidden="1" outlineLevel="1" x14ac:dyDescent="0.25">
      <c r="A158" s="189" t="s">
        <v>1228</v>
      </c>
      <c r="B158" s="252" t="s">
        <v>1229</v>
      </c>
      <c r="C158" s="190"/>
      <c r="D158" s="191"/>
      <c r="E158" s="191"/>
      <c r="F158" s="192"/>
      <c r="G158" s="192"/>
      <c r="H158" s="48"/>
      <c r="I158" s="49"/>
      <c r="J158" s="193"/>
      <c r="K158" s="172">
        <f>SUMIF($A$7:$A$56,A158,$K$7:$K$56)</f>
        <v>0</v>
      </c>
      <c r="L158" s="49"/>
      <c r="M158" s="193"/>
      <c r="N158" s="173">
        <f>SUMIF($A$7:$A$56,A158,$N$7:$N$56)</f>
        <v>0</v>
      </c>
      <c r="O158" s="194"/>
      <c r="P158" s="165" t="s">
        <v>1004</v>
      </c>
      <c r="Q158" s="37">
        <f t="shared" si="59"/>
        <v>0</v>
      </c>
      <c r="R158" s="37">
        <f t="shared" si="60"/>
        <v>0</v>
      </c>
    </row>
    <row r="159" spans="1:18" hidden="1" outlineLevel="1" x14ac:dyDescent="0.25">
      <c r="A159" s="189" t="s">
        <v>1230</v>
      </c>
      <c r="B159" s="253" t="s">
        <v>1231</v>
      </c>
      <c r="C159" s="195"/>
      <c r="D159" s="196"/>
      <c r="E159" s="196"/>
      <c r="F159" s="192"/>
      <c r="G159" s="192"/>
      <c r="H159" s="50"/>
      <c r="I159" s="49"/>
      <c r="J159" s="193"/>
      <c r="K159" s="172">
        <f>SUMIF($A$7:$A$56,A159,$K$7:$K$56)</f>
        <v>0</v>
      </c>
      <c r="L159" s="49"/>
      <c r="M159" s="193"/>
      <c r="N159" s="173">
        <f>SUMIF($A$7:$A$56,A159,$N$7:$N$56)</f>
        <v>0</v>
      </c>
      <c r="O159" s="197"/>
      <c r="P159" s="165" t="s">
        <v>1004</v>
      </c>
      <c r="Q159" s="37">
        <f t="shared" si="59"/>
        <v>0</v>
      </c>
      <c r="R159" s="37">
        <f t="shared" si="60"/>
        <v>0</v>
      </c>
    </row>
    <row r="160" spans="1:18" hidden="1" outlineLevel="1" x14ac:dyDescent="0.25">
      <c r="A160" s="189" t="s">
        <v>1232</v>
      </c>
      <c r="B160" s="252" t="s">
        <v>1233</v>
      </c>
      <c r="C160" s="190"/>
      <c r="D160" s="191"/>
      <c r="E160" s="191"/>
      <c r="F160" s="192"/>
      <c r="G160" s="192"/>
      <c r="H160" s="48"/>
      <c r="I160" s="49"/>
      <c r="J160" s="193"/>
      <c r="K160" s="172">
        <f>SUMIF($A$7:$A$56,A160,$K$7:$K$56)</f>
        <v>0</v>
      </c>
      <c r="L160" s="49"/>
      <c r="M160" s="193"/>
      <c r="N160" s="173">
        <f>SUMIF($A$7:$A$56,A160,$N$7:$N$56)</f>
        <v>0</v>
      </c>
      <c r="O160" s="194"/>
      <c r="P160" s="165" t="s">
        <v>1004</v>
      </c>
      <c r="Q160" s="37">
        <f t="shared" si="59"/>
        <v>0</v>
      </c>
      <c r="R160" s="37">
        <f t="shared" si="60"/>
        <v>0</v>
      </c>
    </row>
    <row r="161" spans="1:18" hidden="1" outlineLevel="1" x14ac:dyDescent="0.25">
      <c r="A161" s="189" t="s">
        <v>1234</v>
      </c>
      <c r="B161" s="253" t="s">
        <v>1235</v>
      </c>
      <c r="C161" s="195"/>
      <c r="D161" s="196"/>
      <c r="E161" s="196"/>
      <c r="F161" s="192"/>
      <c r="G161" s="192"/>
      <c r="H161" s="50"/>
      <c r="I161" s="49"/>
      <c r="J161" s="193"/>
      <c r="K161" s="172">
        <f>SUMIF($A$7:$A$56,A161,$K$7:$K$56)</f>
        <v>0</v>
      </c>
      <c r="L161" s="49"/>
      <c r="M161" s="193"/>
      <c r="N161" s="173">
        <f>SUMIF($A$7:$A$56,A161,$N$7:$N$56)</f>
        <v>0</v>
      </c>
      <c r="O161" s="197"/>
      <c r="P161" s="165" t="s">
        <v>1004</v>
      </c>
      <c r="Q161" s="37">
        <f t="shared" si="59"/>
        <v>0</v>
      </c>
      <c r="R161" s="37">
        <f t="shared" si="60"/>
        <v>0</v>
      </c>
    </row>
    <row r="162" spans="1:18" hidden="1" outlineLevel="1" x14ac:dyDescent="0.25">
      <c r="A162" s="189" t="s">
        <v>1236</v>
      </c>
      <c r="B162" s="252" t="s">
        <v>1237</v>
      </c>
      <c r="C162" s="190"/>
      <c r="D162" s="191"/>
      <c r="E162" s="191"/>
      <c r="F162" s="192"/>
      <c r="G162" s="192"/>
      <c r="H162" s="48"/>
      <c r="I162" s="49"/>
      <c r="J162" s="193"/>
      <c r="K162" s="172">
        <f>SUMIF($A$7:$A$56,A162,$K$7:$K$56)</f>
        <v>0</v>
      </c>
      <c r="L162" s="49"/>
      <c r="M162" s="193"/>
      <c r="N162" s="173">
        <f>SUMIF($A$7:$A$56,A162,$N$7:$N$56)</f>
        <v>0</v>
      </c>
      <c r="O162" s="194"/>
      <c r="P162" s="165" t="s">
        <v>1004</v>
      </c>
      <c r="Q162" s="37">
        <f t="shared" si="59"/>
        <v>0</v>
      </c>
      <c r="R162" s="37">
        <f t="shared" si="60"/>
        <v>0</v>
      </c>
    </row>
    <row r="163" spans="1:18" hidden="1" outlineLevel="1" x14ac:dyDescent="0.25">
      <c r="A163" s="189" t="s">
        <v>1238</v>
      </c>
      <c r="B163" s="253" t="s">
        <v>1239</v>
      </c>
      <c r="C163" s="195"/>
      <c r="D163" s="196"/>
      <c r="E163" s="196"/>
      <c r="F163" s="192"/>
      <c r="G163" s="192"/>
      <c r="H163" s="50"/>
      <c r="I163" s="49"/>
      <c r="J163" s="193"/>
      <c r="K163" s="172">
        <f>SUMIF($A$7:$A$56,A163,$K$7:$K$56)</f>
        <v>0</v>
      </c>
      <c r="L163" s="49"/>
      <c r="M163" s="193"/>
      <c r="N163" s="173">
        <f>SUMIF($A$7:$A$56,A163,$N$7:$N$56)</f>
        <v>0</v>
      </c>
      <c r="O163" s="197"/>
      <c r="P163" s="165" t="s">
        <v>1004</v>
      </c>
      <c r="Q163" s="37">
        <f t="shared" si="59"/>
        <v>0</v>
      </c>
      <c r="R163" s="37">
        <f t="shared" si="60"/>
        <v>0</v>
      </c>
    </row>
    <row r="164" spans="1:18" hidden="1" outlineLevel="1" x14ac:dyDescent="0.25">
      <c r="A164" s="189" t="s">
        <v>1240</v>
      </c>
      <c r="B164" s="252" t="s">
        <v>1241</v>
      </c>
      <c r="C164" s="190"/>
      <c r="D164" s="191"/>
      <c r="E164" s="191"/>
      <c r="F164" s="192"/>
      <c r="G164" s="192"/>
      <c r="H164" s="48"/>
      <c r="I164" s="49"/>
      <c r="J164" s="193"/>
      <c r="K164" s="172">
        <f>SUMIF($A$7:$A$56,A164,$K$7:$K$56)</f>
        <v>0</v>
      </c>
      <c r="L164" s="49"/>
      <c r="M164" s="193"/>
      <c r="N164" s="173">
        <f>SUMIF($A$7:$A$56,A164,$N$7:$N$56)</f>
        <v>0</v>
      </c>
      <c r="O164" s="194"/>
      <c r="P164" s="165" t="s">
        <v>1004</v>
      </c>
      <c r="Q164" s="37">
        <f t="shared" si="59"/>
        <v>0</v>
      </c>
      <c r="R164" s="37">
        <f t="shared" si="60"/>
        <v>0</v>
      </c>
    </row>
    <row r="165" spans="1:18" hidden="1" outlineLevel="1" x14ac:dyDescent="0.25">
      <c r="A165" s="189" t="s">
        <v>1242</v>
      </c>
      <c r="B165" s="253" t="s">
        <v>1242</v>
      </c>
      <c r="C165" s="195"/>
      <c r="D165" s="196"/>
      <c r="E165" s="196"/>
      <c r="F165" s="192"/>
      <c r="G165" s="192"/>
      <c r="H165" s="50"/>
      <c r="I165" s="49"/>
      <c r="J165" s="193"/>
      <c r="K165" s="172">
        <f>SUMIF($A$7:$A$56,A165,$K$7:$K$56)</f>
        <v>0</v>
      </c>
      <c r="L165" s="49"/>
      <c r="M165" s="193"/>
      <c r="N165" s="173">
        <f>SUMIF($A$7:$A$56,A165,$N$7:$N$56)</f>
        <v>0</v>
      </c>
      <c r="O165" s="197"/>
      <c r="P165" s="165" t="s">
        <v>1004</v>
      </c>
      <c r="Q165" s="37">
        <f t="shared" si="59"/>
        <v>0</v>
      </c>
      <c r="R165" s="37">
        <f t="shared" si="60"/>
        <v>0</v>
      </c>
    </row>
    <row r="166" spans="1:18" hidden="1" outlineLevel="1" x14ac:dyDescent="0.25">
      <c r="A166" s="189" t="s">
        <v>1243</v>
      </c>
      <c r="B166" s="252" t="s">
        <v>1244</v>
      </c>
      <c r="C166" s="190"/>
      <c r="D166" s="191"/>
      <c r="E166" s="191"/>
      <c r="F166" s="192"/>
      <c r="G166" s="192"/>
      <c r="H166" s="48"/>
      <c r="I166" s="49"/>
      <c r="J166" s="193"/>
      <c r="K166" s="172">
        <f>SUMIF($A$7:$A$56,A166,$K$7:$K$56)</f>
        <v>0</v>
      </c>
      <c r="L166" s="49"/>
      <c r="M166" s="193"/>
      <c r="N166" s="173">
        <f>SUMIF($A$7:$A$56,A166,$N$7:$N$56)</f>
        <v>0</v>
      </c>
      <c r="O166" s="194"/>
      <c r="P166" s="165" t="s">
        <v>1004</v>
      </c>
      <c r="Q166" s="37">
        <f t="shared" si="59"/>
        <v>0</v>
      </c>
      <c r="R166" s="37">
        <f t="shared" si="60"/>
        <v>0</v>
      </c>
    </row>
    <row r="167" spans="1:18" hidden="1" outlineLevel="1" x14ac:dyDescent="0.25">
      <c r="A167" s="189" t="s">
        <v>1245</v>
      </c>
      <c r="B167" s="253" t="s">
        <v>1246</v>
      </c>
      <c r="C167" s="195"/>
      <c r="D167" s="196"/>
      <c r="E167" s="196"/>
      <c r="F167" s="192"/>
      <c r="G167" s="192"/>
      <c r="H167" s="50"/>
      <c r="I167" s="49"/>
      <c r="J167" s="193"/>
      <c r="K167" s="172">
        <f>SUMIF($A$7:$A$56,A167,$K$7:$K$56)</f>
        <v>0</v>
      </c>
      <c r="L167" s="49"/>
      <c r="M167" s="193"/>
      <c r="N167" s="173">
        <f>SUMIF($A$7:$A$56,A167,$N$7:$N$56)</f>
        <v>0</v>
      </c>
      <c r="O167" s="197"/>
      <c r="P167" s="165" t="s">
        <v>1004</v>
      </c>
      <c r="Q167" s="37">
        <f t="shared" si="59"/>
        <v>0</v>
      </c>
      <c r="R167" s="37">
        <f t="shared" si="60"/>
        <v>0</v>
      </c>
    </row>
    <row r="168" spans="1:18" hidden="1" outlineLevel="1" x14ac:dyDescent="0.25">
      <c r="A168" s="189" t="s">
        <v>1247</v>
      </c>
      <c r="B168" s="252" t="s">
        <v>1248</v>
      </c>
      <c r="C168" s="190"/>
      <c r="D168" s="191"/>
      <c r="E168" s="191"/>
      <c r="F168" s="192"/>
      <c r="G168" s="192"/>
      <c r="H168" s="48"/>
      <c r="I168" s="49"/>
      <c r="J168" s="193"/>
      <c r="K168" s="172">
        <f>SUMIF($A$7:$A$56,A168,$K$7:$K$56)</f>
        <v>0</v>
      </c>
      <c r="L168" s="49"/>
      <c r="M168" s="193"/>
      <c r="N168" s="173">
        <f>SUMIF($A$7:$A$56,A168,$N$7:$N$56)</f>
        <v>0</v>
      </c>
      <c r="O168" s="194"/>
      <c r="P168" s="165" t="s">
        <v>1004</v>
      </c>
      <c r="Q168" s="37">
        <f t="shared" si="59"/>
        <v>0</v>
      </c>
      <c r="R168" s="37">
        <f t="shared" si="60"/>
        <v>0</v>
      </c>
    </row>
    <row r="169" spans="1:18" hidden="1" outlineLevel="1" x14ac:dyDescent="0.25">
      <c r="A169" s="189" t="s">
        <v>1249</v>
      </c>
      <c r="B169" s="253" t="s">
        <v>1250</v>
      </c>
      <c r="C169" s="195"/>
      <c r="D169" s="196"/>
      <c r="E169" s="196"/>
      <c r="F169" s="192"/>
      <c r="G169" s="192"/>
      <c r="H169" s="50"/>
      <c r="I169" s="49"/>
      <c r="J169" s="193"/>
      <c r="K169" s="172">
        <f>SUMIF($A$7:$A$56,A169,$K$7:$K$56)</f>
        <v>0</v>
      </c>
      <c r="L169" s="49"/>
      <c r="M169" s="193"/>
      <c r="N169" s="173">
        <f>SUMIF($A$7:$A$56,A169,$N$7:$N$56)</f>
        <v>0</v>
      </c>
      <c r="O169" s="197"/>
      <c r="P169" s="165" t="s">
        <v>1004</v>
      </c>
      <c r="Q169" s="37">
        <f t="shared" si="59"/>
        <v>0</v>
      </c>
      <c r="R169" s="37">
        <f t="shared" si="60"/>
        <v>0</v>
      </c>
    </row>
    <row r="170" spans="1:18" hidden="1" outlineLevel="1" x14ac:dyDescent="0.25">
      <c r="A170" s="189" t="s">
        <v>1251</v>
      </c>
      <c r="B170" s="252" t="s">
        <v>1252</v>
      </c>
      <c r="C170" s="190"/>
      <c r="D170" s="191"/>
      <c r="E170" s="191"/>
      <c r="F170" s="192"/>
      <c r="G170" s="192"/>
      <c r="H170" s="48"/>
      <c r="I170" s="49"/>
      <c r="J170" s="193"/>
      <c r="K170" s="172">
        <f>SUMIF($A$7:$A$56,A170,$K$7:$K$56)</f>
        <v>0</v>
      </c>
      <c r="L170" s="49"/>
      <c r="M170" s="193"/>
      <c r="N170" s="173">
        <f>SUMIF($A$7:$A$56,A170,$N$7:$N$56)</f>
        <v>0</v>
      </c>
      <c r="O170" s="194"/>
      <c r="P170" s="165" t="s">
        <v>1004</v>
      </c>
      <c r="Q170" s="37">
        <f t="shared" si="59"/>
        <v>0</v>
      </c>
      <c r="R170" s="37">
        <f t="shared" si="60"/>
        <v>0</v>
      </c>
    </row>
    <row r="171" spans="1:18" hidden="1" outlineLevel="1" x14ac:dyDescent="0.25">
      <c r="A171" s="189" t="s">
        <v>1253</v>
      </c>
      <c r="B171" s="253" t="s">
        <v>1254</v>
      </c>
      <c r="C171" s="195"/>
      <c r="D171" s="196"/>
      <c r="E171" s="196"/>
      <c r="F171" s="192"/>
      <c r="G171" s="192"/>
      <c r="H171" s="50"/>
      <c r="I171" s="49"/>
      <c r="J171" s="193"/>
      <c r="K171" s="172">
        <f>SUMIF($A$7:$A$56,A171,$K$7:$K$56)</f>
        <v>0</v>
      </c>
      <c r="L171" s="49"/>
      <c r="M171" s="193"/>
      <c r="N171" s="173">
        <f>SUMIF($A$7:$A$56,A171,$N$7:$N$56)</f>
        <v>0</v>
      </c>
      <c r="O171" s="197"/>
      <c r="P171" s="165" t="s">
        <v>1004</v>
      </c>
      <c r="Q171" s="37">
        <f t="shared" si="59"/>
        <v>0</v>
      </c>
      <c r="R171" s="37">
        <f t="shared" si="60"/>
        <v>0</v>
      </c>
    </row>
    <row r="172" spans="1:18" hidden="1" outlineLevel="1" x14ac:dyDescent="0.25">
      <c r="A172" s="189" t="s">
        <v>1255</v>
      </c>
      <c r="B172" s="252" t="s">
        <v>1256</v>
      </c>
      <c r="C172" s="190"/>
      <c r="D172" s="191"/>
      <c r="E172" s="191"/>
      <c r="F172" s="192"/>
      <c r="G172" s="192"/>
      <c r="H172" s="48"/>
      <c r="I172" s="49"/>
      <c r="J172" s="193"/>
      <c r="K172" s="172">
        <f>SUMIF($A$7:$A$56,A172,$K$7:$K$56)</f>
        <v>0</v>
      </c>
      <c r="L172" s="49"/>
      <c r="M172" s="193"/>
      <c r="N172" s="173">
        <f>SUMIF($A$7:$A$56,A172,$N$7:$N$56)</f>
        <v>0</v>
      </c>
      <c r="O172" s="194"/>
      <c r="P172" s="165" t="s">
        <v>1004</v>
      </c>
      <c r="Q172" s="37">
        <f t="shared" ref="Q172:Q203" si="61">+ROUND((K172)*(1+SUMIF($Q$2:$Q$4,P172,$R$2:$R$4)),0)</f>
        <v>0</v>
      </c>
      <c r="R172" s="37">
        <f t="shared" ref="R172:R203" si="62">+ROUND((N172)*(1+SUMIF($Q$2:$Q$4,P172,$R$2:$R$4)),0)</f>
        <v>0</v>
      </c>
    </row>
    <row r="173" spans="1:18" hidden="1" outlineLevel="1" x14ac:dyDescent="0.25">
      <c r="A173" s="189" t="s">
        <v>1257</v>
      </c>
      <c r="B173" s="253" t="s">
        <v>1257</v>
      </c>
      <c r="C173" s="195"/>
      <c r="D173" s="196"/>
      <c r="E173" s="196"/>
      <c r="F173" s="192"/>
      <c r="G173" s="192"/>
      <c r="H173" s="50"/>
      <c r="I173" s="49"/>
      <c r="J173" s="193"/>
      <c r="K173" s="172">
        <f>SUMIF($A$7:$A$56,A173,$K$7:$K$56)</f>
        <v>0</v>
      </c>
      <c r="L173" s="49"/>
      <c r="M173" s="193"/>
      <c r="N173" s="173">
        <f>SUMIF($A$7:$A$56,A173,$N$7:$N$56)</f>
        <v>0</v>
      </c>
      <c r="O173" s="197"/>
      <c r="P173" s="165" t="s">
        <v>1004</v>
      </c>
      <c r="Q173" s="37">
        <f t="shared" si="61"/>
        <v>0</v>
      </c>
      <c r="R173" s="37">
        <f t="shared" si="62"/>
        <v>0</v>
      </c>
    </row>
    <row r="174" spans="1:18" hidden="1" outlineLevel="1" x14ac:dyDescent="0.25">
      <c r="A174" s="189" t="s">
        <v>1258</v>
      </c>
      <c r="B174" s="252" t="s">
        <v>1259</v>
      </c>
      <c r="C174" s="190"/>
      <c r="D174" s="191"/>
      <c r="E174" s="191"/>
      <c r="F174" s="192"/>
      <c r="G174" s="192"/>
      <c r="H174" s="48"/>
      <c r="I174" s="49"/>
      <c r="J174" s="193"/>
      <c r="K174" s="172">
        <f>SUMIF($A$7:$A$56,A174,$K$7:$K$56)</f>
        <v>0</v>
      </c>
      <c r="L174" s="49"/>
      <c r="M174" s="193"/>
      <c r="N174" s="173">
        <f>SUMIF($A$7:$A$56,A174,$N$7:$N$56)</f>
        <v>0</v>
      </c>
      <c r="O174" s="194"/>
      <c r="P174" s="165" t="s">
        <v>1004</v>
      </c>
      <c r="Q174" s="37">
        <f t="shared" si="61"/>
        <v>0</v>
      </c>
      <c r="R174" s="37">
        <f t="shared" si="62"/>
        <v>0</v>
      </c>
    </row>
    <row r="175" spans="1:18" hidden="1" outlineLevel="1" x14ac:dyDescent="0.25">
      <c r="A175" s="189" t="s">
        <v>1260</v>
      </c>
      <c r="B175" s="253" t="s">
        <v>1261</v>
      </c>
      <c r="C175" s="195"/>
      <c r="D175" s="196"/>
      <c r="E175" s="196"/>
      <c r="F175" s="192"/>
      <c r="G175" s="192"/>
      <c r="H175" s="50"/>
      <c r="I175" s="49"/>
      <c r="J175" s="193"/>
      <c r="K175" s="172">
        <f>SUMIF($A$7:$A$56,A175,$K$7:$K$56)</f>
        <v>0</v>
      </c>
      <c r="L175" s="49"/>
      <c r="M175" s="193"/>
      <c r="N175" s="173">
        <f>SUMIF($A$7:$A$56,A175,$N$7:$N$56)</f>
        <v>0</v>
      </c>
      <c r="O175" s="197"/>
      <c r="P175" s="165" t="s">
        <v>1004</v>
      </c>
      <c r="Q175" s="37">
        <f t="shared" si="61"/>
        <v>0</v>
      </c>
      <c r="R175" s="37">
        <f t="shared" si="62"/>
        <v>0</v>
      </c>
    </row>
    <row r="176" spans="1:18" hidden="1" outlineLevel="1" x14ac:dyDescent="0.25">
      <c r="A176" s="189" t="s">
        <v>1262</v>
      </c>
      <c r="B176" s="252" t="s">
        <v>1263</v>
      </c>
      <c r="C176" s="190"/>
      <c r="D176" s="191"/>
      <c r="E176" s="191"/>
      <c r="F176" s="192"/>
      <c r="G176" s="192"/>
      <c r="H176" s="48"/>
      <c r="I176" s="49"/>
      <c r="J176" s="193"/>
      <c r="K176" s="172">
        <f>SUMIF($A$7:$A$56,A176,$K$7:$K$56)</f>
        <v>0</v>
      </c>
      <c r="L176" s="49"/>
      <c r="M176" s="193"/>
      <c r="N176" s="173">
        <f>SUMIF($A$7:$A$56,A176,$N$7:$N$56)</f>
        <v>0</v>
      </c>
      <c r="O176" s="194"/>
      <c r="P176" s="165" t="s">
        <v>1004</v>
      </c>
      <c r="Q176" s="37">
        <f t="shared" si="61"/>
        <v>0</v>
      </c>
      <c r="R176" s="37">
        <f t="shared" si="62"/>
        <v>0</v>
      </c>
    </row>
    <row r="177" spans="1:18" hidden="1" outlineLevel="1" x14ac:dyDescent="0.25">
      <c r="A177" s="189" t="s">
        <v>1264</v>
      </c>
      <c r="B177" s="253" t="s">
        <v>1265</v>
      </c>
      <c r="C177" s="195"/>
      <c r="D177" s="196"/>
      <c r="E177" s="196"/>
      <c r="F177" s="192"/>
      <c r="G177" s="192"/>
      <c r="H177" s="50"/>
      <c r="I177" s="49"/>
      <c r="J177" s="193"/>
      <c r="K177" s="172">
        <f>SUMIF($A$7:$A$56,A177,$K$7:$K$56)</f>
        <v>0</v>
      </c>
      <c r="L177" s="49"/>
      <c r="M177" s="193"/>
      <c r="N177" s="173">
        <f>SUMIF($A$7:$A$56,A177,$N$7:$N$56)</f>
        <v>0</v>
      </c>
      <c r="O177" s="197"/>
      <c r="P177" s="165" t="s">
        <v>1004</v>
      </c>
      <c r="Q177" s="37">
        <f t="shared" si="61"/>
        <v>0</v>
      </c>
      <c r="R177" s="37">
        <f t="shared" si="62"/>
        <v>0</v>
      </c>
    </row>
    <row r="178" spans="1:18" hidden="1" outlineLevel="1" x14ac:dyDescent="0.25">
      <c r="A178" s="189" t="s">
        <v>1266</v>
      </c>
      <c r="B178" s="252" t="s">
        <v>1267</v>
      </c>
      <c r="C178" s="190"/>
      <c r="D178" s="191"/>
      <c r="E178" s="191"/>
      <c r="F178" s="192"/>
      <c r="G178" s="192"/>
      <c r="H178" s="48"/>
      <c r="I178" s="49"/>
      <c r="J178" s="193"/>
      <c r="K178" s="172">
        <f>SUMIF($A$7:$A$56,A178,$K$7:$K$56)</f>
        <v>0</v>
      </c>
      <c r="L178" s="49"/>
      <c r="M178" s="193"/>
      <c r="N178" s="173">
        <f>SUMIF($A$7:$A$56,A178,$N$7:$N$56)</f>
        <v>0</v>
      </c>
      <c r="O178" s="194"/>
      <c r="P178" s="165" t="s">
        <v>1004</v>
      </c>
      <c r="Q178" s="37">
        <f t="shared" si="61"/>
        <v>0</v>
      </c>
      <c r="R178" s="37">
        <f t="shared" si="62"/>
        <v>0</v>
      </c>
    </row>
    <row r="179" spans="1:18" hidden="1" outlineLevel="1" x14ac:dyDescent="0.25">
      <c r="A179" s="189" t="s">
        <v>1268</v>
      </c>
      <c r="B179" s="253" t="s">
        <v>1269</v>
      </c>
      <c r="C179" s="195"/>
      <c r="D179" s="196"/>
      <c r="E179" s="196"/>
      <c r="F179" s="192"/>
      <c r="G179" s="192"/>
      <c r="H179" s="50"/>
      <c r="I179" s="49"/>
      <c r="J179" s="193"/>
      <c r="K179" s="172">
        <f>SUMIF($A$7:$A$56,A179,$K$7:$K$56)</f>
        <v>0</v>
      </c>
      <c r="L179" s="49"/>
      <c r="M179" s="193"/>
      <c r="N179" s="173">
        <f>SUMIF($A$7:$A$56,A179,$N$7:$N$56)</f>
        <v>0</v>
      </c>
      <c r="O179" s="197"/>
      <c r="P179" s="165" t="s">
        <v>1004</v>
      </c>
      <c r="Q179" s="37">
        <f t="shared" si="61"/>
        <v>0</v>
      </c>
      <c r="R179" s="37">
        <f t="shared" si="62"/>
        <v>0</v>
      </c>
    </row>
    <row r="180" spans="1:18" hidden="1" outlineLevel="1" x14ac:dyDescent="0.25">
      <c r="A180" s="189" t="s">
        <v>1270</v>
      </c>
      <c r="B180" s="252" t="s">
        <v>1271</v>
      </c>
      <c r="C180" s="190"/>
      <c r="D180" s="191"/>
      <c r="E180" s="191"/>
      <c r="F180" s="192"/>
      <c r="G180" s="192"/>
      <c r="H180" s="48"/>
      <c r="I180" s="49"/>
      <c r="J180" s="193"/>
      <c r="K180" s="172">
        <f>SUMIF($A$7:$A$56,A180,$K$7:$K$56)</f>
        <v>0</v>
      </c>
      <c r="L180" s="49"/>
      <c r="M180" s="193"/>
      <c r="N180" s="173">
        <f>SUMIF($A$7:$A$56,A180,$N$7:$N$56)</f>
        <v>0</v>
      </c>
      <c r="O180" s="194"/>
      <c r="P180" s="165" t="s">
        <v>1004</v>
      </c>
      <c r="Q180" s="37">
        <f t="shared" si="61"/>
        <v>0</v>
      </c>
      <c r="R180" s="37">
        <f t="shared" si="62"/>
        <v>0</v>
      </c>
    </row>
    <row r="181" spans="1:18" hidden="1" outlineLevel="1" x14ac:dyDescent="0.25">
      <c r="A181" s="189" t="s">
        <v>1272</v>
      </c>
      <c r="B181" s="253" t="s">
        <v>1273</v>
      </c>
      <c r="C181" s="195"/>
      <c r="D181" s="196"/>
      <c r="E181" s="196"/>
      <c r="F181" s="192"/>
      <c r="G181" s="192"/>
      <c r="H181" s="50"/>
      <c r="I181" s="49"/>
      <c r="J181" s="193"/>
      <c r="K181" s="172">
        <f>SUMIF($A$7:$A$56,A181,$K$7:$K$56)</f>
        <v>0</v>
      </c>
      <c r="L181" s="49"/>
      <c r="M181" s="193"/>
      <c r="N181" s="173">
        <f>SUMIF($A$7:$A$56,A181,$N$7:$N$56)</f>
        <v>0</v>
      </c>
      <c r="O181" s="197"/>
      <c r="P181" s="165" t="s">
        <v>1004</v>
      </c>
      <c r="Q181" s="37">
        <f t="shared" si="61"/>
        <v>0</v>
      </c>
      <c r="R181" s="37">
        <f t="shared" si="62"/>
        <v>0</v>
      </c>
    </row>
    <row r="182" spans="1:18" hidden="1" outlineLevel="1" x14ac:dyDescent="0.25">
      <c r="A182" s="189" t="s">
        <v>1274</v>
      </c>
      <c r="B182" s="252" t="s">
        <v>1275</v>
      </c>
      <c r="C182" s="190"/>
      <c r="D182" s="191"/>
      <c r="E182" s="191"/>
      <c r="F182" s="192"/>
      <c r="G182" s="192"/>
      <c r="H182" s="48"/>
      <c r="I182" s="49"/>
      <c r="J182" s="193"/>
      <c r="K182" s="172">
        <f>SUMIF($A$7:$A$56,A182,$K$7:$K$56)</f>
        <v>0</v>
      </c>
      <c r="L182" s="49"/>
      <c r="M182" s="193"/>
      <c r="N182" s="173">
        <f>SUMIF($A$7:$A$56,A182,$N$7:$N$56)</f>
        <v>0</v>
      </c>
      <c r="O182" s="194"/>
      <c r="P182" s="165" t="s">
        <v>1004</v>
      </c>
      <c r="Q182" s="37">
        <f t="shared" si="61"/>
        <v>0</v>
      </c>
      <c r="R182" s="37">
        <f t="shared" si="62"/>
        <v>0</v>
      </c>
    </row>
    <row r="183" spans="1:18" hidden="1" outlineLevel="1" x14ac:dyDescent="0.25">
      <c r="A183" s="189" t="s">
        <v>1276</v>
      </c>
      <c r="B183" s="253" t="s">
        <v>1276</v>
      </c>
      <c r="C183" s="195"/>
      <c r="D183" s="196"/>
      <c r="E183" s="196"/>
      <c r="F183" s="192"/>
      <c r="G183" s="192"/>
      <c r="H183" s="50"/>
      <c r="I183" s="49"/>
      <c r="J183" s="193"/>
      <c r="K183" s="172">
        <f>SUMIF($A$7:$A$56,A183,$K$7:$K$56)</f>
        <v>0</v>
      </c>
      <c r="L183" s="49"/>
      <c r="M183" s="193"/>
      <c r="N183" s="173">
        <f>SUMIF($A$7:$A$56,A183,$N$7:$N$56)</f>
        <v>0</v>
      </c>
      <c r="O183" s="197"/>
      <c r="P183" s="165" t="s">
        <v>1004</v>
      </c>
      <c r="Q183" s="37">
        <f t="shared" si="61"/>
        <v>0</v>
      </c>
      <c r="R183" s="37">
        <f t="shared" si="62"/>
        <v>0</v>
      </c>
    </row>
    <row r="184" spans="1:18" hidden="1" outlineLevel="1" x14ac:dyDescent="0.25">
      <c r="A184" s="189" t="s">
        <v>1277</v>
      </c>
      <c r="B184" s="252" t="s">
        <v>1278</v>
      </c>
      <c r="C184" s="190"/>
      <c r="D184" s="191"/>
      <c r="E184" s="191"/>
      <c r="F184" s="192"/>
      <c r="G184" s="192"/>
      <c r="H184" s="48"/>
      <c r="I184" s="49"/>
      <c r="J184" s="193"/>
      <c r="K184" s="172">
        <f>SUMIF($A$7:$A$56,A184,$K$7:$K$56)</f>
        <v>0</v>
      </c>
      <c r="L184" s="49"/>
      <c r="M184" s="193"/>
      <c r="N184" s="173">
        <f>SUMIF($A$7:$A$56,A184,$N$7:$N$56)</f>
        <v>0</v>
      </c>
      <c r="O184" s="194"/>
      <c r="P184" s="165" t="s">
        <v>1004</v>
      </c>
      <c r="Q184" s="37">
        <f t="shared" si="61"/>
        <v>0</v>
      </c>
      <c r="R184" s="37">
        <f t="shared" si="62"/>
        <v>0</v>
      </c>
    </row>
    <row r="185" spans="1:18" hidden="1" outlineLevel="1" x14ac:dyDescent="0.25">
      <c r="A185" s="189" t="s">
        <v>1279</v>
      </c>
      <c r="B185" s="253" t="s">
        <v>1280</v>
      </c>
      <c r="C185" s="195"/>
      <c r="D185" s="196"/>
      <c r="E185" s="196"/>
      <c r="F185" s="192"/>
      <c r="G185" s="192"/>
      <c r="H185" s="50"/>
      <c r="I185" s="49"/>
      <c r="J185" s="193"/>
      <c r="K185" s="172">
        <f>SUMIF($A$7:$A$56,A185,$K$7:$K$56)</f>
        <v>0</v>
      </c>
      <c r="L185" s="49"/>
      <c r="M185" s="193"/>
      <c r="N185" s="173">
        <f>SUMIF($A$7:$A$56,A185,$N$7:$N$56)</f>
        <v>0</v>
      </c>
      <c r="O185" s="197"/>
      <c r="P185" s="165" t="s">
        <v>1004</v>
      </c>
      <c r="Q185" s="37">
        <f t="shared" si="61"/>
        <v>0</v>
      </c>
      <c r="R185" s="37">
        <f t="shared" si="62"/>
        <v>0</v>
      </c>
    </row>
    <row r="186" spans="1:18" hidden="1" outlineLevel="1" x14ac:dyDescent="0.25">
      <c r="A186" s="189" t="s">
        <v>1281</v>
      </c>
      <c r="B186" s="252" t="s">
        <v>1282</v>
      </c>
      <c r="C186" s="190"/>
      <c r="D186" s="191"/>
      <c r="E186" s="191"/>
      <c r="F186" s="192"/>
      <c r="G186" s="192"/>
      <c r="H186" s="48"/>
      <c r="I186" s="49"/>
      <c r="J186" s="193"/>
      <c r="K186" s="172">
        <f>SUMIF($A$7:$A$56,A186,$K$7:$K$56)</f>
        <v>0</v>
      </c>
      <c r="L186" s="49"/>
      <c r="M186" s="193"/>
      <c r="N186" s="173">
        <f>SUMIF($A$7:$A$56,A186,$N$7:$N$56)</f>
        <v>0</v>
      </c>
      <c r="O186" s="194"/>
      <c r="P186" s="165" t="s">
        <v>1004</v>
      </c>
      <c r="Q186" s="37">
        <f t="shared" si="61"/>
        <v>0</v>
      </c>
      <c r="R186" s="37">
        <f t="shared" si="62"/>
        <v>0</v>
      </c>
    </row>
    <row r="187" spans="1:18" hidden="1" outlineLevel="1" x14ac:dyDescent="0.25">
      <c r="A187" s="189" t="s">
        <v>1283</v>
      </c>
      <c r="B187" s="253" t="s">
        <v>607</v>
      </c>
      <c r="C187" s="195"/>
      <c r="D187" s="196"/>
      <c r="E187" s="196"/>
      <c r="F187" s="192"/>
      <c r="G187" s="192"/>
      <c r="H187" s="50"/>
      <c r="I187" s="49"/>
      <c r="J187" s="193"/>
      <c r="K187" s="172">
        <f>SUMIF($A$7:$A$56,A187,$K$7:$K$56)</f>
        <v>0</v>
      </c>
      <c r="L187" s="49"/>
      <c r="M187" s="193"/>
      <c r="N187" s="173">
        <f>SUMIF($A$7:$A$56,A187,$N$7:$N$56)</f>
        <v>0</v>
      </c>
      <c r="O187" s="197"/>
      <c r="P187" s="165" t="s">
        <v>1004</v>
      </c>
      <c r="Q187" s="37">
        <f t="shared" si="61"/>
        <v>0</v>
      </c>
      <c r="R187" s="37">
        <f t="shared" si="62"/>
        <v>0</v>
      </c>
    </row>
    <row r="188" spans="1:18" hidden="1" outlineLevel="1" x14ac:dyDescent="0.25">
      <c r="A188" s="189" t="s">
        <v>1284</v>
      </c>
      <c r="B188" s="252" t="s">
        <v>1285</v>
      </c>
      <c r="C188" s="190"/>
      <c r="D188" s="191"/>
      <c r="E188" s="191"/>
      <c r="F188" s="192"/>
      <c r="G188" s="192"/>
      <c r="H188" s="48"/>
      <c r="I188" s="49"/>
      <c r="J188" s="193"/>
      <c r="K188" s="172">
        <f>SUMIF($A$7:$A$56,A188,$K$7:$K$56)</f>
        <v>0</v>
      </c>
      <c r="L188" s="49"/>
      <c r="M188" s="193"/>
      <c r="N188" s="173">
        <f>SUMIF($A$7:$A$56,A188,$N$7:$N$56)</f>
        <v>0</v>
      </c>
      <c r="O188" s="194"/>
      <c r="P188" s="165" t="s">
        <v>1004</v>
      </c>
      <c r="Q188" s="37">
        <f t="shared" si="61"/>
        <v>0</v>
      </c>
      <c r="R188" s="37">
        <f t="shared" si="62"/>
        <v>0</v>
      </c>
    </row>
    <row r="189" spans="1:18" hidden="1" outlineLevel="1" x14ac:dyDescent="0.25">
      <c r="A189" s="189" t="s">
        <v>1286</v>
      </c>
      <c r="B189" s="253" t="s">
        <v>1287</v>
      </c>
      <c r="C189" s="195"/>
      <c r="D189" s="196"/>
      <c r="E189" s="196"/>
      <c r="F189" s="192"/>
      <c r="G189" s="192"/>
      <c r="H189" s="50"/>
      <c r="I189" s="49"/>
      <c r="J189" s="193"/>
      <c r="K189" s="172">
        <f>SUMIF($A$7:$A$56,A189,$K$7:$K$56)</f>
        <v>0</v>
      </c>
      <c r="L189" s="49"/>
      <c r="M189" s="193"/>
      <c r="N189" s="173">
        <f>SUMIF($A$7:$A$56,A189,$N$7:$N$56)</f>
        <v>0</v>
      </c>
      <c r="O189" s="197"/>
      <c r="P189" s="165" t="s">
        <v>1004</v>
      </c>
      <c r="Q189" s="37">
        <f t="shared" si="61"/>
        <v>0</v>
      </c>
      <c r="R189" s="37">
        <f t="shared" si="62"/>
        <v>0</v>
      </c>
    </row>
    <row r="190" spans="1:18" hidden="1" outlineLevel="1" x14ac:dyDescent="0.25">
      <c r="A190" s="189" t="s">
        <v>1288</v>
      </c>
      <c r="B190" s="252" t="s">
        <v>1289</v>
      </c>
      <c r="C190" s="190"/>
      <c r="D190" s="191"/>
      <c r="E190" s="191"/>
      <c r="F190" s="192"/>
      <c r="G190" s="192"/>
      <c r="H190" s="48"/>
      <c r="I190" s="49"/>
      <c r="J190" s="193"/>
      <c r="K190" s="172">
        <f>SUMIF($A$7:$A$56,A190,$K$7:$K$56)</f>
        <v>0</v>
      </c>
      <c r="L190" s="49"/>
      <c r="M190" s="193"/>
      <c r="N190" s="173">
        <f>SUMIF($A$7:$A$56,A190,$N$7:$N$56)</f>
        <v>0</v>
      </c>
      <c r="O190" s="194"/>
      <c r="P190" s="165" t="s">
        <v>1004</v>
      </c>
      <c r="Q190" s="37">
        <f t="shared" si="61"/>
        <v>0</v>
      </c>
      <c r="R190" s="37">
        <f t="shared" si="62"/>
        <v>0</v>
      </c>
    </row>
    <row r="191" spans="1:18" hidden="1" outlineLevel="1" x14ac:dyDescent="0.25">
      <c r="A191" s="189" t="s">
        <v>1290</v>
      </c>
      <c r="B191" s="253" t="s">
        <v>1291</v>
      </c>
      <c r="C191" s="195"/>
      <c r="D191" s="196"/>
      <c r="E191" s="196"/>
      <c r="F191" s="192"/>
      <c r="G191" s="192"/>
      <c r="H191" s="50"/>
      <c r="I191" s="49"/>
      <c r="J191" s="193"/>
      <c r="K191" s="172">
        <f>SUMIF($A$7:$A$56,A191,$K$7:$K$56)</f>
        <v>0</v>
      </c>
      <c r="L191" s="49"/>
      <c r="M191" s="193"/>
      <c r="N191" s="173">
        <f>SUMIF($A$7:$A$56,A191,$N$7:$N$56)</f>
        <v>0</v>
      </c>
      <c r="O191" s="197"/>
      <c r="P191" s="165" t="s">
        <v>1004</v>
      </c>
      <c r="Q191" s="37">
        <f t="shared" si="61"/>
        <v>0</v>
      </c>
      <c r="R191" s="37">
        <f t="shared" si="62"/>
        <v>0</v>
      </c>
    </row>
    <row r="192" spans="1:18" hidden="1" outlineLevel="1" x14ac:dyDescent="0.25">
      <c r="A192" s="189" t="s">
        <v>1292</v>
      </c>
      <c r="B192" s="252" t="s">
        <v>1293</v>
      </c>
      <c r="C192" s="190"/>
      <c r="D192" s="191"/>
      <c r="E192" s="191"/>
      <c r="F192" s="192"/>
      <c r="G192" s="192"/>
      <c r="H192" s="48"/>
      <c r="I192" s="49"/>
      <c r="J192" s="193"/>
      <c r="K192" s="172">
        <f>SUMIF($A$7:$A$56,A192,$K$7:$K$56)</f>
        <v>0</v>
      </c>
      <c r="L192" s="49"/>
      <c r="M192" s="193"/>
      <c r="N192" s="173">
        <f>SUMIF($A$7:$A$56,A192,$N$7:$N$56)</f>
        <v>0</v>
      </c>
      <c r="O192" s="194"/>
      <c r="P192" s="165" t="s">
        <v>1004</v>
      </c>
      <c r="Q192" s="37">
        <f t="shared" si="61"/>
        <v>0</v>
      </c>
      <c r="R192" s="37">
        <f t="shared" si="62"/>
        <v>0</v>
      </c>
    </row>
    <row r="193" spans="1:18" hidden="1" outlineLevel="1" x14ac:dyDescent="0.25">
      <c r="A193" s="189" t="s">
        <v>1294</v>
      </c>
      <c r="B193" s="253" t="s">
        <v>1295</v>
      </c>
      <c r="C193" s="195"/>
      <c r="D193" s="196"/>
      <c r="E193" s="196"/>
      <c r="F193" s="192"/>
      <c r="G193" s="192"/>
      <c r="H193" s="50"/>
      <c r="I193" s="49"/>
      <c r="J193" s="193"/>
      <c r="K193" s="172">
        <f>SUMIF($A$7:$A$56,A193,$K$7:$K$56)</f>
        <v>0</v>
      </c>
      <c r="L193" s="49"/>
      <c r="M193" s="193"/>
      <c r="N193" s="173">
        <f>SUMIF($A$7:$A$56,A193,$N$7:$N$56)</f>
        <v>0</v>
      </c>
      <c r="O193" s="197"/>
      <c r="P193" s="165" t="s">
        <v>1004</v>
      </c>
      <c r="Q193" s="37">
        <f t="shared" si="61"/>
        <v>0</v>
      </c>
      <c r="R193" s="37">
        <f t="shared" si="62"/>
        <v>0</v>
      </c>
    </row>
    <row r="194" spans="1:18" hidden="1" outlineLevel="1" x14ac:dyDescent="0.25">
      <c r="A194" s="189" t="s">
        <v>1296</v>
      </c>
      <c r="B194" s="252" t="s">
        <v>1297</v>
      </c>
      <c r="C194" s="190"/>
      <c r="D194" s="191"/>
      <c r="E194" s="191"/>
      <c r="F194" s="192"/>
      <c r="G194" s="192"/>
      <c r="H194" s="48"/>
      <c r="I194" s="49"/>
      <c r="J194" s="193"/>
      <c r="K194" s="172">
        <f>SUMIF($A$7:$A$56,A194,$K$7:$K$56)</f>
        <v>0</v>
      </c>
      <c r="L194" s="49"/>
      <c r="M194" s="193"/>
      <c r="N194" s="173">
        <f>SUMIF($A$7:$A$56,A194,$N$7:$N$56)</f>
        <v>0</v>
      </c>
      <c r="O194" s="194"/>
      <c r="P194" s="165" t="s">
        <v>1004</v>
      </c>
      <c r="Q194" s="37">
        <f t="shared" si="61"/>
        <v>0</v>
      </c>
      <c r="R194" s="37">
        <f t="shared" si="62"/>
        <v>0</v>
      </c>
    </row>
    <row r="195" spans="1:18" hidden="1" outlineLevel="1" x14ac:dyDescent="0.25">
      <c r="A195" s="189" t="s">
        <v>1298</v>
      </c>
      <c r="B195" s="253" t="s">
        <v>1299</v>
      </c>
      <c r="C195" s="195"/>
      <c r="D195" s="196"/>
      <c r="E195" s="196"/>
      <c r="F195" s="192"/>
      <c r="G195" s="192"/>
      <c r="H195" s="50"/>
      <c r="I195" s="49"/>
      <c r="J195" s="193"/>
      <c r="K195" s="172">
        <f>SUMIF($A$7:$A$56,A195,$K$7:$K$56)</f>
        <v>0</v>
      </c>
      <c r="L195" s="49"/>
      <c r="M195" s="193"/>
      <c r="N195" s="173">
        <f>SUMIF($A$7:$A$56,A195,$N$7:$N$56)</f>
        <v>0</v>
      </c>
      <c r="O195" s="197"/>
      <c r="P195" s="165" t="s">
        <v>1004</v>
      </c>
      <c r="Q195" s="37">
        <f t="shared" si="61"/>
        <v>0</v>
      </c>
      <c r="R195" s="37">
        <f t="shared" si="62"/>
        <v>0</v>
      </c>
    </row>
    <row r="196" spans="1:18" hidden="1" outlineLevel="1" x14ac:dyDescent="0.25">
      <c r="A196" s="189" t="s">
        <v>1300</v>
      </c>
      <c r="B196" s="252" t="s">
        <v>1301</v>
      </c>
      <c r="C196" s="190"/>
      <c r="D196" s="191"/>
      <c r="E196" s="191"/>
      <c r="F196" s="192"/>
      <c r="G196" s="192"/>
      <c r="H196" s="48"/>
      <c r="I196" s="49"/>
      <c r="J196" s="193"/>
      <c r="K196" s="172">
        <f>SUMIF($A$7:$A$56,A196,$K$7:$K$56)</f>
        <v>0</v>
      </c>
      <c r="L196" s="49"/>
      <c r="M196" s="193"/>
      <c r="N196" s="173">
        <f>SUMIF($A$7:$A$56,A196,$N$7:$N$56)</f>
        <v>0</v>
      </c>
      <c r="O196" s="194"/>
      <c r="P196" s="165" t="s">
        <v>1004</v>
      </c>
      <c r="Q196" s="37">
        <f t="shared" si="61"/>
        <v>0</v>
      </c>
      <c r="R196" s="37">
        <f t="shared" si="62"/>
        <v>0</v>
      </c>
    </row>
    <row r="197" spans="1:18" hidden="1" outlineLevel="1" x14ac:dyDescent="0.25">
      <c r="A197" s="189" t="s">
        <v>1302</v>
      </c>
      <c r="B197" s="253" t="s">
        <v>1303</v>
      </c>
      <c r="C197" s="195"/>
      <c r="D197" s="196"/>
      <c r="E197" s="196"/>
      <c r="F197" s="192"/>
      <c r="G197" s="192"/>
      <c r="H197" s="50"/>
      <c r="I197" s="49"/>
      <c r="J197" s="193"/>
      <c r="K197" s="172">
        <f>SUMIF($A$7:$A$56,A197,$K$7:$K$56)</f>
        <v>0</v>
      </c>
      <c r="L197" s="49"/>
      <c r="M197" s="193"/>
      <c r="N197" s="173">
        <f>SUMIF($A$7:$A$56,A197,$N$7:$N$56)</f>
        <v>0</v>
      </c>
      <c r="O197" s="197"/>
      <c r="P197" s="165" t="s">
        <v>1004</v>
      </c>
      <c r="Q197" s="37">
        <f t="shared" si="61"/>
        <v>0</v>
      </c>
      <c r="R197" s="37">
        <f t="shared" si="62"/>
        <v>0</v>
      </c>
    </row>
    <row r="198" spans="1:18" hidden="1" outlineLevel="1" x14ac:dyDescent="0.25">
      <c r="A198" s="189" t="s">
        <v>1304</v>
      </c>
      <c r="B198" s="252" t="s">
        <v>1305</v>
      </c>
      <c r="C198" s="190"/>
      <c r="D198" s="191"/>
      <c r="E198" s="191"/>
      <c r="F198" s="192"/>
      <c r="G198" s="192"/>
      <c r="H198" s="48"/>
      <c r="I198" s="49"/>
      <c r="J198" s="193"/>
      <c r="K198" s="172">
        <f>SUMIF($A$7:$A$56,A198,$K$7:$K$56)</f>
        <v>0</v>
      </c>
      <c r="L198" s="49"/>
      <c r="M198" s="193"/>
      <c r="N198" s="173">
        <f>SUMIF($A$7:$A$56,A198,$N$7:$N$56)</f>
        <v>0</v>
      </c>
      <c r="O198" s="194"/>
      <c r="P198" s="165" t="s">
        <v>1004</v>
      </c>
      <c r="Q198" s="37">
        <f t="shared" si="61"/>
        <v>0</v>
      </c>
      <c r="R198" s="37">
        <f t="shared" si="62"/>
        <v>0</v>
      </c>
    </row>
    <row r="199" spans="1:18" hidden="1" outlineLevel="1" x14ac:dyDescent="0.25">
      <c r="A199" s="189" t="s">
        <v>1306</v>
      </c>
      <c r="B199" s="253" t="s">
        <v>1307</v>
      </c>
      <c r="C199" s="195"/>
      <c r="D199" s="196"/>
      <c r="E199" s="196"/>
      <c r="F199" s="192"/>
      <c r="G199" s="192"/>
      <c r="H199" s="50"/>
      <c r="I199" s="49"/>
      <c r="J199" s="193"/>
      <c r="K199" s="172">
        <f>SUMIF($A$7:$A$56,A199,$K$7:$K$56)</f>
        <v>0</v>
      </c>
      <c r="L199" s="49"/>
      <c r="M199" s="193"/>
      <c r="N199" s="173">
        <f>SUMIF($A$7:$A$56,A199,$N$7:$N$56)</f>
        <v>0</v>
      </c>
      <c r="O199" s="197"/>
      <c r="P199" s="165" t="s">
        <v>1004</v>
      </c>
      <c r="Q199" s="37">
        <f t="shared" si="61"/>
        <v>0</v>
      </c>
      <c r="R199" s="37">
        <f t="shared" si="62"/>
        <v>0</v>
      </c>
    </row>
    <row r="200" spans="1:18" hidden="1" outlineLevel="1" x14ac:dyDescent="0.25">
      <c r="A200" s="189" t="s">
        <v>1308</v>
      </c>
      <c r="B200" s="252" t="s">
        <v>1309</v>
      </c>
      <c r="C200" s="190"/>
      <c r="D200" s="191"/>
      <c r="E200" s="191"/>
      <c r="F200" s="192"/>
      <c r="G200" s="192"/>
      <c r="H200" s="48"/>
      <c r="I200" s="49"/>
      <c r="J200" s="193"/>
      <c r="K200" s="172">
        <f>SUMIF($A$7:$A$56,A200,$K$7:$K$56)</f>
        <v>0</v>
      </c>
      <c r="L200" s="49"/>
      <c r="M200" s="193"/>
      <c r="N200" s="173">
        <f>SUMIF($A$7:$A$56,A200,$N$7:$N$56)</f>
        <v>0</v>
      </c>
      <c r="O200" s="194"/>
      <c r="P200" s="165" t="s">
        <v>1004</v>
      </c>
      <c r="Q200" s="37">
        <f t="shared" si="61"/>
        <v>0</v>
      </c>
      <c r="R200" s="37">
        <f t="shared" si="62"/>
        <v>0</v>
      </c>
    </row>
    <row r="201" spans="1:18" hidden="1" outlineLevel="1" x14ac:dyDescent="0.25">
      <c r="A201" s="189" t="s">
        <v>1310</v>
      </c>
      <c r="B201" s="253" t="s">
        <v>1311</v>
      </c>
      <c r="C201" s="195"/>
      <c r="D201" s="196"/>
      <c r="E201" s="196"/>
      <c r="F201" s="192"/>
      <c r="G201" s="192"/>
      <c r="H201" s="50"/>
      <c r="I201" s="49"/>
      <c r="J201" s="193"/>
      <c r="K201" s="172">
        <f>SUMIF($A$7:$A$56,A201,$K$7:$K$56)</f>
        <v>0</v>
      </c>
      <c r="L201" s="49"/>
      <c r="M201" s="193"/>
      <c r="N201" s="173">
        <f>SUMIF($A$7:$A$56,A201,$N$7:$N$56)</f>
        <v>0</v>
      </c>
      <c r="O201" s="197"/>
      <c r="P201" s="165" t="s">
        <v>1004</v>
      </c>
      <c r="Q201" s="37">
        <f t="shared" si="61"/>
        <v>0</v>
      </c>
      <c r="R201" s="37">
        <f t="shared" si="62"/>
        <v>0</v>
      </c>
    </row>
    <row r="202" spans="1:18" hidden="1" outlineLevel="1" x14ac:dyDescent="0.25">
      <c r="A202" s="189" t="s">
        <v>1312</v>
      </c>
      <c r="B202" s="252" t="s">
        <v>1313</v>
      </c>
      <c r="C202" s="190"/>
      <c r="D202" s="191"/>
      <c r="E202" s="191"/>
      <c r="F202" s="192"/>
      <c r="G202" s="192"/>
      <c r="H202" s="48"/>
      <c r="I202" s="49"/>
      <c r="J202" s="193"/>
      <c r="K202" s="172">
        <f>SUMIF($A$7:$A$56,A202,$K$7:$K$56)</f>
        <v>0</v>
      </c>
      <c r="L202" s="49"/>
      <c r="M202" s="193"/>
      <c r="N202" s="173">
        <f>SUMIF($A$7:$A$56,A202,$N$7:$N$56)</f>
        <v>0</v>
      </c>
      <c r="O202" s="194"/>
      <c r="P202" s="165" t="s">
        <v>1004</v>
      </c>
      <c r="Q202" s="37">
        <f t="shared" si="61"/>
        <v>0</v>
      </c>
      <c r="R202" s="37">
        <f t="shared" si="62"/>
        <v>0</v>
      </c>
    </row>
    <row r="203" spans="1:18" hidden="1" outlineLevel="1" x14ac:dyDescent="0.25">
      <c r="A203" s="189" t="s">
        <v>1314</v>
      </c>
      <c r="B203" s="253" t="s">
        <v>1315</v>
      </c>
      <c r="C203" s="195"/>
      <c r="D203" s="196"/>
      <c r="E203" s="196"/>
      <c r="F203" s="192"/>
      <c r="G203" s="192"/>
      <c r="H203" s="50"/>
      <c r="I203" s="49"/>
      <c r="J203" s="193"/>
      <c r="K203" s="172">
        <f>SUMIF($A$7:$A$56,A203,$K$7:$K$56)</f>
        <v>0</v>
      </c>
      <c r="L203" s="49"/>
      <c r="M203" s="193"/>
      <c r="N203" s="173">
        <f>SUMIF($A$7:$A$56,A203,$N$7:$N$56)</f>
        <v>0</v>
      </c>
      <c r="O203" s="197"/>
      <c r="P203" s="165" t="s">
        <v>1004</v>
      </c>
      <c r="Q203" s="37">
        <f t="shared" si="61"/>
        <v>0</v>
      </c>
      <c r="R203" s="37">
        <f t="shared" si="62"/>
        <v>0</v>
      </c>
    </row>
    <row r="204" spans="1:18" hidden="1" outlineLevel="1" x14ac:dyDescent="0.25">
      <c r="A204" s="189" t="s">
        <v>1316</v>
      </c>
      <c r="B204" s="252" t="s">
        <v>1317</v>
      </c>
      <c r="C204" s="190"/>
      <c r="D204" s="191"/>
      <c r="E204" s="191"/>
      <c r="F204" s="192"/>
      <c r="G204" s="192"/>
      <c r="H204" s="48"/>
      <c r="I204" s="49"/>
      <c r="J204" s="193"/>
      <c r="K204" s="172">
        <f>SUMIF($A$7:$A$56,A204,$K$7:$K$56)</f>
        <v>0</v>
      </c>
      <c r="L204" s="49"/>
      <c r="M204" s="193"/>
      <c r="N204" s="173">
        <f>SUMIF($A$7:$A$56,A204,$N$7:$N$56)</f>
        <v>0</v>
      </c>
      <c r="O204" s="194"/>
      <c r="P204" s="165" t="s">
        <v>1004</v>
      </c>
      <c r="Q204" s="37">
        <f t="shared" ref="Q204:Q234" si="63">+ROUND((K204)*(1+SUMIF($Q$2:$Q$4,P204,$R$2:$R$4)),0)</f>
        <v>0</v>
      </c>
      <c r="R204" s="37">
        <f t="shared" ref="R204:R234" si="64">+ROUND((N204)*(1+SUMIF($Q$2:$Q$4,P204,$R$2:$R$4)),0)</f>
        <v>0</v>
      </c>
    </row>
    <row r="205" spans="1:18" hidden="1" outlineLevel="1" x14ac:dyDescent="0.25">
      <c r="A205" s="189" t="s">
        <v>1019</v>
      </c>
      <c r="B205" s="253" t="s">
        <v>1318</v>
      </c>
      <c r="C205" s="195"/>
      <c r="D205" s="196"/>
      <c r="E205" s="196"/>
      <c r="F205" s="192"/>
      <c r="G205" s="192"/>
      <c r="H205" s="50"/>
      <c r="I205" s="49"/>
      <c r="J205" s="193"/>
      <c r="K205" s="172">
        <f>SUMIF($A$7:$A$56,A205,$K$7:$K$56)</f>
        <v>0</v>
      </c>
      <c r="L205" s="49"/>
      <c r="M205" s="193"/>
      <c r="N205" s="173">
        <f>SUMIF($A$7:$A$56,A205,$N$7:$N$56)</f>
        <v>0</v>
      </c>
      <c r="O205" s="197"/>
      <c r="P205" s="165" t="s">
        <v>1004</v>
      </c>
      <c r="Q205" s="37">
        <f t="shared" si="63"/>
        <v>0</v>
      </c>
      <c r="R205" s="37">
        <f t="shared" si="64"/>
        <v>0</v>
      </c>
    </row>
    <row r="206" spans="1:18" hidden="1" outlineLevel="1" x14ac:dyDescent="0.25">
      <c r="A206" s="189" t="s">
        <v>1319</v>
      </c>
      <c r="B206" s="252" t="s">
        <v>1320</v>
      </c>
      <c r="C206" s="190"/>
      <c r="D206" s="191"/>
      <c r="E206" s="191"/>
      <c r="F206" s="192"/>
      <c r="G206" s="192"/>
      <c r="H206" s="48"/>
      <c r="I206" s="49"/>
      <c r="J206" s="193"/>
      <c r="K206" s="172">
        <f>SUMIF($A$7:$A$56,A206,$K$7:$K$56)</f>
        <v>0</v>
      </c>
      <c r="L206" s="49"/>
      <c r="M206" s="193"/>
      <c r="N206" s="173">
        <f>SUMIF($A$7:$A$56,A206,$N$7:$N$56)</f>
        <v>0</v>
      </c>
      <c r="O206" s="194"/>
      <c r="P206" s="165" t="s">
        <v>1004</v>
      </c>
      <c r="Q206" s="37">
        <f t="shared" si="63"/>
        <v>0</v>
      </c>
      <c r="R206" s="37">
        <f t="shared" si="64"/>
        <v>0</v>
      </c>
    </row>
    <row r="207" spans="1:18" hidden="1" outlineLevel="1" x14ac:dyDescent="0.25">
      <c r="A207" s="189" t="s">
        <v>1321</v>
      </c>
      <c r="B207" s="253" t="s">
        <v>1322</v>
      </c>
      <c r="C207" s="195"/>
      <c r="D207" s="196"/>
      <c r="E207" s="196"/>
      <c r="F207" s="192"/>
      <c r="G207" s="192"/>
      <c r="H207" s="50"/>
      <c r="I207" s="49"/>
      <c r="J207" s="193"/>
      <c r="K207" s="172">
        <f>SUMIF($A$7:$A$56,A207,$K$7:$K$56)</f>
        <v>0</v>
      </c>
      <c r="L207" s="49"/>
      <c r="M207" s="193"/>
      <c r="N207" s="173">
        <f>SUMIF($A$7:$A$56,A207,$N$7:$N$56)</f>
        <v>0</v>
      </c>
      <c r="O207" s="197"/>
      <c r="P207" s="165" t="s">
        <v>1004</v>
      </c>
      <c r="Q207" s="37">
        <f t="shared" si="63"/>
        <v>0</v>
      </c>
      <c r="R207" s="37">
        <f t="shared" si="64"/>
        <v>0</v>
      </c>
    </row>
    <row r="208" spans="1:18" hidden="1" outlineLevel="1" x14ac:dyDescent="0.25">
      <c r="A208" s="189" t="s">
        <v>1323</v>
      </c>
      <c r="B208" s="252" t="s">
        <v>1324</v>
      </c>
      <c r="C208" s="190"/>
      <c r="D208" s="191"/>
      <c r="E208" s="191"/>
      <c r="F208" s="192"/>
      <c r="G208" s="192"/>
      <c r="H208" s="48"/>
      <c r="I208" s="49"/>
      <c r="J208" s="193"/>
      <c r="K208" s="172">
        <f>SUMIF($A$7:$A$56,A208,$K$7:$K$56)</f>
        <v>0</v>
      </c>
      <c r="L208" s="49"/>
      <c r="M208" s="193"/>
      <c r="N208" s="173">
        <f>SUMIF($A$7:$A$56,A208,$N$7:$N$56)</f>
        <v>0</v>
      </c>
      <c r="O208" s="194"/>
      <c r="P208" s="165" t="s">
        <v>1004</v>
      </c>
      <c r="Q208" s="37">
        <f t="shared" si="63"/>
        <v>0</v>
      </c>
      <c r="R208" s="37">
        <f t="shared" si="64"/>
        <v>0</v>
      </c>
    </row>
    <row r="209" spans="1:18" hidden="1" outlineLevel="1" x14ac:dyDescent="0.25">
      <c r="A209" s="189" t="s">
        <v>1325</v>
      </c>
      <c r="B209" s="253" t="s">
        <v>1325</v>
      </c>
      <c r="C209" s="195"/>
      <c r="D209" s="196"/>
      <c r="E209" s="196"/>
      <c r="F209" s="192"/>
      <c r="G209" s="192"/>
      <c r="H209" s="50"/>
      <c r="I209" s="49"/>
      <c r="J209" s="193"/>
      <c r="K209" s="172">
        <f>SUMIF($A$7:$A$56,A209,$K$7:$K$56)</f>
        <v>0</v>
      </c>
      <c r="L209" s="49"/>
      <c r="M209" s="193"/>
      <c r="N209" s="173">
        <f>SUMIF($A$7:$A$56,A209,$N$7:$N$56)</f>
        <v>0</v>
      </c>
      <c r="O209" s="197"/>
      <c r="P209" s="165" t="s">
        <v>1004</v>
      </c>
      <c r="Q209" s="37">
        <f t="shared" si="63"/>
        <v>0</v>
      </c>
      <c r="R209" s="37">
        <f t="shared" si="64"/>
        <v>0</v>
      </c>
    </row>
    <row r="210" spans="1:18" hidden="1" outlineLevel="1" x14ac:dyDescent="0.25">
      <c r="A210" s="189" t="s">
        <v>1326</v>
      </c>
      <c r="B210" s="252" t="s">
        <v>1327</v>
      </c>
      <c r="C210" s="190"/>
      <c r="D210" s="191"/>
      <c r="E210" s="191"/>
      <c r="F210" s="192"/>
      <c r="G210" s="192"/>
      <c r="H210" s="48"/>
      <c r="I210" s="49"/>
      <c r="J210" s="193"/>
      <c r="K210" s="172">
        <f>SUMIF($A$7:$A$56,A210,$K$7:$K$56)</f>
        <v>0</v>
      </c>
      <c r="L210" s="49"/>
      <c r="M210" s="193"/>
      <c r="N210" s="173">
        <f>SUMIF($A$7:$A$56,A210,$N$7:$N$56)</f>
        <v>0</v>
      </c>
      <c r="O210" s="194"/>
      <c r="P210" s="165" t="s">
        <v>1004</v>
      </c>
      <c r="Q210" s="37">
        <f t="shared" si="63"/>
        <v>0</v>
      </c>
      <c r="R210" s="37">
        <f t="shared" si="64"/>
        <v>0</v>
      </c>
    </row>
    <row r="211" spans="1:18" hidden="1" outlineLevel="1" x14ac:dyDescent="0.25">
      <c r="A211" s="189" t="s">
        <v>1328</v>
      </c>
      <c r="B211" s="253" t="s">
        <v>1329</v>
      </c>
      <c r="C211" s="195"/>
      <c r="D211" s="196"/>
      <c r="E211" s="196"/>
      <c r="F211" s="192"/>
      <c r="G211" s="192"/>
      <c r="H211" s="50"/>
      <c r="I211" s="49"/>
      <c r="J211" s="193"/>
      <c r="K211" s="172">
        <f>SUMIF($A$7:$A$56,A211,$K$7:$K$56)</f>
        <v>0</v>
      </c>
      <c r="L211" s="49"/>
      <c r="M211" s="193"/>
      <c r="N211" s="173">
        <f>SUMIF($A$7:$A$56,A211,$N$7:$N$56)</f>
        <v>0</v>
      </c>
      <c r="O211" s="197"/>
      <c r="P211" s="165" t="s">
        <v>1004</v>
      </c>
      <c r="Q211" s="37">
        <f t="shared" si="63"/>
        <v>0</v>
      </c>
      <c r="R211" s="37">
        <f t="shared" si="64"/>
        <v>0</v>
      </c>
    </row>
    <row r="212" spans="1:18" hidden="1" outlineLevel="1" x14ac:dyDescent="0.25">
      <c r="A212" s="189" t="s">
        <v>1330</v>
      </c>
      <c r="B212" s="252" t="s">
        <v>1331</v>
      </c>
      <c r="C212" s="190"/>
      <c r="D212" s="191"/>
      <c r="E212" s="191"/>
      <c r="F212" s="192"/>
      <c r="G212" s="192"/>
      <c r="H212" s="48"/>
      <c r="I212" s="49"/>
      <c r="J212" s="193"/>
      <c r="K212" s="172">
        <f>SUMIF($A$7:$A$56,A212,$K$7:$K$56)</f>
        <v>0</v>
      </c>
      <c r="L212" s="49"/>
      <c r="M212" s="193"/>
      <c r="N212" s="173">
        <f>SUMIF($A$7:$A$56,A212,$N$7:$N$56)</f>
        <v>0</v>
      </c>
      <c r="O212" s="194"/>
      <c r="P212" s="165" t="s">
        <v>1004</v>
      </c>
      <c r="Q212" s="37">
        <f t="shared" si="63"/>
        <v>0</v>
      </c>
      <c r="R212" s="37">
        <f t="shared" si="64"/>
        <v>0</v>
      </c>
    </row>
    <row r="213" spans="1:18" hidden="1" outlineLevel="1" x14ac:dyDescent="0.25">
      <c r="A213" s="189" t="s">
        <v>1332</v>
      </c>
      <c r="B213" s="253" t="s">
        <v>1333</v>
      </c>
      <c r="C213" s="195"/>
      <c r="D213" s="196"/>
      <c r="E213" s="196"/>
      <c r="F213" s="192"/>
      <c r="G213" s="192"/>
      <c r="H213" s="50"/>
      <c r="I213" s="49"/>
      <c r="J213" s="193"/>
      <c r="K213" s="172">
        <f>SUMIF($A$7:$A$56,A213,$K$7:$K$56)</f>
        <v>0</v>
      </c>
      <c r="L213" s="49"/>
      <c r="M213" s="193"/>
      <c r="N213" s="173">
        <f>SUMIF($A$7:$A$56,A213,$N$7:$N$56)</f>
        <v>0</v>
      </c>
      <c r="O213" s="197"/>
      <c r="P213" s="165" t="s">
        <v>1004</v>
      </c>
      <c r="Q213" s="37">
        <f t="shared" si="63"/>
        <v>0</v>
      </c>
      <c r="R213" s="37">
        <f t="shared" si="64"/>
        <v>0</v>
      </c>
    </row>
    <row r="214" spans="1:18" hidden="1" outlineLevel="1" x14ac:dyDescent="0.25">
      <c r="A214" s="189" t="s">
        <v>1334</v>
      </c>
      <c r="B214" s="252" t="s">
        <v>1335</v>
      </c>
      <c r="C214" s="190"/>
      <c r="D214" s="191"/>
      <c r="E214" s="191"/>
      <c r="F214" s="192"/>
      <c r="G214" s="192"/>
      <c r="H214" s="48"/>
      <c r="I214" s="49"/>
      <c r="J214" s="193"/>
      <c r="K214" s="172">
        <f>SUMIF($A$7:$A$56,A214,$K$7:$K$56)</f>
        <v>0</v>
      </c>
      <c r="L214" s="49"/>
      <c r="M214" s="193"/>
      <c r="N214" s="173">
        <f>SUMIF($A$7:$A$56,A214,$N$7:$N$56)</f>
        <v>0</v>
      </c>
      <c r="O214" s="194"/>
      <c r="P214" s="165" t="s">
        <v>1004</v>
      </c>
      <c r="Q214" s="37">
        <f t="shared" si="63"/>
        <v>0</v>
      </c>
      <c r="R214" s="37">
        <f t="shared" si="64"/>
        <v>0</v>
      </c>
    </row>
    <row r="215" spans="1:18" hidden="1" outlineLevel="1" x14ac:dyDescent="0.25">
      <c r="A215" s="189" t="s">
        <v>1336</v>
      </c>
      <c r="B215" s="253" t="s">
        <v>1337</v>
      </c>
      <c r="C215" s="195"/>
      <c r="D215" s="196"/>
      <c r="E215" s="196"/>
      <c r="F215" s="192"/>
      <c r="G215" s="192"/>
      <c r="H215" s="50"/>
      <c r="I215" s="49"/>
      <c r="J215" s="193"/>
      <c r="K215" s="172">
        <f>SUMIF($A$7:$A$56,A215,$K$7:$K$56)</f>
        <v>0</v>
      </c>
      <c r="L215" s="49"/>
      <c r="M215" s="193"/>
      <c r="N215" s="173">
        <f>SUMIF($A$7:$A$56,A215,$N$7:$N$56)</f>
        <v>0</v>
      </c>
      <c r="O215" s="197"/>
      <c r="P215" s="165" t="s">
        <v>1004</v>
      </c>
      <c r="Q215" s="37">
        <f t="shared" si="63"/>
        <v>0</v>
      </c>
      <c r="R215" s="37">
        <f t="shared" si="64"/>
        <v>0</v>
      </c>
    </row>
    <row r="216" spans="1:18" hidden="1" outlineLevel="1" x14ac:dyDescent="0.25">
      <c r="A216" s="189" t="s">
        <v>1338</v>
      </c>
      <c r="B216" s="252" t="s">
        <v>1339</v>
      </c>
      <c r="C216" s="190"/>
      <c r="D216" s="191"/>
      <c r="E216" s="191"/>
      <c r="F216" s="192"/>
      <c r="G216" s="192"/>
      <c r="H216" s="48"/>
      <c r="I216" s="49"/>
      <c r="J216" s="193"/>
      <c r="K216" s="172">
        <f>SUMIF($A$7:$A$56,A216,$K$7:$K$56)</f>
        <v>0</v>
      </c>
      <c r="L216" s="49"/>
      <c r="M216" s="193"/>
      <c r="N216" s="173">
        <f>SUMIF($A$7:$A$56,A216,$N$7:$N$56)</f>
        <v>0</v>
      </c>
      <c r="O216" s="194"/>
      <c r="P216" s="165" t="s">
        <v>1004</v>
      </c>
      <c r="Q216" s="37">
        <f t="shared" si="63"/>
        <v>0</v>
      </c>
      <c r="R216" s="37">
        <f t="shared" si="64"/>
        <v>0</v>
      </c>
    </row>
    <row r="217" spans="1:18" hidden="1" outlineLevel="1" x14ac:dyDescent="0.25">
      <c r="A217" s="189" t="s">
        <v>1340</v>
      </c>
      <c r="B217" s="253" t="s">
        <v>1341</v>
      </c>
      <c r="C217" s="195"/>
      <c r="D217" s="196"/>
      <c r="E217" s="196"/>
      <c r="F217" s="192"/>
      <c r="G217" s="192"/>
      <c r="H217" s="50"/>
      <c r="I217" s="49"/>
      <c r="J217" s="193"/>
      <c r="K217" s="172">
        <f>SUMIF($A$7:$A$56,A217,$K$7:$K$56)</f>
        <v>0</v>
      </c>
      <c r="L217" s="49"/>
      <c r="M217" s="193"/>
      <c r="N217" s="173">
        <f>SUMIF($A$7:$A$56,A217,$N$7:$N$56)</f>
        <v>0</v>
      </c>
      <c r="O217" s="197"/>
      <c r="P217" s="165" t="s">
        <v>1004</v>
      </c>
      <c r="Q217" s="37">
        <f t="shared" si="63"/>
        <v>0</v>
      </c>
      <c r="R217" s="37">
        <f t="shared" si="64"/>
        <v>0</v>
      </c>
    </row>
    <row r="218" spans="1:18" hidden="1" outlineLevel="1" x14ac:dyDescent="0.25">
      <c r="A218" s="189" t="s">
        <v>1342</v>
      </c>
      <c r="B218" s="252" t="s">
        <v>1343</v>
      </c>
      <c r="C218" s="190"/>
      <c r="D218" s="191"/>
      <c r="E218" s="191"/>
      <c r="F218" s="192"/>
      <c r="G218" s="192"/>
      <c r="H218" s="48"/>
      <c r="I218" s="49"/>
      <c r="J218" s="193"/>
      <c r="K218" s="172">
        <f>SUMIF($A$7:$A$56,A218,$K$7:$K$56)</f>
        <v>0</v>
      </c>
      <c r="L218" s="49"/>
      <c r="M218" s="193"/>
      <c r="N218" s="173">
        <f>SUMIF($A$7:$A$56,A218,$N$7:$N$56)</f>
        <v>0</v>
      </c>
      <c r="O218" s="194"/>
      <c r="P218" s="165" t="s">
        <v>1004</v>
      </c>
      <c r="Q218" s="37">
        <f t="shared" si="63"/>
        <v>0</v>
      </c>
      <c r="R218" s="37">
        <f t="shared" si="64"/>
        <v>0</v>
      </c>
    </row>
    <row r="219" spans="1:18" hidden="1" outlineLevel="1" x14ac:dyDescent="0.25">
      <c r="A219" s="189" t="s">
        <v>1344</v>
      </c>
      <c r="B219" s="253" t="s">
        <v>1345</v>
      </c>
      <c r="C219" s="195"/>
      <c r="D219" s="196"/>
      <c r="E219" s="196"/>
      <c r="F219" s="192"/>
      <c r="G219" s="192"/>
      <c r="H219" s="50"/>
      <c r="I219" s="49"/>
      <c r="J219" s="193"/>
      <c r="K219" s="172">
        <f>SUMIF($A$7:$A$56,A219,$K$7:$K$56)</f>
        <v>0</v>
      </c>
      <c r="L219" s="49"/>
      <c r="M219" s="193"/>
      <c r="N219" s="173">
        <f>SUMIF($A$7:$A$56,A219,$N$7:$N$56)</f>
        <v>0</v>
      </c>
      <c r="O219" s="197"/>
      <c r="P219" s="165" t="s">
        <v>1004</v>
      </c>
      <c r="Q219" s="37">
        <f t="shared" si="63"/>
        <v>0</v>
      </c>
      <c r="R219" s="37">
        <f t="shared" si="64"/>
        <v>0</v>
      </c>
    </row>
    <row r="220" spans="1:18" hidden="1" outlineLevel="1" x14ac:dyDescent="0.25">
      <c r="A220" s="189" t="s">
        <v>1346</v>
      </c>
      <c r="B220" s="252" t="s">
        <v>1347</v>
      </c>
      <c r="C220" s="190"/>
      <c r="D220" s="191"/>
      <c r="E220" s="191"/>
      <c r="F220" s="192"/>
      <c r="G220" s="192"/>
      <c r="H220" s="48"/>
      <c r="I220" s="49"/>
      <c r="J220" s="193"/>
      <c r="K220" s="172">
        <f>SUMIF($A$7:$A$56,A220,$K$7:$K$56)</f>
        <v>0</v>
      </c>
      <c r="L220" s="49"/>
      <c r="M220" s="193"/>
      <c r="N220" s="173">
        <f>SUMIF($A$7:$A$56,A220,$N$7:$N$56)</f>
        <v>0</v>
      </c>
      <c r="O220" s="194"/>
      <c r="P220" s="165" t="s">
        <v>1004</v>
      </c>
      <c r="Q220" s="37">
        <f t="shared" si="63"/>
        <v>0</v>
      </c>
      <c r="R220" s="37">
        <f t="shared" si="64"/>
        <v>0</v>
      </c>
    </row>
    <row r="221" spans="1:18" hidden="1" outlineLevel="1" x14ac:dyDescent="0.25">
      <c r="A221" s="189" t="s">
        <v>1348</v>
      </c>
      <c r="B221" s="253" t="s">
        <v>1349</v>
      </c>
      <c r="C221" s="195"/>
      <c r="D221" s="196"/>
      <c r="E221" s="196"/>
      <c r="F221" s="192"/>
      <c r="G221" s="192"/>
      <c r="H221" s="50"/>
      <c r="I221" s="49"/>
      <c r="J221" s="193"/>
      <c r="K221" s="172">
        <f>SUMIF($A$7:$A$56,A221,$K$7:$K$56)</f>
        <v>0</v>
      </c>
      <c r="L221" s="49"/>
      <c r="M221" s="193"/>
      <c r="N221" s="173">
        <f>SUMIF($A$7:$A$56,A221,$N$7:$N$56)</f>
        <v>0</v>
      </c>
      <c r="O221" s="197"/>
      <c r="P221" s="165" t="s">
        <v>1004</v>
      </c>
      <c r="Q221" s="37">
        <f t="shared" si="63"/>
        <v>0</v>
      </c>
      <c r="R221" s="37">
        <f t="shared" si="64"/>
        <v>0</v>
      </c>
    </row>
    <row r="222" spans="1:18" hidden="1" outlineLevel="1" x14ac:dyDescent="0.25">
      <c r="A222" s="189" t="s">
        <v>1350</v>
      </c>
      <c r="B222" s="252" t="s">
        <v>1351</v>
      </c>
      <c r="C222" s="190"/>
      <c r="D222" s="191"/>
      <c r="E222" s="191"/>
      <c r="F222" s="192"/>
      <c r="G222" s="192"/>
      <c r="H222" s="48"/>
      <c r="I222" s="49"/>
      <c r="J222" s="193"/>
      <c r="K222" s="172">
        <f>SUMIF($A$7:$A$56,A222,$K$7:$K$56)</f>
        <v>0</v>
      </c>
      <c r="L222" s="49"/>
      <c r="M222" s="193"/>
      <c r="N222" s="173">
        <f>SUMIF($A$7:$A$56,A222,$N$7:$N$56)</f>
        <v>0</v>
      </c>
      <c r="O222" s="194"/>
      <c r="P222" s="165" t="s">
        <v>1004</v>
      </c>
      <c r="Q222" s="37">
        <f t="shared" si="63"/>
        <v>0</v>
      </c>
      <c r="R222" s="37">
        <f t="shared" si="64"/>
        <v>0</v>
      </c>
    </row>
    <row r="223" spans="1:18" hidden="1" outlineLevel="1" x14ac:dyDescent="0.25">
      <c r="A223" s="189" t="s">
        <v>1352</v>
      </c>
      <c r="B223" s="253" t="s">
        <v>1353</v>
      </c>
      <c r="C223" s="195"/>
      <c r="D223" s="196"/>
      <c r="E223" s="196"/>
      <c r="F223" s="192"/>
      <c r="G223" s="192"/>
      <c r="H223" s="50"/>
      <c r="I223" s="49"/>
      <c r="J223" s="193"/>
      <c r="K223" s="172">
        <f>SUMIF($A$7:$A$56,A223,$K$7:$K$56)</f>
        <v>0</v>
      </c>
      <c r="L223" s="49"/>
      <c r="M223" s="193"/>
      <c r="N223" s="173">
        <f>SUMIF($A$7:$A$56,A223,$N$7:$N$56)</f>
        <v>0</v>
      </c>
      <c r="O223" s="197"/>
      <c r="P223" s="165" t="s">
        <v>1004</v>
      </c>
      <c r="Q223" s="37">
        <f t="shared" si="63"/>
        <v>0</v>
      </c>
      <c r="R223" s="37">
        <f t="shared" si="64"/>
        <v>0</v>
      </c>
    </row>
    <row r="224" spans="1:18" hidden="1" outlineLevel="1" x14ac:dyDescent="0.25">
      <c r="A224" s="189" t="s">
        <v>1354</v>
      </c>
      <c r="B224" s="252" t="s">
        <v>1355</v>
      </c>
      <c r="C224" s="190"/>
      <c r="D224" s="191"/>
      <c r="E224" s="191"/>
      <c r="F224" s="192"/>
      <c r="G224" s="192"/>
      <c r="H224" s="48"/>
      <c r="I224" s="49"/>
      <c r="J224" s="193"/>
      <c r="K224" s="172">
        <f>SUMIF($A$7:$A$56,A224,$K$7:$K$56)</f>
        <v>0</v>
      </c>
      <c r="L224" s="49"/>
      <c r="M224" s="193"/>
      <c r="N224" s="173">
        <f>SUMIF($A$7:$A$56,A224,$N$7:$N$56)</f>
        <v>0</v>
      </c>
      <c r="O224" s="194"/>
      <c r="P224" s="165" t="s">
        <v>1004</v>
      </c>
      <c r="Q224" s="37">
        <f t="shared" si="63"/>
        <v>0</v>
      </c>
      <c r="R224" s="37">
        <f t="shared" si="64"/>
        <v>0</v>
      </c>
    </row>
    <row r="225" spans="1:18" hidden="1" outlineLevel="1" x14ac:dyDescent="0.25">
      <c r="A225" s="189" t="s">
        <v>1356</v>
      </c>
      <c r="B225" s="253" t="s">
        <v>1357</v>
      </c>
      <c r="C225" s="195"/>
      <c r="D225" s="196"/>
      <c r="E225" s="196"/>
      <c r="F225" s="192"/>
      <c r="G225" s="192"/>
      <c r="H225" s="50"/>
      <c r="I225" s="49"/>
      <c r="J225" s="193"/>
      <c r="K225" s="172">
        <f>SUMIF($A$7:$A$56,A225,$K$7:$K$56)</f>
        <v>0</v>
      </c>
      <c r="L225" s="49"/>
      <c r="M225" s="193"/>
      <c r="N225" s="173">
        <f>SUMIF($A$7:$A$56,A225,$N$7:$N$56)</f>
        <v>0</v>
      </c>
      <c r="O225" s="197"/>
      <c r="P225" s="165" t="s">
        <v>1004</v>
      </c>
      <c r="Q225" s="37">
        <f t="shared" si="63"/>
        <v>0</v>
      </c>
      <c r="R225" s="37">
        <f t="shared" si="64"/>
        <v>0</v>
      </c>
    </row>
    <row r="226" spans="1:18" hidden="1" outlineLevel="1" x14ac:dyDescent="0.25">
      <c r="A226" s="189" t="s">
        <v>1358</v>
      </c>
      <c r="B226" s="252" t="s">
        <v>1359</v>
      </c>
      <c r="C226" s="190"/>
      <c r="D226" s="191"/>
      <c r="E226" s="191"/>
      <c r="F226" s="192"/>
      <c r="G226" s="192"/>
      <c r="H226" s="48"/>
      <c r="I226" s="49"/>
      <c r="J226" s="193"/>
      <c r="K226" s="172">
        <f>SUMIF($A$7:$A$56,A226,$K$7:$K$56)</f>
        <v>0</v>
      </c>
      <c r="L226" s="49"/>
      <c r="M226" s="193"/>
      <c r="N226" s="173">
        <f>SUMIF($A$7:$A$56,A226,$N$7:$N$56)</f>
        <v>0</v>
      </c>
      <c r="O226" s="194"/>
      <c r="P226" s="165" t="s">
        <v>1004</v>
      </c>
      <c r="Q226" s="37">
        <f t="shared" si="63"/>
        <v>0</v>
      </c>
      <c r="R226" s="37">
        <f t="shared" si="64"/>
        <v>0</v>
      </c>
    </row>
    <row r="227" spans="1:18" hidden="1" outlineLevel="1" x14ac:dyDescent="0.25">
      <c r="A227" s="189" t="s">
        <v>1360</v>
      </c>
      <c r="B227" s="253" t="s">
        <v>1361</v>
      </c>
      <c r="C227" s="195"/>
      <c r="D227" s="196"/>
      <c r="E227" s="196"/>
      <c r="F227" s="192"/>
      <c r="G227" s="192"/>
      <c r="H227" s="50"/>
      <c r="I227" s="49"/>
      <c r="J227" s="193"/>
      <c r="K227" s="172">
        <f>SUMIF($A$7:$A$56,A227,$K$7:$K$56)</f>
        <v>0</v>
      </c>
      <c r="L227" s="49"/>
      <c r="M227" s="193"/>
      <c r="N227" s="173">
        <f>SUMIF($A$7:$A$56,A227,$N$7:$N$56)</f>
        <v>0</v>
      </c>
      <c r="O227" s="197"/>
      <c r="P227" s="165" t="s">
        <v>1004</v>
      </c>
      <c r="Q227" s="37">
        <f t="shared" si="63"/>
        <v>0</v>
      </c>
      <c r="R227" s="37">
        <f t="shared" si="64"/>
        <v>0</v>
      </c>
    </row>
    <row r="228" spans="1:18" hidden="1" outlineLevel="1" x14ac:dyDescent="0.25">
      <c r="A228" s="189" t="s">
        <v>1362</v>
      </c>
      <c r="B228" s="252" t="s">
        <v>1363</v>
      </c>
      <c r="C228" s="190"/>
      <c r="D228" s="191"/>
      <c r="E228" s="191"/>
      <c r="F228" s="192"/>
      <c r="G228" s="192"/>
      <c r="H228" s="48"/>
      <c r="I228" s="49"/>
      <c r="J228" s="193"/>
      <c r="K228" s="172">
        <f>SUMIF($A$7:$A$56,A228,$K$7:$K$56)</f>
        <v>0</v>
      </c>
      <c r="L228" s="49"/>
      <c r="M228" s="193"/>
      <c r="N228" s="173">
        <f>SUMIF($A$7:$A$56,A228,$N$7:$N$56)</f>
        <v>0</v>
      </c>
      <c r="O228" s="194"/>
      <c r="P228" s="165" t="s">
        <v>1004</v>
      </c>
      <c r="Q228" s="37">
        <f t="shared" si="63"/>
        <v>0</v>
      </c>
      <c r="R228" s="37">
        <f t="shared" si="64"/>
        <v>0</v>
      </c>
    </row>
    <row r="229" spans="1:18" hidden="1" outlineLevel="1" x14ac:dyDescent="0.25">
      <c r="A229" s="189" t="s">
        <v>1364</v>
      </c>
      <c r="B229" s="253" t="s">
        <v>1365</v>
      </c>
      <c r="C229" s="195"/>
      <c r="D229" s="196"/>
      <c r="E229" s="196"/>
      <c r="F229" s="192"/>
      <c r="G229" s="192"/>
      <c r="H229" s="50"/>
      <c r="I229" s="49"/>
      <c r="J229" s="193"/>
      <c r="K229" s="172">
        <f>SUMIF($A$7:$A$56,A229,$K$7:$K$56)</f>
        <v>0</v>
      </c>
      <c r="L229" s="49"/>
      <c r="M229" s="193"/>
      <c r="N229" s="173">
        <f>SUMIF($A$7:$A$56,A229,$N$7:$N$56)</f>
        <v>0</v>
      </c>
      <c r="O229" s="197"/>
      <c r="P229" s="165" t="s">
        <v>1004</v>
      </c>
      <c r="Q229" s="37">
        <f t="shared" si="63"/>
        <v>0</v>
      </c>
      <c r="R229" s="37">
        <f t="shared" si="64"/>
        <v>0</v>
      </c>
    </row>
    <row r="230" spans="1:18" hidden="1" outlineLevel="1" x14ac:dyDescent="0.25">
      <c r="A230" s="189" t="s">
        <v>1025</v>
      </c>
      <c r="B230" s="252" t="s">
        <v>1025</v>
      </c>
      <c r="C230" s="190"/>
      <c r="D230" s="191"/>
      <c r="E230" s="191"/>
      <c r="F230" s="192"/>
      <c r="G230" s="192"/>
      <c r="H230" s="48"/>
      <c r="I230" s="49"/>
      <c r="J230" s="193"/>
      <c r="K230" s="172">
        <f>SUMIF($A$7:$A$56,A230,$K$7:$K$56)</f>
        <v>0</v>
      </c>
      <c r="L230" s="49"/>
      <c r="M230" s="193"/>
      <c r="N230" s="173">
        <f>SUMIF($A$7:$A$56,A230,$N$7:$N$56)</f>
        <v>0</v>
      </c>
      <c r="O230" s="194"/>
      <c r="P230" s="165" t="s">
        <v>1004</v>
      </c>
      <c r="Q230" s="37">
        <f t="shared" si="63"/>
        <v>0</v>
      </c>
      <c r="R230" s="37">
        <f t="shared" si="64"/>
        <v>0</v>
      </c>
    </row>
    <row r="231" spans="1:18" hidden="1" outlineLevel="1" x14ac:dyDescent="0.25">
      <c r="A231" s="189" t="s">
        <v>1037</v>
      </c>
      <c r="B231" s="253" t="s">
        <v>1366</v>
      </c>
      <c r="C231" s="195"/>
      <c r="D231" s="196"/>
      <c r="E231" s="196"/>
      <c r="F231" s="192"/>
      <c r="G231" s="192"/>
      <c r="H231" s="50"/>
      <c r="I231" s="49"/>
      <c r="J231" s="193"/>
      <c r="K231" s="172">
        <f>SUMIF($A$7:$A$56,A231,$K$7:$K$56)</f>
        <v>0</v>
      </c>
      <c r="L231" s="49"/>
      <c r="M231" s="193"/>
      <c r="N231" s="173">
        <f>SUMIF($A$7:$A$56,A231,$N$7:$N$56)</f>
        <v>0</v>
      </c>
      <c r="O231" s="197"/>
      <c r="P231" s="165" t="s">
        <v>1004</v>
      </c>
      <c r="Q231" s="37">
        <f t="shared" si="63"/>
        <v>0</v>
      </c>
      <c r="R231" s="37">
        <f t="shared" si="64"/>
        <v>0</v>
      </c>
    </row>
    <row r="232" spans="1:18" hidden="1" outlineLevel="1" x14ac:dyDescent="0.25">
      <c r="A232" s="189" t="s">
        <v>1044</v>
      </c>
      <c r="B232" s="252" t="s">
        <v>1367</v>
      </c>
      <c r="C232" s="190"/>
      <c r="D232" s="191"/>
      <c r="E232" s="191"/>
      <c r="F232" s="192"/>
      <c r="G232" s="192"/>
      <c r="H232" s="48"/>
      <c r="I232" s="49"/>
      <c r="J232" s="193"/>
      <c r="K232" s="172">
        <f>SUMIF($A$7:$A$56,A232,$K$7:$K$56)</f>
        <v>0</v>
      </c>
      <c r="L232" s="49"/>
      <c r="M232" s="193"/>
      <c r="N232" s="173">
        <f>SUMIF($A$7:$A$56,A232,$N$7:$N$56)</f>
        <v>0</v>
      </c>
      <c r="O232" s="194"/>
      <c r="P232" s="165" t="s">
        <v>1004</v>
      </c>
      <c r="Q232" s="37">
        <f t="shared" si="63"/>
        <v>0</v>
      </c>
      <c r="R232" s="37">
        <f t="shared" si="64"/>
        <v>0</v>
      </c>
    </row>
    <row r="233" spans="1:18" hidden="1" outlineLevel="1" x14ac:dyDescent="0.25">
      <c r="A233" s="189" t="s">
        <v>1368</v>
      </c>
      <c r="B233" s="253" t="s">
        <v>1369</v>
      </c>
      <c r="C233" s="195"/>
      <c r="D233" s="196"/>
      <c r="E233" s="196"/>
      <c r="F233" s="192"/>
      <c r="G233" s="192"/>
      <c r="H233" s="50"/>
      <c r="I233" s="49"/>
      <c r="J233" s="193"/>
      <c r="K233" s="172">
        <f>SUMIF($A$7:$A$56,A233,$K$7:$K$56)</f>
        <v>0</v>
      </c>
      <c r="L233" s="49"/>
      <c r="M233" s="193"/>
      <c r="N233" s="173">
        <f>SUMIF($A$7:$A$56,A233,$N$7:$N$56)</f>
        <v>0</v>
      </c>
      <c r="O233" s="197"/>
      <c r="P233" s="165" t="s">
        <v>1004</v>
      </c>
      <c r="Q233" s="37">
        <f t="shared" si="63"/>
        <v>0</v>
      </c>
      <c r="R233" s="37">
        <f t="shared" si="64"/>
        <v>0</v>
      </c>
    </row>
    <row r="234" spans="1:18" ht="15.75" hidden="1" outlineLevel="1" thickBot="1" x14ac:dyDescent="0.3">
      <c r="A234" s="189" t="s">
        <v>1370</v>
      </c>
      <c r="B234" s="252" t="s">
        <v>1371</v>
      </c>
      <c r="C234" s="190"/>
      <c r="D234" s="191"/>
      <c r="E234" s="191"/>
      <c r="F234" s="192"/>
      <c r="G234" s="192"/>
      <c r="H234" s="48"/>
      <c r="I234" s="49"/>
      <c r="J234" s="193"/>
      <c r="K234" s="172">
        <f>SUMIF($A$7:$A$56,A234,$K$7:$K$56)</f>
        <v>0</v>
      </c>
      <c r="L234" s="49"/>
      <c r="M234" s="193"/>
      <c r="N234" s="173">
        <f>SUMIF($A$7:$A$56,A234,$N$7:$N$56)</f>
        <v>0</v>
      </c>
      <c r="O234" s="194"/>
      <c r="P234" s="165" t="s">
        <v>1004</v>
      </c>
      <c r="Q234" s="37">
        <f t="shared" si="63"/>
        <v>0</v>
      </c>
      <c r="R234" s="37">
        <f t="shared" si="64"/>
        <v>0</v>
      </c>
    </row>
    <row r="235" spans="1:18" ht="15.75" collapsed="1" thickBot="1" x14ac:dyDescent="0.25">
      <c r="A235" s="198" t="s">
        <v>1372</v>
      </c>
      <c r="B235" s="198" t="s">
        <v>1373</v>
      </c>
      <c r="C235" s="199"/>
      <c r="D235" s="200"/>
      <c r="E235" s="200"/>
      <c r="F235" s="201"/>
      <c r="G235" s="201"/>
      <c r="H235" s="51"/>
      <c r="I235" s="52"/>
      <c r="J235" s="202"/>
      <c r="K235" s="53">
        <f>SUM(K76:K234)</f>
        <v>0</v>
      </c>
      <c r="L235" s="52"/>
      <c r="M235" s="202"/>
      <c r="N235" s="53">
        <f>SUM(N76:N234)</f>
        <v>0</v>
      </c>
      <c r="O235" s="203"/>
      <c r="P235" s="203"/>
      <c r="Q235" s="53">
        <f>SUM(Q76:Q234)</f>
        <v>0</v>
      </c>
      <c r="R235" s="53">
        <f>SUM(R76:R234)</f>
        <v>0</v>
      </c>
    </row>
  </sheetData>
  <phoneticPr fontId="49" type="noConversion"/>
  <conditionalFormatting sqref="P7:P67">
    <cfRule type="containsText" dxfId="8" priority="4" operator="containsText" text="C">
      <formula>NOT(ISERROR(SEARCH("C",P7)))</formula>
    </cfRule>
    <cfRule type="containsText" dxfId="7" priority="5" operator="containsText" text="B">
      <formula>NOT(ISERROR(SEARCH("B",P7)))</formula>
    </cfRule>
    <cfRule type="containsText" dxfId="6" priority="6" operator="containsText" text="A">
      <formula>NOT(ISERROR(SEARCH("A",P7)))</formula>
    </cfRule>
  </conditionalFormatting>
  <conditionalFormatting sqref="Q74">
    <cfRule type="containsText" dxfId="5" priority="1" operator="containsText" text="C">
      <formula>NOT(ISERROR(SEARCH("C",Q74)))</formula>
    </cfRule>
    <cfRule type="containsText" dxfId="4" priority="2" operator="containsText" text="B">
      <formula>NOT(ISERROR(SEARCH("B",Q74)))</formula>
    </cfRule>
    <cfRule type="containsText" dxfId="3" priority="3" operator="containsText" text="A">
      <formula>NOT(ISERROR(SEARCH("A",Q74)))</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542"/>
  <sheetViews>
    <sheetView zoomScaleNormal="100" workbookViewId="0">
      <selection activeCell="J549" sqref="J549"/>
    </sheetView>
  </sheetViews>
  <sheetFormatPr defaultColWidth="8.7109375" defaultRowHeight="15" outlineLevelRow="2" x14ac:dyDescent="0.25"/>
  <cols>
    <col min="1" max="1" width="10.85546875" style="22" customWidth="1"/>
    <col min="2" max="2" width="10" style="23" customWidth="1"/>
    <col min="3" max="3" width="6" style="23" customWidth="1"/>
    <col min="4" max="4" width="56" style="391" customWidth="1"/>
    <col min="5" max="5" width="7" style="23" customWidth="1"/>
    <col min="6" max="6" width="11" style="23" customWidth="1"/>
    <col min="7" max="7" width="12" style="23" customWidth="1"/>
    <col min="8" max="8" width="12" style="334" customWidth="1"/>
    <col min="9" max="9" width="12" style="23" customWidth="1"/>
    <col min="10" max="10" width="14" style="334" customWidth="1"/>
    <col min="11" max="11" width="16" style="334" customWidth="1"/>
    <col min="12" max="12" width="11" style="23" customWidth="1"/>
    <col min="13" max="13" width="14" style="334" customWidth="1"/>
    <col min="14" max="14" width="16" style="334" customWidth="1"/>
    <col min="15" max="15" width="14" style="23" customWidth="1"/>
    <col min="16" max="16" width="10" style="23" customWidth="1"/>
    <col min="17" max="17" width="18" style="334" customWidth="1"/>
    <col min="18" max="18" width="13" style="334" customWidth="1"/>
    <col min="19" max="16384" width="8.7109375" style="23"/>
  </cols>
  <sheetData>
    <row r="1" spans="1:20" x14ac:dyDescent="0.25">
      <c r="A1" s="22" t="s">
        <v>1001</v>
      </c>
      <c r="L1" s="23" t="s">
        <v>1002</v>
      </c>
      <c r="Q1" s="334" t="s">
        <v>1003</v>
      </c>
    </row>
    <row r="2" spans="1:20" x14ac:dyDescent="0.25">
      <c r="Q2" s="357" t="s">
        <v>1004</v>
      </c>
      <c r="R2" s="334">
        <v>0.2</v>
      </c>
      <c r="S2" s="263"/>
      <c r="T2" s="263"/>
    </row>
    <row r="3" spans="1:20" x14ac:dyDescent="0.25">
      <c r="A3" s="22" t="s">
        <v>1622</v>
      </c>
      <c r="Q3" s="358" t="s">
        <v>1006</v>
      </c>
      <c r="R3" s="334">
        <v>0.1</v>
      </c>
      <c r="S3" s="263"/>
      <c r="T3" s="263"/>
    </row>
    <row r="4" spans="1:20" x14ac:dyDescent="0.25">
      <c r="A4" s="22" t="s">
        <v>616</v>
      </c>
      <c r="Q4" s="359" t="s">
        <v>1008</v>
      </c>
      <c r="S4" s="304"/>
      <c r="T4" s="263"/>
    </row>
    <row r="5" spans="1:20" x14ac:dyDescent="0.25">
      <c r="S5" s="263"/>
      <c r="T5" s="263"/>
    </row>
    <row r="6" spans="1:20" ht="38.25" x14ac:dyDescent="0.25">
      <c r="A6" s="322" t="s">
        <v>618</v>
      </c>
      <c r="B6" s="322" t="s">
        <v>619</v>
      </c>
      <c r="C6" s="322" t="s">
        <v>620</v>
      </c>
      <c r="D6" s="321" t="s">
        <v>622</v>
      </c>
      <c r="E6" s="323" t="s">
        <v>623</v>
      </c>
      <c r="F6" s="305" t="s">
        <v>1009</v>
      </c>
      <c r="G6" s="305" t="s">
        <v>1010</v>
      </c>
      <c r="H6" s="365" t="s">
        <v>624</v>
      </c>
      <c r="I6" s="306" t="s">
        <v>1011</v>
      </c>
      <c r="J6" s="374" t="s">
        <v>1012</v>
      </c>
      <c r="K6" s="335" t="s">
        <v>1013</v>
      </c>
      <c r="L6" s="306" t="s">
        <v>1014</v>
      </c>
      <c r="M6" s="374" t="s">
        <v>1015</v>
      </c>
      <c r="N6" s="348" t="s">
        <v>1016</v>
      </c>
      <c r="O6" s="306" t="s">
        <v>630</v>
      </c>
      <c r="P6" s="307" t="s">
        <v>1017</v>
      </c>
      <c r="Q6" s="360" t="s">
        <v>1375</v>
      </c>
      <c r="R6" s="360" t="s">
        <v>1937</v>
      </c>
      <c r="S6" s="23" t="s">
        <v>1007</v>
      </c>
    </row>
    <row r="7" spans="1:20" x14ac:dyDescent="0.25">
      <c r="A7" s="329" t="s">
        <v>1352</v>
      </c>
      <c r="B7" s="325" t="s">
        <v>1939</v>
      </c>
      <c r="C7" s="320"/>
      <c r="D7" s="327" t="s">
        <v>2042</v>
      </c>
      <c r="E7" s="319"/>
      <c r="F7" s="317"/>
      <c r="G7" s="317"/>
      <c r="H7" s="366">
        <f t="shared" ref="H7" si="0">+SUM(F7:G7)</f>
        <v>0</v>
      </c>
      <c r="I7" s="312"/>
      <c r="J7" s="375">
        <f t="shared" ref="J7" si="1">+ROUND(I7*H7,2)</f>
        <v>0</v>
      </c>
      <c r="K7" s="336">
        <f t="shared" ref="K7:K12" si="2">J7</f>
        <v>0</v>
      </c>
      <c r="L7" s="312"/>
      <c r="M7" s="375">
        <f t="shared" ref="M7" si="3">+ROUND(L7*H7,2)</f>
        <v>0</v>
      </c>
      <c r="N7" s="349">
        <f t="shared" ref="N7:N12" si="4">M7</f>
        <v>0</v>
      </c>
      <c r="O7" s="319"/>
      <c r="P7" s="128" t="s">
        <v>1004</v>
      </c>
      <c r="Q7" s="361">
        <f t="shared" ref="Q7:Q20" si="5">+ROUND((K7)*(1+SUMIF($Q$2:$Q$4,P7,$R$2:$R$4)),0)</f>
        <v>0</v>
      </c>
      <c r="R7" s="361">
        <f t="shared" ref="R7:R20" si="6">+ROUND((N7)*(1+SUMIF($Q$2:$Q$4,P7,$R$2:$R$4)),0)</f>
        <v>0</v>
      </c>
      <c r="S7" s="166"/>
      <c r="T7" s="166"/>
    </row>
    <row r="8" spans="1:20" hidden="1" outlineLevel="1" x14ac:dyDescent="0.25">
      <c r="A8" s="329" t="s">
        <v>1352</v>
      </c>
      <c r="B8" s="325" t="s">
        <v>1939</v>
      </c>
      <c r="C8" s="320">
        <v>1</v>
      </c>
      <c r="D8" s="327" t="s">
        <v>1940</v>
      </c>
      <c r="E8" s="319"/>
      <c r="F8" s="317"/>
      <c r="G8" s="317"/>
      <c r="H8" s="366">
        <f t="shared" ref="H8:H12" si="7">+SUM(F8:G8)</f>
        <v>0</v>
      </c>
      <c r="I8" s="312"/>
      <c r="J8" s="375">
        <f t="shared" ref="J8:J12" si="8">+ROUND(I8*H8,2)</f>
        <v>0</v>
      </c>
      <c r="K8" s="336">
        <f t="shared" si="2"/>
        <v>0</v>
      </c>
      <c r="L8" s="312"/>
      <c r="M8" s="375">
        <f t="shared" ref="M8:M12" si="9">+ROUND(L8*H8,2)</f>
        <v>0</v>
      </c>
      <c r="N8" s="349">
        <f t="shared" si="4"/>
        <v>0</v>
      </c>
      <c r="O8" s="319"/>
      <c r="P8" s="128" t="s">
        <v>1004</v>
      </c>
      <c r="Q8" s="361">
        <f t="shared" si="5"/>
        <v>0</v>
      </c>
      <c r="R8" s="361">
        <f t="shared" si="6"/>
        <v>0</v>
      </c>
      <c r="S8" s="166"/>
      <c r="T8" s="166"/>
    </row>
    <row r="9" spans="1:20" hidden="1" outlineLevel="2" x14ac:dyDescent="0.25">
      <c r="A9" s="329" t="s">
        <v>1352</v>
      </c>
      <c r="B9" s="325" t="str">
        <f t="shared" ref="B9:B14" si="10">+B8</f>
        <v>SECT5.2/7</v>
      </c>
      <c r="C9" s="320">
        <v>1.1000000000000001</v>
      </c>
      <c r="D9" s="327" t="s">
        <v>1941</v>
      </c>
      <c r="E9" s="319"/>
      <c r="F9" s="317"/>
      <c r="G9" s="317"/>
      <c r="H9" s="366">
        <f t="shared" si="7"/>
        <v>0</v>
      </c>
      <c r="I9" s="312"/>
      <c r="J9" s="375">
        <f t="shared" si="8"/>
        <v>0</v>
      </c>
      <c r="K9" s="336">
        <f t="shared" si="2"/>
        <v>0</v>
      </c>
      <c r="L9" s="312"/>
      <c r="M9" s="375">
        <f t="shared" si="9"/>
        <v>0</v>
      </c>
      <c r="N9" s="349">
        <f t="shared" si="4"/>
        <v>0</v>
      </c>
      <c r="O9" s="319"/>
      <c r="P9" s="128" t="s">
        <v>1004</v>
      </c>
      <c r="Q9" s="361">
        <f t="shared" si="5"/>
        <v>0</v>
      </c>
      <c r="R9" s="361">
        <f t="shared" si="6"/>
        <v>0</v>
      </c>
      <c r="S9" s="166"/>
      <c r="T9" s="166"/>
    </row>
    <row r="10" spans="1:20" ht="24" hidden="1" outlineLevel="2" x14ac:dyDescent="0.25">
      <c r="A10" s="329" t="s">
        <v>1352</v>
      </c>
      <c r="B10" s="325" t="str">
        <f t="shared" si="10"/>
        <v>SECT5.2/7</v>
      </c>
      <c r="C10" s="320" t="s">
        <v>1382</v>
      </c>
      <c r="D10" s="324" t="s">
        <v>1702</v>
      </c>
      <c r="E10" s="320" t="s">
        <v>1384</v>
      </c>
      <c r="F10" s="312"/>
      <c r="G10" s="312"/>
      <c r="H10" s="366">
        <f t="shared" si="7"/>
        <v>0</v>
      </c>
      <c r="I10" s="312"/>
      <c r="J10" s="375">
        <f t="shared" si="8"/>
        <v>0</v>
      </c>
      <c r="K10" s="336">
        <f t="shared" si="2"/>
        <v>0</v>
      </c>
      <c r="L10" s="312"/>
      <c r="M10" s="375">
        <f t="shared" si="9"/>
        <v>0</v>
      </c>
      <c r="N10" s="349">
        <f t="shared" si="4"/>
        <v>0</v>
      </c>
      <c r="O10" s="310"/>
      <c r="P10" s="128" t="s">
        <v>1004</v>
      </c>
      <c r="Q10" s="361">
        <f t="shared" si="5"/>
        <v>0</v>
      </c>
      <c r="R10" s="361">
        <f t="shared" si="6"/>
        <v>0</v>
      </c>
      <c r="S10" s="166"/>
      <c r="T10" s="166"/>
    </row>
    <row r="11" spans="1:20" hidden="1" outlineLevel="2" x14ac:dyDescent="0.25">
      <c r="A11" s="329" t="s">
        <v>1352</v>
      </c>
      <c r="B11" s="325" t="str">
        <f t="shared" si="10"/>
        <v>SECT5.2/7</v>
      </c>
      <c r="C11" s="320" t="s">
        <v>1385</v>
      </c>
      <c r="D11" s="324" t="s">
        <v>1623</v>
      </c>
      <c r="E11" s="320" t="s">
        <v>1384</v>
      </c>
      <c r="F11" s="312"/>
      <c r="G11" s="312"/>
      <c r="H11" s="366">
        <f t="shared" si="7"/>
        <v>0</v>
      </c>
      <c r="I11" s="312"/>
      <c r="J11" s="375">
        <f t="shared" si="8"/>
        <v>0</v>
      </c>
      <c r="K11" s="336">
        <f t="shared" si="2"/>
        <v>0</v>
      </c>
      <c r="L11" s="312"/>
      <c r="M11" s="375">
        <f t="shared" si="9"/>
        <v>0</v>
      </c>
      <c r="N11" s="349">
        <f t="shared" si="4"/>
        <v>0</v>
      </c>
      <c r="O11" s="310"/>
      <c r="P11" s="128" t="s">
        <v>1004</v>
      </c>
      <c r="Q11" s="361">
        <f t="shared" si="5"/>
        <v>0</v>
      </c>
      <c r="R11" s="361">
        <f t="shared" si="6"/>
        <v>0</v>
      </c>
      <c r="S11" s="166"/>
      <c r="T11" s="166"/>
    </row>
    <row r="12" spans="1:20" hidden="1" outlineLevel="2" x14ac:dyDescent="0.25">
      <c r="A12" s="329" t="s">
        <v>1352</v>
      </c>
      <c r="B12" s="325" t="str">
        <f t="shared" si="10"/>
        <v>SECT5.2/7</v>
      </c>
      <c r="C12" s="320">
        <v>1.2</v>
      </c>
      <c r="D12" s="327" t="s">
        <v>1942</v>
      </c>
      <c r="E12" s="319"/>
      <c r="F12" s="317"/>
      <c r="G12" s="317"/>
      <c r="H12" s="366">
        <f t="shared" si="7"/>
        <v>0</v>
      </c>
      <c r="I12" s="312"/>
      <c r="J12" s="375">
        <f t="shared" si="8"/>
        <v>0</v>
      </c>
      <c r="K12" s="336">
        <f t="shared" si="2"/>
        <v>0</v>
      </c>
      <c r="L12" s="312"/>
      <c r="M12" s="375">
        <f t="shared" si="9"/>
        <v>0</v>
      </c>
      <c r="N12" s="349">
        <f t="shared" si="4"/>
        <v>0</v>
      </c>
      <c r="O12" s="319"/>
      <c r="P12" s="128" t="s">
        <v>1004</v>
      </c>
      <c r="Q12" s="361">
        <f t="shared" si="5"/>
        <v>0</v>
      </c>
      <c r="R12" s="361">
        <f t="shared" si="6"/>
        <v>0</v>
      </c>
      <c r="S12" s="180"/>
      <c r="T12" s="180"/>
    </row>
    <row r="13" spans="1:20" ht="30.75" hidden="1" customHeight="1" outlineLevel="2" x14ac:dyDescent="0.25">
      <c r="A13" s="329" t="s">
        <v>1352</v>
      </c>
      <c r="B13" s="325" t="str">
        <f t="shared" si="10"/>
        <v>SECT5.2/7</v>
      </c>
      <c r="C13" s="320" t="s">
        <v>1390</v>
      </c>
      <c r="D13" s="324" t="s">
        <v>1943</v>
      </c>
      <c r="E13" s="320" t="s">
        <v>1384</v>
      </c>
      <c r="F13" s="312"/>
      <c r="G13" s="312"/>
      <c r="H13" s="366">
        <f t="shared" ref="H13:H20" si="11">+SUM(F13:G13)</f>
        <v>0</v>
      </c>
      <c r="I13" s="312"/>
      <c r="J13" s="375">
        <f t="shared" ref="J13:J20" si="12">+ROUND(I13*H13,2)</f>
        <v>0</v>
      </c>
      <c r="K13" s="336">
        <f t="shared" ref="K13:K20" si="13">J13</f>
        <v>0</v>
      </c>
      <c r="L13" s="312"/>
      <c r="M13" s="375">
        <f t="shared" ref="M13:M20" si="14">+ROUND(L13*H13,2)</f>
        <v>0</v>
      </c>
      <c r="N13" s="349">
        <f t="shared" ref="N13:N20" si="15">M13</f>
        <v>0</v>
      </c>
      <c r="O13" s="310"/>
      <c r="P13" s="128" t="s">
        <v>1004</v>
      </c>
      <c r="Q13" s="361">
        <f t="shared" si="5"/>
        <v>0</v>
      </c>
      <c r="R13" s="361">
        <f t="shared" si="6"/>
        <v>0</v>
      </c>
      <c r="S13" s="180"/>
      <c r="T13" s="180"/>
    </row>
    <row r="14" spans="1:20" hidden="1" outlineLevel="2" x14ac:dyDescent="0.25">
      <c r="A14" s="329" t="s">
        <v>1352</v>
      </c>
      <c r="B14" s="325" t="str">
        <f t="shared" si="10"/>
        <v>SECT5.2/7</v>
      </c>
      <c r="C14" s="320">
        <v>1.3</v>
      </c>
      <c r="D14" s="327" t="s">
        <v>1944</v>
      </c>
      <c r="E14" s="319"/>
      <c r="F14" s="317"/>
      <c r="G14" s="317"/>
      <c r="H14" s="366">
        <f t="shared" si="11"/>
        <v>0</v>
      </c>
      <c r="I14" s="318"/>
      <c r="J14" s="375">
        <f t="shared" si="12"/>
        <v>0</v>
      </c>
      <c r="K14" s="337">
        <f t="shared" si="13"/>
        <v>0</v>
      </c>
      <c r="L14" s="318"/>
      <c r="M14" s="375">
        <f t="shared" si="14"/>
        <v>0</v>
      </c>
      <c r="N14" s="350">
        <f t="shared" si="15"/>
        <v>0</v>
      </c>
      <c r="O14" s="319"/>
      <c r="P14" s="128" t="s">
        <v>1004</v>
      </c>
      <c r="Q14" s="361">
        <f t="shared" si="5"/>
        <v>0</v>
      </c>
      <c r="R14" s="361">
        <f t="shared" si="6"/>
        <v>0</v>
      </c>
      <c r="S14" s="180"/>
      <c r="T14" s="180"/>
    </row>
    <row r="15" spans="1:20" ht="24" hidden="1" outlineLevel="2" x14ac:dyDescent="0.25">
      <c r="A15" s="329" t="s">
        <v>1352</v>
      </c>
      <c r="B15" s="325" t="s">
        <v>1939</v>
      </c>
      <c r="C15" s="320" t="s">
        <v>1624</v>
      </c>
      <c r="D15" s="324" t="s">
        <v>1945</v>
      </c>
      <c r="E15" s="320" t="s">
        <v>1384</v>
      </c>
      <c r="F15" s="312"/>
      <c r="G15" s="312"/>
      <c r="H15" s="366">
        <f t="shared" si="11"/>
        <v>0</v>
      </c>
      <c r="I15" s="312"/>
      <c r="J15" s="375">
        <f t="shared" si="12"/>
        <v>0</v>
      </c>
      <c r="K15" s="336">
        <f t="shared" si="13"/>
        <v>0</v>
      </c>
      <c r="L15" s="312"/>
      <c r="M15" s="375">
        <f t="shared" si="14"/>
        <v>0</v>
      </c>
      <c r="N15" s="349">
        <f t="shared" si="15"/>
        <v>0</v>
      </c>
      <c r="O15" s="310"/>
      <c r="P15" s="128" t="s">
        <v>1004</v>
      </c>
      <c r="Q15" s="361">
        <f t="shared" si="5"/>
        <v>0</v>
      </c>
      <c r="R15" s="361">
        <f t="shared" si="6"/>
        <v>0</v>
      </c>
      <c r="S15" s="180"/>
      <c r="T15" s="180"/>
    </row>
    <row r="16" spans="1:20" hidden="1" outlineLevel="2" x14ac:dyDescent="0.25">
      <c r="A16" s="329" t="s">
        <v>1352</v>
      </c>
      <c r="B16" s="325" t="s">
        <v>1939</v>
      </c>
      <c r="C16" s="320" t="s">
        <v>1625</v>
      </c>
      <c r="D16" s="324" t="s">
        <v>1626</v>
      </c>
      <c r="E16" s="320" t="s">
        <v>1384</v>
      </c>
      <c r="F16" s="312"/>
      <c r="G16" s="312"/>
      <c r="H16" s="366">
        <f t="shared" si="11"/>
        <v>0</v>
      </c>
      <c r="I16" s="312"/>
      <c r="J16" s="375">
        <f t="shared" si="12"/>
        <v>0</v>
      </c>
      <c r="K16" s="336">
        <f t="shared" si="13"/>
        <v>0</v>
      </c>
      <c r="L16" s="312"/>
      <c r="M16" s="375">
        <f t="shared" si="14"/>
        <v>0</v>
      </c>
      <c r="N16" s="349">
        <f t="shared" si="15"/>
        <v>0</v>
      </c>
      <c r="O16" s="310"/>
      <c r="P16" s="128" t="s">
        <v>1004</v>
      </c>
      <c r="Q16" s="361">
        <f t="shared" si="5"/>
        <v>0</v>
      </c>
      <c r="R16" s="361">
        <f t="shared" si="6"/>
        <v>0</v>
      </c>
      <c r="S16" s="180"/>
      <c r="T16" s="180"/>
    </row>
    <row r="17" spans="1:20" hidden="1" outlineLevel="2" x14ac:dyDescent="0.25">
      <c r="A17" s="329" t="s">
        <v>1352</v>
      </c>
      <c r="B17" s="325" t="s">
        <v>1939</v>
      </c>
      <c r="C17" s="320">
        <v>1.4</v>
      </c>
      <c r="D17" s="327" t="s">
        <v>1946</v>
      </c>
      <c r="E17" s="319"/>
      <c r="F17" s="317"/>
      <c r="G17" s="317"/>
      <c r="H17" s="366">
        <f t="shared" si="11"/>
        <v>0</v>
      </c>
      <c r="I17" s="318"/>
      <c r="J17" s="375">
        <f t="shared" si="12"/>
        <v>0</v>
      </c>
      <c r="K17" s="337">
        <f t="shared" si="13"/>
        <v>0</v>
      </c>
      <c r="L17" s="318"/>
      <c r="M17" s="375">
        <f t="shared" si="14"/>
        <v>0</v>
      </c>
      <c r="N17" s="350">
        <f t="shared" si="15"/>
        <v>0</v>
      </c>
      <c r="O17" s="319"/>
      <c r="P17" s="128" t="s">
        <v>1004</v>
      </c>
      <c r="Q17" s="361">
        <f t="shared" si="5"/>
        <v>0</v>
      </c>
      <c r="R17" s="361">
        <f t="shared" si="6"/>
        <v>0</v>
      </c>
      <c r="S17" s="180"/>
      <c r="T17" s="180"/>
    </row>
    <row r="18" spans="1:20" hidden="1" outlineLevel="2" x14ac:dyDescent="0.25">
      <c r="A18" s="329" t="s">
        <v>1352</v>
      </c>
      <c r="B18" s="325" t="s">
        <v>1939</v>
      </c>
      <c r="C18" s="320" t="s">
        <v>1627</v>
      </c>
      <c r="D18" s="324" t="s">
        <v>1947</v>
      </c>
      <c r="E18" s="320" t="s">
        <v>1384</v>
      </c>
      <c r="F18" s="312"/>
      <c r="G18" s="312"/>
      <c r="H18" s="366">
        <f t="shared" si="11"/>
        <v>0</v>
      </c>
      <c r="I18" s="312"/>
      <c r="J18" s="375">
        <f t="shared" si="12"/>
        <v>0</v>
      </c>
      <c r="K18" s="336">
        <f t="shared" si="13"/>
        <v>0</v>
      </c>
      <c r="L18" s="312"/>
      <c r="M18" s="375">
        <f t="shared" si="14"/>
        <v>0</v>
      </c>
      <c r="N18" s="349">
        <f t="shared" si="15"/>
        <v>0</v>
      </c>
      <c r="O18" s="310"/>
      <c r="P18" s="128" t="s">
        <v>1004</v>
      </c>
      <c r="Q18" s="361">
        <f t="shared" si="5"/>
        <v>0</v>
      </c>
      <c r="R18" s="361">
        <f t="shared" si="6"/>
        <v>0</v>
      </c>
      <c r="S18" s="180"/>
      <c r="T18" s="180"/>
    </row>
    <row r="19" spans="1:20" hidden="1" outlineLevel="2" x14ac:dyDescent="0.25">
      <c r="A19" s="329" t="s">
        <v>1352</v>
      </c>
      <c r="B19" s="325" t="s">
        <v>1939</v>
      </c>
      <c r="C19" s="320" t="s">
        <v>1948</v>
      </c>
      <c r="D19" s="324" t="s">
        <v>1947</v>
      </c>
      <c r="E19" s="320" t="s">
        <v>1384</v>
      </c>
      <c r="F19" s="312"/>
      <c r="G19" s="312"/>
      <c r="H19" s="366">
        <f t="shared" si="11"/>
        <v>0</v>
      </c>
      <c r="I19" s="312"/>
      <c r="J19" s="375">
        <f t="shared" si="12"/>
        <v>0</v>
      </c>
      <c r="K19" s="336">
        <f t="shared" si="13"/>
        <v>0</v>
      </c>
      <c r="L19" s="312"/>
      <c r="M19" s="375">
        <f t="shared" si="14"/>
        <v>0</v>
      </c>
      <c r="N19" s="349">
        <f t="shared" si="15"/>
        <v>0</v>
      </c>
      <c r="O19" s="310"/>
      <c r="P19" s="128" t="s">
        <v>1004</v>
      </c>
      <c r="Q19" s="361">
        <f t="shared" si="5"/>
        <v>0</v>
      </c>
      <c r="R19" s="361">
        <f t="shared" si="6"/>
        <v>0</v>
      </c>
      <c r="S19" s="166"/>
      <c r="T19" s="166"/>
    </row>
    <row r="20" spans="1:20" hidden="1" outlineLevel="2" x14ac:dyDescent="0.25">
      <c r="A20" s="329" t="s">
        <v>1352</v>
      </c>
      <c r="B20" s="325" t="s">
        <v>1939</v>
      </c>
      <c r="C20" s="320" t="s">
        <v>1949</v>
      </c>
      <c r="D20" s="324" t="s">
        <v>1947</v>
      </c>
      <c r="E20" s="320" t="s">
        <v>1384</v>
      </c>
      <c r="F20" s="312"/>
      <c r="G20" s="312"/>
      <c r="H20" s="366">
        <f t="shared" si="11"/>
        <v>0</v>
      </c>
      <c r="I20" s="312"/>
      <c r="J20" s="375">
        <f t="shared" si="12"/>
        <v>0</v>
      </c>
      <c r="K20" s="336">
        <f t="shared" si="13"/>
        <v>0</v>
      </c>
      <c r="L20" s="312"/>
      <c r="M20" s="375">
        <f t="shared" si="14"/>
        <v>0</v>
      </c>
      <c r="N20" s="349">
        <f t="shared" si="15"/>
        <v>0</v>
      </c>
      <c r="O20" s="310"/>
      <c r="P20" s="128" t="s">
        <v>1004</v>
      </c>
      <c r="Q20" s="361">
        <f t="shared" si="5"/>
        <v>0</v>
      </c>
      <c r="R20" s="361">
        <f t="shared" si="6"/>
        <v>0</v>
      </c>
      <c r="S20" s="166"/>
      <c r="T20" s="166"/>
    </row>
    <row r="21" spans="1:20" hidden="1" outlineLevel="1" collapsed="1" x14ac:dyDescent="0.25">
      <c r="A21" s="331" t="s">
        <v>1022</v>
      </c>
      <c r="B21" s="314" t="s">
        <v>1939</v>
      </c>
      <c r="C21" s="315"/>
      <c r="D21" s="326" t="s">
        <v>1950</v>
      </c>
      <c r="E21" s="315"/>
      <c r="F21" s="313"/>
      <c r="G21" s="313"/>
      <c r="H21" s="367"/>
      <c r="I21" s="313"/>
      <c r="J21" s="362">
        <f>SUM(J8:J20)</f>
        <v>0</v>
      </c>
      <c r="K21" s="338">
        <f>SUM(K8:K20)</f>
        <v>0</v>
      </c>
      <c r="L21" s="313"/>
      <c r="M21" s="362">
        <f>SUM(M8:M20)</f>
        <v>0</v>
      </c>
      <c r="N21" s="338">
        <f>SUM(N8:N20)</f>
        <v>0</v>
      </c>
      <c r="O21" s="314"/>
      <c r="P21" s="128"/>
      <c r="Q21" s="362">
        <f>SUM(Q8:Q20)</f>
        <v>0</v>
      </c>
      <c r="R21" s="362">
        <f>SUM(R8:R20)</f>
        <v>0</v>
      </c>
      <c r="S21" s="166"/>
      <c r="T21" s="166"/>
    </row>
    <row r="22" spans="1:20" hidden="1" outlineLevel="1" x14ac:dyDescent="0.25">
      <c r="A22" s="329" t="s">
        <v>1340</v>
      </c>
      <c r="B22" s="325" t="s">
        <v>1951</v>
      </c>
      <c r="C22" s="320">
        <v>2</v>
      </c>
      <c r="D22" s="327" t="s">
        <v>1952</v>
      </c>
      <c r="E22" s="320"/>
      <c r="F22" s="317"/>
      <c r="G22" s="317"/>
      <c r="H22" s="366">
        <f t="shared" ref="H22:H27" si="16">+SUM(F22:G22)</f>
        <v>0</v>
      </c>
      <c r="I22" s="318"/>
      <c r="J22" s="375">
        <f t="shared" ref="J22:J27" si="17">+ROUND(I22*H22,2)</f>
        <v>0</v>
      </c>
      <c r="K22" s="336">
        <f t="shared" ref="K22:K27" si="18">J22</f>
        <v>0</v>
      </c>
      <c r="L22" s="318"/>
      <c r="M22" s="375">
        <f t="shared" ref="M22:M27" si="19">+ROUND(L22*H22,2)</f>
        <v>0</v>
      </c>
      <c r="N22" s="349">
        <f t="shared" ref="N22:N27" si="20">M22</f>
        <v>0</v>
      </c>
      <c r="O22" s="319"/>
      <c r="P22" s="128" t="s">
        <v>1004</v>
      </c>
      <c r="Q22" s="361">
        <f t="shared" ref="Q22:Q27" si="21">+ROUND((K22)*(1+SUMIF($Q$2:$Q$4,P22,$R$2:$R$4)),0)</f>
        <v>0</v>
      </c>
      <c r="R22" s="361">
        <f t="shared" ref="R22:R27" si="22">+ROUND((N22)*(1+SUMIF($Q$2:$Q$4,P22,$R$2:$R$4)),0)</f>
        <v>0</v>
      </c>
      <c r="S22" s="166"/>
      <c r="T22" s="166"/>
    </row>
    <row r="23" spans="1:20" hidden="1" outlineLevel="2" x14ac:dyDescent="0.25">
      <c r="A23" s="329" t="s">
        <v>1340</v>
      </c>
      <c r="B23" s="325" t="s">
        <v>1951</v>
      </c>
      <c r="C23" s="320">
        <v>2.1</v>
      </c>
      <c r="D23" s="327" t="s">
        <v>1953</v>
      </c>
      <c r="E23" s="320" t="s">
        <v>1384</v>
      </c>
      <c r="F23" s="312"/>
      <c r="G23" s="312"/>
      <c r="H23" s="366">
        <f t="shared" si="16"/>
        <v>0</v>
      </c>
      <c r="I23" s="312"/>
      <c r="J23" s="375">
        <f t="shared" si="17"/>
        <v>0</v>
      </c>
      <c r="K23" s="336">
        <f t="shared" si="18"/>
        <v>0</v>
      </c>
      <c r="L23" s="312"/>
      <c r="M23" s="375">
        <f t="shared" si="19"/>
        <v>0</v>
      </c>
      <c r="N23" s="349">
        <f t="shared" si="20"/>
        <v>0</v>
      </c>
      <c r="O23" s="310"/>
      <c r="P23" s="128" t="s">
        <v>1004</v>
      </c>
      <c r="Q23" s="361">
        <f t="shared" si="21"/>
        <v>0</v>
      </c>
      <c r="R23" s="361">
        <f t="shared" si="22"/>
        <v>0</v>
      </c>
      <c r="S23" s="166"/>
      <c r="T23" s="166"/>
    </row>
    <row r="24" spans="1:20" hidden="1" outlineLevel="2" x14ac:dyDescent="0.25">
      <c r="A24" s="329" t="s">
        <v>1340</v>
      </c>
      <c r="B24" s="325" t="s">
        <v>1951</v>
      </c>
      <c r="C24" s="320">
        <v>2.2000000000000002</v>
      </c>
      <c r="D24" s="327" t="s">
        <v>1946</v>
      </c>
      <c r="E24" s="320"/>
      <c r="F24" s="317"/>
      <c r="G24" s="317"/>
      <c r="H24" s="366">
        <f t="shared" si="16"/>
        <v>0</v>
      </c>
      <c r="I24" s="318"/>
      <c r="J24" s="375">
        <f t="shared" si="17"/>
        <v>0</v>
      </c>
      <c r="K24" s="336">
        <f t="shared" si="18"/>
        <v>0</v>
      </c>
      <c r="L24" s="318"/>
      <c r="M24" s="375">
        <f t="shared" si="19"/>
        <v>0</v>
      </c>
      <c r="N24" s="349">
        <f t="shared" si="20"/>
        <v>0</v>
      </c>
      <c r="O24" s="319"/>
      <c r="P24" s="128" t="s">
        <v>1004</v>
      </c>
      <c r="Q24" s="361">
        <f t="shared" si="21"/>
        <v>0</v>
      </c>
      <c r="R24" s="361">
        <f t="shared" si="22"/>
        <v>0</v>
      </c>
      <c r="S24" s="166"/>
      <c r="T24" s="166"/>
    </row>
    <row r="25" spans="1:20" hidden="1" outlineLevel="2" x14ac:dyDescent="0.25">
      <c r="A25" s="329" t="s">
        <v>1340</v>
      </c>
      <c r="B25" s="325" t="s">
        <v>1951</v>
      </c>
      <c r="C25" s="320" t="s">
        <v>1627</v>
      </c>
      <c r="D25" s="324" t="s">
        <v>1947</v>
      </c>
      <c r="E25" s="320" t="s">
        <v>1384</v>
      </c>
      <c r="F25" s="312"/>
      <c r="G25" s="312"/>
      <c r="H25" s="366">
        <f t="shared" si="16"/>
        <v>0</v>
      </c>
      <c r="I25" s="312"/>
      <c r="J25" s="375">
        <f t="shared" si="17"/>
        <v>0</v>
      </c>
      <c r="K25" s="336">
        <f t="shared" si="18"/>
        <v>0</v>
      </c>
      <c r="L25" s="312"/>
      <c r="M25" s="375">
        <f t="shared" si="19"/>
        <v>0</v>
      </c>
      <c r="N25" s="349">
        <f t="shared" si="20"/>
        <v>0</v>
      </c>
      <c r="O25" s="310"/>
      <c r="P25" s="128" t="s">
        <v>1004</v>
      </c>
      <c r="Q25" s="361">
        <f t="shared" si="21"/>
        <v>0</v>
      </c>
      <c r="R25" s="361">
        <f t="shared" si="22"/>
        <v>0</v>
      </c>
      <c r="S25" s="166"/>
      <c r="T25" s="166"/>
    </row>
    <row r="26" spans="1:20" hidden="1" outlineLevel="2" x14ac:dyDescent="0.25">
      <c r="A26" s="329" t="s">
        <v>1340</v>
      </c>
      <c r="B26" s="325" t="s">
        <v>1951</v>
      </c>
      <c r="C26" s="320" t="s">
        <v>1948</v>
      </c>
      <c r="D26" s="324" t="s">
        <v>1947</v>
      </c>
      <c r="E26" s="320" t="s">
        <v>1384</v>
      </c>
      <c r="F26" s="312"/>
      <c r="G26" s="312"/>
      <c r="H26" s="366">
        <f t="shared" si="16"/>
        <v>0</v>
      </c>
      <c r="I26" s="312"/>
      <c r="J26" s="375">
        <f t="shared" si="17"/>
        <v>0</v>
      </c>
      <c r="K26" s="336">
        <f t="shared" si="18"/>
        <v>0</v>
      </c>
      <c r="L26" s="312"/>
      <c r="M26" s="375">
        <f t="shared" si="19"/>
        <v>0</v>
      </c>
      <c r="N26" s="349">
        <f t="shared" si="20"/>
        <v>0</v>
      </c>
      <c r="O26" s="310"/>
      <c r="P26" s="128" t="s">
        <v>1004</v>
      </c>
      <c r="Q26" s="361">
        <f t="shared" si="21"/>
        <v>0</v>
      </c>
      <c r="R26" s="361">
        <f t="shared" si="22"/>
        <v>0</v>
      </c>
      <c r="S26" s="166"/>
      <c r="T26" s="166"/>
    </row>
    <row r="27" spans="1:20" hidden="1" outlineLevel="2" x14ac:dyDescent="0.25">
      <c r="A27" s="329" t="s">
        <v>1340</v>
      </c>
      <c r="B27" s="325" t="s">
        <v>1951</v>
      </c>
      <c r="C27" s="320" t="s">
        <v>1949</v>
      </c>
      <c r="D27" s="324" t="s">
        <v>1947</v>
      </c>
      <c r="E27" s="320" t="s">
        <v>1384</v>
      </c>
      <c r="F27" s="312"/>
      <c r="G27" s="312"/>
      <c r="H27" s="366">
        <f t="shared" si="16"/>
        <v>0</v>
      </c>
      <c r="I27" s="312"/>
      <c r="J27" s="375">
        <f t="shared" si="17"/>
        <v>0</v>
      </c>
      <c r="K27" s="336">
        <f t="shared" si="18"/>
        <v>0</v>
      </c>
      <c r="L27" s="312"/>
      <c r="M27" s="375">
        <f t="shared" si="19"/>
        <v>0</v>
      </c>
      <c r="N27" s="349">
        <f t="shared" si="20"/>
        <v>0</v>
      </c>
      <c r="O27" s="310"/>
      <c r="P27" s="128" t="s">
        <v>1004</v>
      </c>
      <c r="Q27" s="361">
        <f t="shared" si="21"/>
        <v>0</v>
      </c>
      <c r="R27" s="361">
        <f t="shared" si="22"/>
        <v>0</v>
      </c>
      <c r="S27" s="180"/>
      <c r="T27" s="180"/>
    </row>
    <row r="28" spans="1:20" hidden="1" outlineLevel="1" collapsed="1" x14ac:dyDescent="0.25">
      <c r="A28" s="331" t="s">
        <v>1022</v>
      </c>
      <c r="B28" s="314" t="s">
        <v>1951</v>
      </c>
      <c r="C28" s="315"/>
      <c r="D28" s="326" t="s">
        <v>1950</v>
      </c>
      <c r="E28" s="314"/>
      <c r="F28" s="313"/>
      <c r="G28" s="313"/>
      <c r="H28" s="367"/>
      <c r="I28" s="313"/>
      <c r="J28" s="362">
        <f>SUM(J22:J27)</f>
        <v>0</v>
      </c>
      <c r="K28" s="338">
        <f>SUM(K22:K27)</f>
        <v>0</v>
      </c>
      <c r="L28" s="313"/>
      <c r="M28" s="362">
        <f>SUM(M22:M27)</f>
        <v>0</v>
      </c>
      <c r="N28" s="338">
        <f>SUM(N22:N27)</f>
        <v>0</v>
      </c>
      <c r="O28" s="314"/>
      <c r="P28" s="128"/>
      <c r="Q28" s="362">
        <f>SUM(Q22:Q27)</f>
        <v>0</v>
      </c>
      <c r="R28" s="362">
        <f>SUM(R22:R27)</f>
        <v>0</v>
      </c>
      <c r="S28" s="166"/>
      <c r="T28" s="166"/>
    </row>
    <row r="29" spans="1:20" hidden="1" outlineLevel="1" x14ac:dyDescent="0.25">
      <c r="A29" s="329" t="s">
        <v>1326</v>
      </c>
      <c r="B29" s="325" t="s">
        <v>1954</v>
      </c>
      <c r="C29" s="320">
        <v>3</v>
      </c>
      <c r="D29" s="333" t="s">
        <v>1955</v>
      </c>
      <c r="E29" s="320"/>
      <c r="F29" s="317"/>
      <c r="G29" s="317"/>
      <c r="H29" s="366">
        <f t="shared" ref="H29:H69" si="23">+SUM(F29:G29)</f>
        <v>0</v>
      </c>
      <c r="I29" s="318"/>
      <c r="J29" s="375">
        <f t="shared" ref="J29:J69" si="24">+ROUND(I29*H29,2)</f>
        <v>0</v>
      </c>
      <c r="K29" s="336">
        <f t="shared" ref="K29:K69" si="25">J29</f>
        <v>0</v>
      </c>
      <c r="L29" s="318"/>
      <c r="M29" s="375">
        <f t="shared" ref="M29:M69" si="26">+ROUND(L29*H29,2)</f>
        <v>0</v>
      </c>
      <c r="N29" s="349">
        <f t="shared" ref="N29:N69" si="27">M29</f>
        <v>0</v>
      </c>
      <c r="O29" s="319"/>
      <c r="P29" s="128" t="s">
        <v>1004</v>
      </c>
      <c r="Q29" s="361">
        <f t="shared" ref="Q29:Q69" si="28">+ROUND((K29)*(1+SUMIF($Q$2:$Q$4,P29,$R$2:$R$4)),0)</f>
        <v>0</v>
      </c>
      <c r="R29" s="361">
        <f t="shared" ref="R29:R69" si="29">+ROUND((N29)*(1+SUMIF($Q$2:$Q$4,P29,$R$2:$R$4)),0)</f>
        <v>0</v>
      </c>
      <c r="S29" s="166"/>
      <c r="T29" s="166"/>
    </row>
    <row r="30" spans="1:20" hidden="1" outlineLevel="2" x14ac:dyDescent="0.25">
      <c r="A30" s="329" t="s">
        <v>1326</v>
      </c>
      <c r="B30" s="325" t="s">
        <v>1954</v>
      </c>
      <c r="C30" s="320">
        <v>3.1</v>
      </c>
      <c r="D30" s="327" t="s">
        <v>1956</v>
      </c>
      <c r="E30" s="320"/>
      <c r="F30" s="317"/>
      <c r="G30" s="317"/>
      <c r="H30" s="366">
        <f t="shared" si="23"/>
        <v>0</v>
      </c>
      <c r="I30" s="318"/>
      <c r="J30" s="375">
        <f t="shared" si="24"/>
        <v>0</v>
      </c>
      <c r="K30" s="336">
        <f t="shared" si="25"/>
        <v>0</v>
      </c>
      <c r="L30" s="318"/>
      <c r="M30" s="375">
        <f t="shared" si="26"/>
        <v>0</v>
      </c>
      <c r="N30" s="349">
        <f t="shared" si="27"/>
        <v>0</v>
      </c>
      <c r="O30" s="319"/>
      <c r="P30" s="128" t="s">
        <v>1004</v>
      </c>
      <c r="Q30" s="361">
        <f t="shared" si="28"/>
        <v>0</v>
      </c>
      <c r="R30" s="361">
        <f t="shared" si="29"/>
        <v>0</v>
      </c>
      <c r="S30" s="166"/>
      <c r="T30" s="166"/>
    </row>
    <row r="31" spans="1:20" hidden="1" outlineLevel="2" x14ac:dyDescent="0.25">
      <c r="A31" s="329" t="s">
        <v>1326</v>
      </c>
      <c r="B31" s="325" t="s">
        <v>1954</v>
      </c>
      <c r="C31" s="320" t="s">
        <v>1483</v>
      </c>
      <c r="D31" s="327" t="s">
        <v>1957</v>
      </c>
      <c r="E31" s="319"/>
      <c r="F31" s="317"/>
      <c r="G31" s="317"/>
      <c r="H31" s="366">
        <f t="shared" si="23"/>
        <v>0</v>
      </c>
      <c r="I31" s="318"/>
      <c r="J31" s="375">
        <f t="shared" si="24"/>
        <v>0</v>
      </c>
      <c r="K31" s="337">
        <f t="shared" si="25"/>
        <v>0</v>
      </c>
      <c r="L31" s="318"/>
      <c r="M31" s="375">
        <f t="shared" si="26"/>
        <v>0</v>
      </c>
      <c r="N31" s="350">
        <f t="shared" si="27"/>
        <v>0</v>
      </c>
      <c r="O31" s="319"/>
      <c r="P31" s="128" t="s">
        <v>1004</v>
      </c>
      <c r="Q31" s="361">
        <f t="shared" si="28"/>
        <v>0</v>
      </c>
      <c r="R31" s="361">
        <f t="shared" si="29"/>
        <v>0</v>
      </c>
      <c r="S31" s="180"/>
      <c r="T31" s="180"/>
    </row>
    <row r="32" spans="1:20" hidden="1" outlineLevel="2" x14ac:dyDescent="0.25">
      <c r="A32" s="329" t="s">
        <v>1326</v>
      </c>
      <c r="B32" s="325" t="s">
        <v>1954</v>
      </c>
      <c r="C32" s="320" t="s">
        <v>1628</v>
      </c>
      <c r="D32" s="324" t="s">
        <v>1958</v>
      </c>
      <c r="E32" s="320" t="s">
        <v>1384</v>
      </c>
      <c r="F32" s="312"/>
      <c r="G32" s="312"/>
      <c r="H32" s="366">
        <f t="shared" si="23"/>
        <v>0</v>
      </c>
      <c r="I32" s="312"/>
      <c r="J32" s="375">
        <f t="shared" si="24"/>
        <v>0</v>
      </c>
      <c r="K32" s="336">
        <f t="shared" si="25"/>
        <v>0</v>
      </c>
      <c r="L32" s="312"/>
      <c r="M32" s="375">
        <f t="shared" si="26"/>
        <v>0</v>
      </c>
      <c r="N32" s="349">
        <f t="shared" si="27"/>
        <v>0</v>
      </c>
      <c r="O32" s="310"/>
      <c r="P32" s="128" t="s">
        <v>1004</v>
      </c>
      <c r="Q32" s="361">
        <f t="shared" si="28"/>
        <v>0</v>
      </c>
      <c r="R32" s="361">
        <f t="shared" si="29"/>
        <v>0</v>
      </c>
      <c r="S32" s="166"/>
      <c r="T32" s="166"/>
    </row>
    <row r="33" spans="1:20" hidden="1" outlineLevel="2" x14ac:dyDescent="0.25">
      <c r="A33" s="329" t="s">
        <v>1326</v>
      </c>
      <c r="B33" s="325" t="s">
        <v>1954</v>
      </c>
      <c r="C33" s="320" t="s">
        <v>1485</v>
      </c>
      <c r="D33" s="327" t="s">
        <v>1959</v>
      </c>
      <c r="E33" s="320"/>
      <c r="F33" s="317"/>
      <c r="G33" s="317"/>
      <c r="H33" s="366">
        <f t="shared" si="23"/>
        <v>0</v>
      </c>
      <c r="I33" s="318"/>
      <c r="J33" s="375">
        <f t="shared" si="24"/>
        <v>0</v>
      </c>
      <c r="K33" s="336">
        <f t="shared" si="25"/>
        <v>0</v>
      </c>
      <c r="L33" s="318"/>
      <c r="M33" s="375">
        <f t="shared" si="26"/>
        <v>0</v>
      </c>
      <c r="N33" s="349">
        <f t="shared" si="27"/>
        <v>0</v>
      </c>
      <c r="O33" s="319"/>
      <c r="P33" s="128" t="s">
        <v>1004</v>
      </c>
      <c r="Q33" s="361">
        <f t="shared" si="28"/>
        <v>0</v>
      </c>
      <c r="R33" s="361">
        <f t="shared" si="29"/>
        <v>0</v>
      </c>
      <c r="S33" s="166"/>
      <c r="T33" s="166"/>
    </row>
    <row r="34" spans="1:20" hidden="1" outlineLevel="2" x14ac:dyDescent="0.25">
      <c r="A34" s="329" t="s">
        <v>1326</v>
      </c>
      <c r="B34" s="325" t="s">
        <v>1954</v>
      </c>
      <c r="C34" s="320" t="s">
        <v>1629</v>
      </c>
      <c r="D34" s="324" t="s">
        <v>1709</v>
      </c>
      <c r="E34" s="320" t="s">
        <v>1384</v>
      </c>
      <c r="F34" s="312"/>
      <c r="G34" s="312"/>
      <c r="H34" s="366">
        <f t="shared" si="23"/>
        <v>0</v>
      </c>
      <c r="I34" s="312"/>
      <c r="J34" s="375">
        <f t="shared" si="24"/>
        <v>0</v>
      </c>
      <c r="K34" s="336">
        <f t="shared" si="25"/>
        <v>0</v>
      </c>
      <c r="L34" s="312"/>
      <c r="M34" s="375">
        <f t="shared" si="26"/>
        <v>0</v>
      </c>
      <c r="N34" s="349">
        <f t="shared" si="27"/>
        <v>0</v>
      </c>
      <c r="O34" s="310"/>
      <c r="P34" s="128" t="s">
        <v>1004</v>
      </c>
      <c r="Q34" s="361">
        <f t="shared" si="28"/>
        <v>0</v>
      </c>
      <c r="R34" s="361">
        <f t="shared" si="29"/>
        <v>0</v>
      </c>
      <c r="S34" s="166"/>
      <c r="T34" s="166"/>
    </row>
    <row r="35" spans="1:20" hidden="1" outlineLevel="2" x14ac:dyDescent="0.25">
      <c r="A35" s="329" t="s">
        <v>1326</v>
      </c>
      <c r="B35" s="325" t="s">
        <v>1954</v>
      </c>
      <c r="C35" s="320" t="s">
        <v>1630</v>
      </c>
      <c r="D35" s="324" t="s">
        <v>1631</v>
      </c>
      <c r="E35" s="320" t="s">
        <v>1384</v>
      </c>
      <c r="F35" s="312"/>
      <c r="G35" s="312"/>
      <c r="H35" s="366">
        <f t="shared" si="23"/>
        <v>0</v>
      </c>
      <c r="I35" s="312"/>
      <c r="J35" s="375">
        <f t="shared" si="24"/>
        <v>0</v>
      </c>
      <c r="K35" s="336">
        <f t="shared" si="25"/>
        <v>0</v>
      </c>
      <c r="L35" s="312"/>
      <c r="M35" s="375">
        <f t="shared" si="26"/>
        <v>0</v>
      </c>
      <c r="N35" s="349">
        <f t="shared" si="27"/>
        <v>0</v>
      </c>
      <c r="O35" s="310"/>
      <c r="P35" s="128" t="s">
        <v>1004</v>
      </c>
      <c r="Q35" s="361">
        <f t="shared" si="28"/>
        <v>0</v>
      </c>
      <c r="R35" s="361">
        <f t="shared" si="29"/>
        <v>0</v>
      </c>
      <c r="S35" s="166"/>
      <c r="T35" s="166"/>
    </row>
    <row r="36" spans="1:20" hidden="1" outlineLevel="2" x14ac:dyDescent="0.25">
      <c r="A36" s="329" t="s">
        <v>1326</v>
      </c>
      <c r="B36" s="325" t="s">
        <v>1954</v>
      </c>
      <c r="C36" s="320" t="s">
        <v>1632</v>
      </c>
      <c r="D36" s="324" t="s">
        <v>1712</v>
      </c>
      <c r="E36" s="320" t="s">
        <v>1384</v>
      </c>
      <c r="F36" s="312"/>
      <c r="G36" s="312"/>
      <c r="H36" s="366">
        <f t="shared" si="23"/>
        <v>0</v>
      </c>
      <c r="I36" s="312"/>
      <c r="J36" s="375">
        <f t="shared" si="24"/>
        <v>0</v>
      </c>
      <c r="K36" s="336">
        <f t="shared" si="25"/>
        <v>0</v>
      </c>
      <c r="L36" s="312"/>
      <c r="M36" s="375">
        <f t="shared" si="26"/>
        <v>0</v>
      </c>
      <c r="N36" s="349">
        <f t="shared" si="27"/>
        <v>0</v>
      </c>
      <c r="O36" s="310"/>
      <c r="P36" s="128" t="s">
        <v>1004</v>
      </c>
      <c r="Q36" s="361">
        <f t="shared" si="28"/>
        <v>0</v>
      </c>
      <c r="R36" s="361">
        <f t="shared" si="29"/>
        <v>0</v>
      </c>
      <c r="S36" s="166"/>
      <c r="T36" s="166"/>
    </row>
    <row r="37" spans="1:20" hidden="1" outlineLevel="2" x14ac:dyDescent="0.25">
      <c r="A37" s="329" t="s">
        <v>1330</v>
      </c>
      <c r="B37" s="325" t="s">
        <v>1954</v>
      </c>
      <c r="C37" s="320" t="s">
        <v>1487</v>
      </c>
      <c r="D37" s="327" t="s">
        <v>1960</v>
      </c>
      <c r="E37" s="320"/>
      <c r="F37" s="317"/>
      <c r="G37" s="317"/>
      <c r="H37" s="366">
        <f t="shared" si="23"/>
        <v>0</v>
      </c>
      <c r="I37" s="318"/>
      <c r="J37" s="375">
        <f t="shared" si="24"/>
        <v>0</v>
      </c>
      <c r="K37" s="336">
        <f t="shared" si="25"/>
        <v>0</v>
      </c>
      <c r="L37" s="318"/>
      <c r="M37" s="375">
        <f t="shared" si="26"/>
        <v>0</v>
      </c>
      <c r="N37" s="349">
        <f t="shared" si="27"/>
        <v>0</v>
      </c>
      <c r="O37" s="319"/>
      <c r="P37" s="128" t="s">
        <v>1004</v>
      </c>
      <c r="Q37" s="361">
        <f t="shared" si="28"/>
        <v>0</v>
      </c>
      <c r="R37" s="361">
        <f t="shared" si="29"/>
        <v>0</v>
      </c>
      <c r="S37" s="166"/>
      <c r="T37" s="166"/>
    </row>
    <row r="38" spans="1:20" hidden="1" outlineLevel="2" x14ac:dyDescent="0.25">
      <c r="A38" s="329" t="s">
        <v>1330</v>
      </c>
      <c r="B38" s="325" t="s">
        <v>1954</v>
      </c>
      <c r="C38" s="320" t="s">
        <v>1633</v>
      </c>
      <c r="D38" s="324" t="s">
        <v>1634</v>
      </c>
      <c r="E38" s="320" t="s">
        <v>1384</v>
      </c>
      <c r="F38" s="312"/>
      <c r="G38" s="312"/>
      <c r="H38" s="366">
        <f t="shared" si="23"/>
        <v>0</v>
      </c>
      <c r="I38" s="312"/>
      <c r="J38" s="375">
        <f t="shared" si="24"/>
        <v>0</v>
      </c>
      <c r="K38" s="336">
        <f t="shared" si="25"/>
        <v>0</v>
      </c>
      <c r="L38" s="312"/>
      <c r="M38" s="375">
        <f t="shared" si="26"/>
        <v>0</v>
      </c>
      <c r="N38" s="349">
        <f t="shared" si="27"/>
        <v>0</v>
      </c>
      <c r="O38" s="310"/>
      <c r="P38" s="128" t="s">
        <v>1004</v>
      </c>
      <c r="Q38" s="361">
        <f t="shared" si="28"/>
        <v>0</v>
      </c>
      <c r="R38" s="361">
        <f t="shared" si="29"/>
        <v>0</v>
      </c>
      <c r="S38" s="166"/>
      <c r="T38" s="166"/>
    </row>
    <row r="39" spans="1:20" hidden="1" outlineLevel="2" x14ac:dyDescent="0.25">
      <c r="A39" s="329" t="s">
        <v>1336</v>
      </c>
      <c r="B39" s="325" t="s">
        <v>1954</v>
      </c>
      <c r="C39" s="320" t="s">
        <v>1635</v>
      </c>
      <c r="D39" s="324" t="s">
        <v>1961</v>
      </c>
      <c r="E39" s="320" t="s">
        <v>1384</v>
      </c>
      <c r="F39" s="312"/>
      <c r="G39" s="312"/>
      <c r="H39" s="366">
        <f t="shared" si="23"/>
        <v>0</v>
      </c>
      <c r="I39" s="312"/>
      <c r="J39" s="375">
        <f t="shared" si="24"/>
        <v>0</v>
      </c>
      <c r="K39" s="336">
        <f t="shared" si="25"/>
        <v>0</v>
      </c>
      <c r="L39" s="312"/>
      <c r="M39" s="375">
        <f t="shared" si="26"/>
        <v>0</v>
      </c>
      <c r="N39" s="349">
        <f t="shared" si="27"/>
        <v>0</v>
      </c>
      <c r="O39" s="310"/>
      <c r="P39" s="128" t="s">
        <v>1004</v>
      </c>
      <c r="Q39" s="361">
        <f t="shared" si="28"/>
        <v>0</v>
      </c>
      <c r="R39" s="361">
        <f t="shared" si="29"/>
        <v>0</v>
      </c>
      <c r="S39" s="166"/>
      <c r="T39" s="166"/>
    </row>
    <row r="40" spans="1:20" hidden="1" outlineLevel="2" x14ac:dyDescent="0.25">
      <c r="A40" s="329" t="s">
        <v>1330</v>
      </c>
      <c r="B40" s="325" t="s">
        <v>1954</v>
      </c>
      <c r="C40" s="320" t="s">
        <v>1636</v>
      </c>
      <c r="D40" s="324" t="s">
        <v>1718</v>
      </c>
      <c r="E40" s="320" t="s">
        <v>1384</v>
      </c>
      <c r="F40" s="312"/>
      <c r="G40" s="312"/>
      <c r="H40" s="366">
        <f t="shared" si="23"/>
        <v>0</v>
      </c>
      <c r="I40" s="312"/>
      <c r="J40" s="375">
        <f t="shared" si="24"/>
        <v>0</v>
      </c>
      <c r="K40" s="336">
        <f t="shared" si="25"/>
        <v>0</v>
      </c>
      <c r="L40" s="312"/>
      <c r="M40" s="375">
        <f t="shared" si="26"/>
        <v>0</v>
      </c>
      <c r="N40" s="349">
        <f t="shared" si="27"/>
        <v>0</v>
      </c>
      <c r="O40" s="310"/>
      <c r="P40" s="128" t="s">
        <v>1004</v>
      </c>
      <c r="Q40" s="361">
        <f t="shared" si="28"/>
        <v>0</v>
      </c>
      <c r="R40" s="361">
        <f t="shared" si="29"/>
        <v>0</v>
      </c>
      <c r="S40" s="166"/>
      <c r="T40" s="166"/>
    </row>
    <row r="41" spans="1:20" hidden="1" outlineLevel="2" x14ac:dyDescent="0.25">
      <c r="A41" s="329" t="s">
        <v>1326</v>
      </c>
      <c r="B41" s="325" t="s">
        <v>1954</v>
      </c>
      <c r="C41" s="320" t="s">
        <v>1489</v>
      </c>
      <c r="D41" s="327" t="s">
        <v>1962</v>
      </c>
      <c r="E41" s="320"/>
      <c r="F41" s="317"/>
      <c r="G41" s="317"/>
      <c r="H41" s="366">
        <f t="shared" si="23"/>
        <v>0</v>
      </c>
      <c r="I41" s="318"/>
      <c r="J41" s="375">
        <f t="shared" si="24"/>
        <v>0</v>
      </c>
      <c r="K41" s="336">
        <f t="shared" si="25"/>
        <v>0</v>
      </c>
      <c r="L41" s="318"/>
      <c r="M41" s="375">
        <f t="shared" si="26"/>
        <v>0</v>
      </c>
      <c r="N41" s="349">
        <f t="shared" si="27"/>
        <v>0</v>
      </c>
      <c r="O41" s="319"/>
      <c r="P41" s="128" t="s">
        <v>1004</v>
      </c>
      <c r="Q41" s="361">
        <f t="shared" si="28"/>
        <v>0</v>
      </c>
      <c r="R41" s="361">
        <f t="shared" si="29"/>
        <v>0</v>
      </c>
      <c r="S41" s="166"/>
      <c r="T41" s="166"/>
    </row>
    <row r="42" spans="1:20" hidden="1" outlineLevel="2" x14ac:dyDescent="0.25">
      <c r="A42" s="329" t="s">
        <v>1326</v>
      </c>
      <c r="B42" s="325" t="s">
        <v>1954</v>
      </c>
      <c r="C42" s="320" t="s">
        <v>1637</v>
      </c>
      <c r="D42" s="324" t="s">
        <v>1638</v>
      </c>
      <c r="E42" s="320" t="s">
        <v>1384</v>
      </c>
      <c r="F42" s="312"/>
      <c r="G42" s="312"/>
      <c r="H42" s="366">
        <f t="shared" si="23"/>
        <v>0</v>
      </c>
      <c r="I42" s="312"/>
      <c r="J42" s="375">
        <f t="shared" si="24"/>
        <v>0</v>
      </c>
      <c r="K42" s="336">
        <f t="shared" si="25"/>
        <v>0</v>
      </c>
      <c r="L42" s="312"/>
      <c r="M42" s="375">
        <f t="shared" si="26"/>
        <v>0</v>
      </c>
      <c r="N42" s="349">
        <f t="shared" si="27"/>
        <v>0</v>
      </c>
      <c r="O42" s="310"/>
      <c r="P42" s="128" t="s">
        <v>1004</v>
      </c>
      <c r="Q42" s="361">
        <f t="shared" si="28"/>
        <v>0</v>
      </c>
      <c r="R42" s="361">
        <f t="shared" si="29"/>
        <v>0</v>
      </c>
      <c r="S42" s="166"/>
      <c r="T42" s="166"/>
    </row>
    <row r="43" spans="1:20" hidden="1" outlineLevel="2" x14ac:dyDescent="0.25">
      <c r="A43" s="329" t="s">
        <v>1326</v>
      </c>
      <c r="B43" s="325" t="s">
        <v>1954</v>
      </c>
      <c r="C43" s="320" t="s">
        <v>1639</v>
      </c>
      <c r="D43" s="324" t="s">
        <v>1640</v>
      </c>
      <c r="E43" s="320" t="s">
        <v>1384</v>
      </c>
      <c r="F43" s="312"/>
      <c r="G43" s="312"/>
      <c r="H43" s="366">
        <f t="shared" si="23"/>
        <v>0</v>
      </c>
      <c r="I43" s="312"/>
      <c r="J43" s="375">
        <f t="shared" si="24"/>
        <v>0</v>
      </c>
      <c r="K43" s="336">
        <f t="shared" si="25"/>
        <v>0</v>
      </c>
      <c r="L43" s="312"/>
      <c r="M43" s="375">
        <f t="shared" si="26"/>
        <v>0</v>
      </c>
      <c r="N43" s="349">
        <f t="shared" si="27"/>
        <v>0</v>
      </c>
      <c r="O43" s="310"/>
      <c r="P43" s="128" t="s">
        <v>1004</v>
      </c>
      <c r="Q43" s="361">
        <f t="shared" si="28"/>
        <v>0</v>
      </c>
      <c r="R43" s="361">
        <f t="shared" si="29"/>
        <v>0</v>
      </c>
      <c r="S43" s="166"/>
      <c r="T43" s="166"/>
    </row>
    <row r="44" spans="1:20" hidden="1" outlineLevel="2" x14ac:dyDescent="0.25">
      <c r="A44" s="329" t="s">
        <v>1326</v>
      </c>
      <c r="B44" s="325" t="s">
        <v>1954</v>
      </c>
      <c r="C44" s="320" t="s">
        <v>1641</v>
      </c>
      <c r="D44" s="324" t="s">
        <v>1963</v>
      </c>
      <c r="E44" s="320" t="s">
        <v>1384</v>
      </c>
      <c r="F44" s="312"/>
      <c r="G44" s="312"/>
      <c r="H44" s="366">
        <f t="shared" si="23"/>
        <v>0</v>
      </c>
      <c r="I44" s="312"/>
      <c r="J44" s="375">
        <f t="shared" si="24"/>
        <v>0</v>
      </c>
      <c r="K44" s="336">
        <f t="shared" si="25"/>
        <v>0</v>
      </c>
      <c r="L44" s="312"/>
      <c r="M44" s="375">
        <f t="shared" si="26"/>
        <v>0</v>
      </c>
      <c r="N44" s="349">
        <f t="shared" si="27"/>
        <v>0</v>
      </c>
      <c r="O44" s="310"/>
      <c r="P44" s="128" t="s">
        <v>1004</v>
      </c>
      <c r="Q44" s="361">
        <f t="shared" si="28"/>
        <v>0</v>
      </c>
      <c r="R44" s="361">
        <f t="shared" si="29"/>
        <v>0</v>
      </c>
      <c r="S44" s="166"/>
      <c r="T44" s="166"/>
    </row>
    <row r="45" spans="1:20" hidden="1" outlineLevel="2" x14ac:dyDescent="0.25">
      <c r="A45" s="329" t="s">
        <v>1326</v>
      </c>
      <c r="B45" s="325" t="s">
        <v>1954</v>
      </c>
      <c r="C45" s="320" t="s">
        <v>1964</v>
      </c>
      <c r="D45" s="327" t="s">
        <v>1965</v>
      </c>
      <c r="E45" s="320"/>
      <c r="F45" s="317"/>
      <c r="G45" s="317"/>
      <c r="H45" s="366">
        <f t="shared" si="23"/>
        <v>0</v>
      </c>
      <c r="I45" s="318"/>
      <c r="J45" s="375">
        <f t="shared" si="24"/>
        <v>0</v>
      </c>
      <c r="K45" s="336">
        <f t="shared" si="25"/>
        <v>0</v>
      </c>
      <c r="L45" s="318"/>
      <c r="M45" s="375">
        <f t="shared" si="26"/>
        <v>0</v>
      </c>
      <c r="N45" s="349">
        <f t="shared" si="27"/>
        <v>0</v>
      </c>
      <c r="O45" s="319"/>
      <c r="P45" s="128" t="s">
        <v>1004</v>
      </c>
      <c r="Q45" s="361">
        <f t="shared" si="28"/>
        <v>0</v>
      </c>
      <c r="R45" s="361">
        <f t="shared" si="29"/>
        <v>0</v>
      </c>
      <c r="S45" s="166"/>
      <c r="T45" s="166"/>
    </row>
    <row r="46" spans="1:20" hidden="1" outlineLevel="2" x14ac:dyDescent="0.25">
      <c r="A46" s="329" t="s">
        <v>1326</v>
      </c>
      <c r="B46" s="325" t="s">
        <v>1954</v>
      </c>
      <c r="C46" s="320" t="s">
        <v>1642</v>
      </c>
      <c r="D46" s="324" t="s">
        <v>1720</v>
      </c>
      <c r="E46" s="320" t="s">
        <v>1384</v>
      </c>
      <c r="F46" s="312"/>
      <c r="G46" s="312"/>
      <c r="H46" s="366">
        <f t="shared" si="23"/>
        <v>0</v>
      </c>
      <c r="I46" s="312"/>
      <c r="J46" s="375">
        <f t="shared" si="24"/>
        <v>0</v>
      </c>
      <c r="K46" s="336">
        <f t="shared" si="25"/>
        <v>0</v>
      </c>
      <c r="L46" s="312"/>
      <c r="M46" s="375">
        <f t="shared" si="26"/>
        <v>0</v>
      </c>
      <c r="N46" s="349">
        <f t="shared" si="27"/>
        <v>0</v>
      </c>
      <c r="O46" s="310"/>
      <c r="P46" s="128" t="s">
        <v>1004</v>
      </c>
      <c r="Q46" s="361">
        <f t="shared" si="28"/>
        <v>0</v>
      </c>
      <c r="R46" s="361">
        <f t="shared" si="29"/>
        <v>0</v>
      </c>
      <c r="S46" s="166"/>
      <c r="T46" s="166"/>
    </row>
    <row r="47" spans="1:20" hidden="1" outlineLevel="2" x14ac:dyDescent="0.25">
      <c r="A47" s="329" t="s">
        <v>1326</v>
      </c>
      <c r="B47" s="325" t="s">
        <v>1954</v>
      </c>
      <c r="C47" s="320" t="s">
        <v>1643</v>
      </c>
      <c r="D47" s="324" t="s">
        <v>1644</v>
      </c>
      <c r="E47" s="320" t="s">
        <v>1384</v>
      </c>
      <c r="F47" s="312"/>
      <c r="G47" s="312"/>
      <c r="H47" s="366">
        <f t="shared" si="23"/>
        <v>0</v>
      </c>
      <c r="I47" s="312"/>
      <c r="J47" s="375">
        <f t="shared" si="24"/>
        <v>0</v>
      </c>
      <c r="K47" s="336">
        <f t="shared" si="25"/>
        <v>0</v>
      </c>
      <c r="L47" s="312"/>
      <c r="M47" s="375">
        <f t="shared" si="26"/>
        <v>0</v>
      </c>
      <c r="N47" s="349">
        <f t="shared" si="27"/>
        <v>0</v>
      </c>
      <c r="O47" s="310"/>
      <c r="P47" s="128" t="s">
        <v>1004</v>
      </c>
      <c r="Q47" s="361">
        <f t="shared" si="28"/>
        <v>0</v>
      </c>
      <c r="R47" s="361">
        <f t="shared" si="29"/>
        <v>0</v>
      </c>
      <c r="S47" s="166"/>
      <c r="T47" s="166"/>
    </row>
    <row r="48" spans="1:20" hidden="1" outlineLevel="2" x14ac:dyDescent="0.25">
      <c r="A48" s="329" t="s">
        <v>1326</v>
      </c>
      <c r="B48" s="325" t="s">
        <v>1954</v>
      </c>
      <c r="C48" s="320" t="s">
        <v>1645</v>
      </c>
      <c r="D48" s="324" t="s">
        <v>1966</v>
      </c>
      <c r="E48" s="320" t="s">
        <v>1384</v>
      </c>
      <c r="F48" s="312"/>
      <c r="G48" s="312"/>
      <c r="H48" s="366">
        <f t="shared" si="23"/>
        <v>0</v>
      </c>
      <c r="I48" s="312"/>
      <c r="J48" s="375">
        <f t="shared" si="24"/>
        <v>0</v>
      </c>
      <c r="K48" s="336">
        <f t="shared" si="25"/>
        <v>0</v>
      </c>
      <c r="L48" s="312"/>
      <c r="M48" s="375">
        <f t="shared" si="26"/>
        <v>0</v>
      </c>
      <c r="N48" s="349">
        <f t="shared" si="27"/>
        <v>0</v>
      </c>
      <c r="O48" s="310"/>
      <c r="P48" s="128" t="s">
        <v>1004</v>
      </c>
      <c r="Q48" s="361">
        <f t="shared" si="28"/>
        <v>0</v>
      </c>
      <c r="R48" s="361">
        <f t="shared" si="29"/>
        <v>0</v>
      </c>
      <c r="S48" s="180"/>
      <c r="T48" s="180"/>
    </row>
    <row r="49" spans="1:20" hidden="1" outlineLevel="2" x14ac:dyDescent="0.25">
      <c r="A49" s="329" t="s">
        <v>1326</v>
      </c>
      <c r="B49" s="325" t="s">
        <v>1954</v>
      </c>
      <c r="C49" s="320" t="s">
        <v>1967</v>
      </c>
      <c r="D49" s="327" t="s">
        <v>1968</v>
      </c>
      <c r="E49" s="319"/>
      <c r="F49" s="317"/>
      <c r="G49" s="317"/>
      <c r="H49" s="366">
        <f t="shared" si="23"/>
        <v>0</v>
      </c>
      <c r="I49" s="318"/>
      <c r="J49" s="375">
        <f t="shared" si="24"/>
        <v>0</v>
      </c>
      <c r="K49" s="336">
        <f t="shared" si="25"/>
        <v>0</v>
      </c>
      <c r="L49" s="318"/>
      <c r="M49" s="375">
        <f t="shared" si="26"/>
        <v>0</v>
      </c>
      <c r="N49" s="349">
        <f t="shared" si="27"/>
        <v>0</v>
      </c>
      <c r="O49" s="319"/>
      <c r="P49" s="128" t="s">
        <v>1004</v>
      </c>
      <c r="Q49" s="361">
        <f t="shared" si="28"/>
        <v>0</v>
      </c>
      <c r="R49" s="361">
        <f t="shared" si="29"/>
        <v>0</v>
      </c>
      <c r="S49" s="166"/>
      <c r="T49" s="166"/>
    </row>
    <row r="50" spans="1:20" hidden="1" outlineLevel="2" x14ac:dyDescent="0.25">
      <c r="A50" s="329" t="s">
        <v>1326</v>
      </c>
      <c r="B50" s="325" t="s">
        <v>1954</v>
      </c>
      <c r="C50" s="320" t="s">
        <v>1646</v>
      </c>
      <c r="D50" s="324" t="s">
        <v>1647</v>
      </c>
      <c r="E50" s="320" t="s">
        <v>1384</v>
      </c>
      <c r="F50" s="312"/>
      <c r="G50" s="312"/>
      <c r="H50" s="366">
        <f t="shared" si="23"/>
        <v>0</v>
      </c>
      <c r="I50" s="312"/>
      <c r="J50" s="375">
        <f t="shared" si="24"/>
        <v>0</v>
      </c>
      <c r="K50" s="336">
        <f t="shared" si="25"/>
        <v>0</v>
      </c>
      <c r="L50" s="312"/>
      <c r="M50" s="375">
        <f t="shared" si="26"/>
        <v>0</v>
      </c>
      <c r="N50" s="349">
        <f t="shared" si="27"/>
        <v>0</v>
      </c>
      <c r="O50" s="310"/>
      <c r="P50" s="128" t="s">
        <v>1004</v>
      </c>
      <c r="Q50" s="361">
        <f t="shared" si="28"/>
        <v>0</v>
      </c>
      <c r="R50" s="361">
        <f t="shared" si="29"/>
        <v>0</v>
      </c>
      <c r="S50" s="166"/>
      <c r="T50" s="166"/>
    </row>
    <row r="51" spans="1:20" hidden="1" outlineLevel="2" x14ac:dyDescent="0.25">
      <c r="A51" s="329" t="s">
        <v>1326</v>
      </c>
      <c r="B51" s="325" t="s">
        <v>1954</v>
      </c>
      <c r="C51" s="320" t="s">
        <v>1648</v>
      </c>
      <c r="D51" s="327" t="s">
        <v>1969</v>
      </c>
      <c r="E51" s="320" t="s">
        <v>1384</v>
      </c>
      <c r="F51" s="312"/>
      <c r="G51" s="312"/>
      <c r="H51" s="366">
        <f t="shared" si="23"/>
        <v>0</v>
      </c>
      <c r="I51" s="312"/>
      <c r="J51" s="375">
        <f t="shared" si="24"/>
        <v>0</v>
      </c>
      <c r="K51" s="336">
        <f t="shared" si="25"/>
        <v>0</v>
      </c>
      <c r="L51" s="312"/>
      <c r="M51" s="375">
        <f t="shared" si="26"/>
        <v>0</v>
      </c>
      <c r="N51" s="349">
        <f t="shared" si="27"/>
        <v>0</v>
      </c>
      <c r="O51" s="310"/>
      <c r="P51" s="128" t="s">
        <v>1004</v>
      </c>
      <c r="Q51" s="361">
        <f t="shared" si="28"/>
        <v>0</v>
      </c>
      <c r="R51" s="361">
        <f t="shared" si="29"/>
        <v>0</v>
      </c>
      <c r="S51" s="166"/>
      <c r="T51" s="166"/>
    </row>
    <row r="52" spans="1:20" hidden="1" outlineLevel="2" x14ac:dyDescent="0.25">
      <c r="A52" s="329" t="s">
        <v>1326</v>
      </c>
      <c r="B52" s="325" t="s">
        <v>1954</v>
      </c>
      <c r="C52" s="320">
        <v>3.2</v>
      </c>
      <c r="D52" s="327" t="s">
        <v>1970</v>
      </c>
      <c r="E52" s="320"/>
      <c r="F52" s="317"/>
      <c r="G52" s="317"/>
      <c r="H52" s="366">
        <f t="shared" si="23"/>
        <v>0</v>
      </c>
      <c r="I52" s="318"/>
      <c r="J52" s="375">
        <f t="shared" si="24"/>
        <v>0</v>
      </c>
      <c r="K52" s="336">
        <f t="shared" si="25"/>
        <v>0</v>
      </c>
      <c r="L52" s="318"/>
      <c r="M52" s="375">
        <f t="shared" si="26"/>
        <v>0</v>
      </c>
      <c r="N52" s="349">
        <f t="shared" si="27"/>
        <v>0</v>
      </c>
      <c r="O52" s="319"/>
      <c r="P52" s="128" t="s">
        <v>1004</v>
      </c>
      <c r="Q52" s="361">
        <f t="shared" si="28"/>
        <v>0</v>
      </c>
      <c r="R52" s="361">
        <f t="shared" si="29"/>
        <v>0</v>
      </c>
      <c r="S52" s="166"/>
      <c r="T52" s="166"/>
    </row>
    <row r="53" spans="1:20" hidden="1" outlineLevel="2" x14ac:dyDescent="0.25">
      <c r="A53" s="329" t="s">
        <v>1338</v>
      </c>
      <c r="B53" s="325" t="s">
        <v>1954</v>
      </c>
      <c r="C53" s="320" t="s">
        <v>1491</v>
      </c>
      <c r="D53" s="327" t="s">
        <v>1971</v>
      </c>
      <c r="E53" s="320"/>
      <c r="F53" s="317"/>
      <c r="G53" s="317"/>
      <c r="H53" s="366">
        <f t="shared" si="23"/>
        <v>0</v>
      </c>
      <c r="I53" s="318"/>
      <c r="J53" s="375">
        <f t="shared" si="24"/>
        <v>0</v>
      </c>
      <c r="K53" s="336">
        <f t="shared" si="25"/>
        <v>0</v>
      </c>
      <c r="L53" s="318"/>
      <c r="M53" s="375">
        <f t="shared" si="26"/>
        <v>0</v>
      </c>
      <c r="N53" s="349">
        <f t="shared" si="27"/>
        <v>0</v>
      </c>
      <c r="O53" s="319"/>
      <c r="P53" s="128" t="s">
        <v>1004</v>
      </c>
      <c r="Q53" s="361">
        <f t="shared" si="28"/>
        <v>0</v>
      </c>
      <c r="R53" s="361">
        <f t="shared" si="29"/>
        <v>0</v>
      </c>
      <c r="S53" s="166"/>
      <c r="T53" s="166"/>
    </row>
    <row r="54" spans="1:20" hidden="1" outlineLevel="2" x14ac:dyDescent="0.25">
      <c r="A54" s="329" t="s">
        <v>1338</v>
      </c>
      <c r="B54" s="325" t="s">
        <v>1954</v>
      </c>
      <c r="C54" s="320" t="s">
        <v>1649</v>
      </c>
      <c r="D54" s="324" t="s">
        <v>1650</v>
      </c>
      <c r="E54" s="320" t="s">
        <v>1384</v>
      </c>
      <c r="F54" s="312"/>
      <c r="G54" s="312"/>
      <c r="H54" s="366">
        <f t="shared" si="23"/>
        <v>0</v>
      </c>
      <c r="I54" s="312"/>
      <c r="J54" s="375">
        <f t="shared" si="24"/>
        <v>0</v>
      </c>
      <c r="K54" s="336">
        <f t="shared" si="25"/>
        <v>0</v>
      </c>
      <c r="L54" s="312"/>
      <c r="M54" s="375">
        <f t="shared" si="26"/>
        <v>0</v>
      </c>
      <c r="N54" s="349">
        <f t="shared" si="27"/>
        <v>0</v>
      </c>
      <c r="O54" s="310"/>
      <c r="P54" s="128" t="s">
        <v>1004</v>
      </c>
      <c r="Q54" s="361">
        <f t="shared" si="28"/>
        <v>0</v>
      </c>
      <c r="R54" s="361">
        <f t="shared" si="29"/>
        <v>0</v>
      </c>
      <c r="S54" s="166"/>
      <c r="T54" s="166"/>
    </row>
    <row r="55" spans="1:20" hidden="1" outlineLevel="2" x14ac:dyDescent="0.25">
      <c r="A55" s="329" t="s">
        <v>1338</v>
      </c>
      <c r="B55" s="325" t="s">
        <v>1954</v>
      </c>
      <c r="C55" s="320" t="s">
        <v>1651</v>
      </c>
      <c r="D55" s="324" t="s">
        <v>1652</v>
      </c>
      <c r="E55" s="320" t="s">
        <v>1384</v>
      </c>
      <c r="F55" s="312"/>
      <c r="G55" s="312"/>
      <c r="H55" s="366">
        <f t="shared" si="23"/>
        <v>0</v>
      </c>
      <c r="I55" s="312"/>
      <c r="J55" s="375">
        <f t="shared" si="24"/>
        <v>0</v>
      </c>
      <c r="K55" s="336">
        <f t="shared" si="25"/>
        <v>0</v>
      </c>
      <c r="L55" s="312"/>
      <c r="M55" s="375">
        <f t="shared" si="26"/>
        <v>0</v>
      </c>
      <c r="N55" s="349">
        <f t="shared" si="27"/>
        <v>0</v>
      </c>
      <c r="O55" s="310"/>
      <c r="P55" s="128" t="s">
        <v>1004</v>
      </c>
      <c r="Q55" s="361">
        <f t="shared" si="28"/>
        <v>0</v>
      </c>
      <c r="R55" s="361">
        <f t="shared" si="29"/>
        <v>0</v>
      </c>
      <c r="S55" s="166"/>
      <c r="T55" s="166"/>
    </row>
    <row r="56" spans="1:20" hidden="1" outlineLevel="2" x14ac:dyDescent="0.25">
      <c r="A56" s="329" t="s">
        <v>1338</v>
      </c>
      <c r="B56" s="325" t="s">
        <v>1954</v>
      </c>
      <c r="C56" s="320" t="s">
        <v>1653</v>
      </c>
      <c r="D56" s="324" t="s">
        <v>1677</v>
      </c>
      <c r="E56" s="320" t="s">
        <v>1384</v>
      </c>
      <c r="F56" s="312"/>
      <c r="G56" s="312"/>
      <c r="H56" s="366">
        <f t="shared" si="23"/>
        <v>0</v>
      </c>
      <c r="I56" s="312"/>
      <c r="J56" s="375">
        <f t="shared" si="24"/>
        <v>0</v>
      </c>
      <c r="K56" s="336">
        <f t="shared" si="25"/>
        <v>0</v>
      </c>
      <c r="L56" s="312"/>
      <c r="M56" s="375">
        <f t="shared" si="26"/>
        <v>0</v>
      </c>
      <c r="N56" s="349">
        <f t="shared" si="27"/>
        <v>0</v>
      </c>
      <c r="O56" s="310"/>
      <c r="P56" s="128" t="s">
        <v>1004</v>
      </c>
      <c r="Q56" s="361">
        <f t="shared" si="28"/>
        <v>0</v>
      </c>
      <c r="R56" s="361">
        <f t="shared" si="29"/>
        <v>0</v>
      </c>
      <c r="S56" s="166"/>
      <c r="T56" s="166"/>
    </row>
    <row r="57" spans="1:20" hidden="1" outlineLevel="2" x14ac:dyDescent="0.25">
      <c r="A57" s="329" t="s">
        <v>1338</v>
      </c>
      <c r="B57" s="325" t="s">
        <v>1954</v>
      </c>
      <c r="C57" s="320" t="s">
        <v>1654</v>
      </c>
      <c r="D57" s="324" t="s">
        <v>1655</v>
      </c>
      <c r="E57" s="320" t="s">
        <v>1384</v>
      </c>
      <c r="F57" s="312"/>
      <c r="G57" s="312"/>
      <c r="H57" s="366">
        <f t="shared" si="23"/>
        <v>0</v>
      </c>
      <c r="I57" s="312"/>
      <c r="J57" s="375">
        <f t="shared" si="24"/>
        <v>0</v>
      </c>
      <c r="K57" s="336">
        <f t="shared" si="25"/>
        <v>0</v>
      </c>
      <c r="L57" s="312"/>
      <c r="M57" s="375">
        <f t="shared" si="26"/>
        <v>0</v>
      </c>
      <c r="N57" s="349">
        <f t="shared" si="27"/>
        <v>0</v>
      </c>
      <c r="O57" s="310"/>
      <c r="P57" s="128" t="s">
        <v>1004</v>
      </c>
      <c r="Q57" s="361">
        <f t="shared" si="28"/>
        <v>0</v>
      </c>
      <c r="R57" s="361">
        <f t="shared" si="29"/>
        <v>0</v>
      </c>
      <c r="S57" s="166"/>
      <c r="T57" s="166"/>
    </row>
    <row r="58" spans="1:20" hidden="1" outlineLevel="2" x14ac:dyDescent="0.25">
      <c r="A58" s="329" t="s">
        <v>1328</v>
      </c>
      <c r="B58" s="325" t="s">
        <v>1954</v>
      </c>
      <c r="C58" s="320" t="s">
        <v>1493</v>
      </c>
      <c r="D58" s="327" t="s">
        <v>1972</v>
      </c>
      <c r="E58" s="320"/>
      <c r="F58" s="317"/>
      <c r="G58" s="317"/>
      <c r="H58" s="366">
        <f t="shared" si="23"/>
        <v>0</v>
      </c>
      <c r="I58" s="318"/>
      <c r="J58" s="375">
        <f t="shared" si="24"/>
        <v>0</v>
      </c>
      <c r="K58" s="336">
        <f t="shared" si="25"/>
        <v>0</v>
      </c>
      <c r="L58" s="318"/>
      <c r="M58" s="375">
        <f t="shared" si="26"/>
        <v>0</v>
      </c>
      <c r="N58" s="349">
        <f t="shared" si="27"/>
        <v>0</v>
      </c>
      <c r="O58" s="319"/>
      <c r="P58" s="128" t="s">
        <v>1004</v>
      </c>
      <c r="Q58" s="361">
        <f t="shared" si="28"/>
        <v>0</v>
      </c>
      <c r="R58" s="361">
        <f t="shared" si="29"/>
        <v>0</v>
      </c>
      <c r="S58" s="166"/>
      <c r="T58" s="166"/>
    </row>
    <row r="59" spans="1:20" hidden="1" outlineLevel="2" x14ac:dyDescent="0.25">
      <c r="A59" s="329" t="s">
        <v>1328</v>
      </c>
      <c r="B59" s="325" t="s">
        <v>1954</v>
      </c>
      <c r="C59" s="320" t="s">
        <v>1656</v>
      </c>
      <c r="D59" s="324" t="s">
        <v>1657</v>
      </c>
      <c r="E59" s="320" t="s">
        <v>1384</v>
      </c>
      <c r="F59" s="312"/>
      <c r="G59" s="312"/>
      <c r="H59" s="366">
        <f t="shared" si="23"/>
        <v>0</v>
      </c>
      <c r="I59" s="312"/>
      <c r="J59" s="375">
        <f t="shared" si="24"/>
        <v>0</v>
      </c>
      <c r="K59" s="336">
        <f t="shared" si="25"/>
        <v>0</v>
      </c>
      <c r="L59" s="312"/>
      <c r="M59" s="375">
        <f t="shared" si="26"/>
        <v>0</v>
      </c>
      <c r="N59" s="349">
        <f t="shared" si="27"/>
        <v>0</v>
      </c>
      <c r="O59" s="310"/>
      <c r="P59" s="128" t="s">
        <v>1004</v>
      </c>
      <c r="Q59" s="361">
        <f t="shared" si="28"/>
        <v>0</v>
      </c>
      <c r="R59" s="361">
        <f t="shared" si="29"/>
        <v>0</v>
      </c>
      <c r="S59" s="166"/>
      <c r="T59" s="166"/>
    </row>
    <row r="60" spans="1:20" hidden="1" outlineLevel="2" x14ac:dyDescent="0.25">
      <c r="A60" s="329" t="s">
        <v>1328</v>
      </c>
      <c r="B60" s="325" t="s">
        <v>1954</v>
      </c>
      <c r="C60" s="320" t="s">
        <v>1658</v>
      </c>
      <c r="D60" s="324" t="s">
        <v>1659</v>
      </c>
      <c r="E60" s="320" t="s">
        <v>1384</v>
      </c>
      <c r="F60" s="312"/>
      <c r="G60" s="312"/>
      <c r="H60" s="366">
        <f t="shared" si="23"/>
        <v>0</v>
      </c>
      <c r="I60" s="312"/>
      <c r="J60" s="375">
        <f t="shared" si="24"/>
        <v>0</v>
      </c>
      <c r="K60" s="336">
        <f t="shared" si="25"/>
        <v>0</v>
      </c>
      <c r="L60" s="312"/>
      <c r="M60" s="375">
        <f t="shared" si="26"/>
        <v>0</v>
      </c>
      <c r="N60" s="349">
        <f t="shared" si="27"/>
        <v>0</v>
      </c>
      <c r="O60" s="310"/>
      <c r="P60" s="128" t="s">
        <v>1004</v>
      </c>
      <c r="Q60" s="361">
        <f t="shared" si="28"/>
        <v>0</v>
      </c>
      <c r="R60" s="361">
        <f t="shared" si="29"/>
        <v>0</v>
      </c>
      <c r="S60" s="166"/>
      <c r="T60" s="166"/>
    </row>
    <row r="61" spans="1:20" hidden="1" outlineLevel="2" x14ac:dyDescent="0.25">
      <c r="A61" s="329" t="s">
        <v>1328</v>
      </c>
      <c r="B61" s="325" t="s">
        <v>1954</v>
      </c>
      <c r="C61" s="320" t="s">
        <v>1660</v>
      </c>
      <c r="D61" s="324" t="s">
        <v>1677</v>
      </c>
      <c r="E61" s="320" t="s">
        <v>1384</v>
      </c>
      <c r="F61" s="312"/>
      <c r="G61" s="312"/>
      <c r="H61" s="366">
        <f t="shared" si="23"/>
        <v>0</v>
      </c>
      <c r="I61" s="312"/>
      <c r="J61" s="375">
        <f t="shared" si="24"/>
        <v>0</v>
      </c>
      <c r="K61" s="336">
        <f t="shared" si="25"/>
        <v>0</v>
      </c>
      <c r="L61" s="312"/>
      <c r="M61" s="375">
        <f t="shared" si="26"/>
        <v>0</v>
      </c>
      <c r="N61" s="349">
        <f t="shared" si="27"/>
        <v>0</v>
      </c>
      <c r="O61" s="310"/>
      <c r="P61" s="128" t="s">
        <v>1004</v>
      </c>
      <c r="Q61" s="361">
        <f t="shared" si="28"/>
        <v>0</v>
      </c>
      <c r="R61" s="361">
        <f t="shared" si="29"/>
        <v>0</v>
      </c>
      <c r="S61" s="180"/>
      <c r="T61" s="180"/>
    </row>
    <row r="62" spans="1:20" hidden="1" outlineLevel="2" x14ac:dyDescent="0.25">
      <c r="A62" s="329" t="s">
        <v>1328</v>
      </c>
      <c r="B62" s="325" t="s">
        <v>1954</v>
      </c>
      <c r="C62" s="320" t="s">
        <v>1495</v>
      </c>
      <c r="D62" s="327" t="s">
        <v>1973</v>
      </c>
      <c r="E62" s="319"/>
      <c r="F62" s="317"/>
      <c r="G62" s="317"/>
      <c r="H62" s="366">
        <f t="shared" si="23"/>
        <v>0</v>
      </c>
      <c r="I62" s="318"/>
      <c r="J62" s="375">
        <f t="shared" si="24"/>
        <v>0</v>
      </c>
      <c r="K62" s="336">
        <f t="shared" si="25"/>
        <v>0</v>
      </c>
      <c r="L62" s="318"/>
      <c r="M62" s="375">
        <f t="shared" si="26"/>
        <v>0</v>
      </c>
      <c r="N62" s="349">
        <f t="shared" si="27"/>
        <v>0</v>
      </c>
      <c r="O62" s="319"/>
      <c r="P62" s="128" t="s">
        <v>1004</v>
      </c>
      <c r="Q62" s="361">
        <f t="shared" si="28"/>
        <v>0</v>
      </c>
      <c r="R62" s="361">
        <f t="shared" si="29"/>
        <v>0</v>
      </c>
      <c r="S62" s="166"/>
      <c r="T62" s="166"/>
    </row>
    <row r="63" spans="1:20" hidden="1" outlineLevel="2" x14ac:dyDescent="0.25">
      <c r="A63" s="329" t="s">
        <v>1328</v>
      </c>
      <c r="B63" s="325" t="s">
        <v>1954</v>
      </c>
      <c r="C63" s="320" t="s">
        <v>1661</v>
      </c>
      <c r="D63" s="324" t="s">
        <v>1662</v>
      </c>
      <c r="E63" s="320" t="s">
        <v>1384</v>
      </c>
      <c r="F63" s="312"/>
      <c r="G63" s="312"/>
      <c r="H63" s="366">
        <f t="shared" si="23"/>
        <v>0</v>
      </c>
      <c r="I63" s="312"/>
      <c r="J63" s="375">
        <f t="shared" si="24"/>
        <v>0</v>
      </c>
      <c r="K63" s="336">
        <f t="shared" si="25"/>
        <v>0</v>
      </c>
      <c r="L63" s="312"/>
      <c r="M63" s="375">
        <f t="shared" si="26"/>
        <v>0</v>
      </c>
      <c r="N63" s="349">
        <f t="shared" si="27"/>
        <v>0</v>
      </c>
      <c r="O63" s="310"/>
      <c r="P63" s="128" t="s">
        <v>1004</v>
      </c>
      <c r="Q63" s="361">
        <f t="shared" si="28"/>
        <v>0</v>
      </c>
      <c r="R63" s="361">
        <f t="shared" si="29"/>
        <v>0</v>
      </c>
      <c r="S63" s="166"/>
      <c r="T63" s="166"/>
    </row>
    <row r="64" spans="1:20" hidden="1" outlineLevel="2" x14ac:dyDescent="0.25">
      <c r="A64" s="329" t="s">
        <v>1328</v>
      </c>
      <c r="B64" s="325" t="s">
        <v>1954</v>
      </c>
      <c r="C64" s="320" t="s">
        <v>1663</v>
      </c>
      <c r="D64" s="324" t="s">
        <v>1664</v>
      </c>
      <c r="E64" s="320" t="s">
        <v>1384</v>
      </c>
      <c r="F64" s="312"/>
      <c r="G64" s="312"/>
      <c r="H64" s="366">
        <f t="shared" si="23"/>
        <v>0</v>
      </c>
      <c r="I64" s="312"/>
      <c r="J64" s="375">
        <f t="shared" si="24"/>
        <v>0</v>
      </c>
      <c r="K64" s="336">
        <f t="shared" si="25"/>
        <v>0</v>
      </c>
      <c r="L64" s="312"/>
      <c r="M64" s="375">
        <f t="shared" si="26"/>
        <v>0</v>
      </c>
      <c r="N64" s="349">
        <f t="shared" si="27"/>
        <v>0</v>
      </c>
      <c r="O64" s="310"/>
      <c r="P64" s="128" t="s">
        <v>1004</v>
      </c>
      <c r="Q64" s="361">
        <f t="shared" si="28"/>
        <v>0</v>
      </c>
      <c r="R64" s="361">
        <f t="shared" si="29"/>
        <v>0</v>
      </c>
      <c r="S64" s="166"/>
      <c r="T64" s="166"/>
    </row>
    <row r="65" spans="1:20" hidden="1" outlineLevel="2" x14ac:dyDescent="0.25">
      <c r="A65" s="329" t="s">
        <v>1328</v>
      </c>
      <c r="B65" s="325" t="s">
        <v>1954</v>
      </c>
      <c r="C65" s="320" t="s">
        <v>1665</v>
      </c>
      <c r="D65" s="327" t="s">
        <v>1969</v>
      </c>
      <c r="E65" s="320" t="s">
        <v>1384</v>
      </c>
      <c r="F65" s="312"/>
      <c r="G65" s="312"/>
      <c r="H65" s="366">
        <f t="shared" si="23"/>
        <v>0</v>
      </c>
      <c r="I65" s="312"/>
      <c r="J65" s="375">
        <f t="shared" si="24"/>
        <v>0</v>
      </c>
      <c r="K65" s="336">
        <f t="shared" si="25"/>
        <v>0</v>
      </c>
      <c r="L65" s="312"/>
      <c r="M65" s="375">
        <f t="shared" si="26"/>
        <v>0</v>
      </c>
      <c r="N65" s="349">
        <f t="shared" si="27"/>
        <v>0</v>
      </c>
      <c r="O65" s="310"/>
      <c r="P65" s="128" t="s">
        <v>1004</v>
      </c>
      <c r="Q65" s="361">
        <f t="shared" si="28"/>
        <v>0</v>
      </c>
      <c r="R65" s="361">
        <f t="shared" si="29"/>
        <v>0</v>
      </c>
      <c r="S65" s="166"/>
      <c r="T65" s="166"/>
    </row>
    <row r="66" spans="1:20" hidden="1" outlineLevel="2" x14ac:dyDescent="0.25">
      <c r="A66" s="329" t="s">
        <v>1328</v>
      </c>
      <c r="B66" s="325" t="s">
        <v>1954</v>
      </c>
      <c r="C66" s="320" t="s">
        <v>1694</v>
      </c>
      <c r="D66" s="327" t="s">
        <v>1946</v>
      </c>
      <c r="E66" s="320"/>
      <c r="F66" s="317"/>
      <c r="G66" s="317"/>
      <c r="H66" s="366">
        <f t="shared" si="23"/>
        <v>0</v>
      </c>
      <c r="I66" s="318"/>
      <c r="J66" s="375">
        <f t="shared" si="24"/>
        <v>0</v>
      </c>
      <c r="K66" s="336">
        <f t="shared" si="25"/>
        <v>0</v>
      </c>
      <c r="L66" s="318"/>
      <c r="M66" s="375">
        <f t="shared" si="26"/>
        <v>0</v>
      </c>
      <c r="N66" s="349">
        <f t="shared" si="27"/>
        <v>0</v>
      </c>
      <c r="O66" s="319"/>
      <c r="P66" s="128" t="s">
        <v>1004</v>
      </c>
      <c r="Q66" s="361">
        <f t="shared" si="28"/>
        <v>0</v>
      </c>
      <c r="R66" s="361">
        <f t="shared" si="29"/>
        <v>0</v>
      </c>
      <c r="S66" s="166"/>
      <c r="T66" s="166"/>
    </row>
    <row r="67" spans="1:20" hidden="1" outlineLevel="2" x14ac:dyDescent="0.25">
      <c r="A67" s="329" t="s">
        <v>1328</v>
      </c>
      <c r="B67" s="325" t="s">
        <v>1954</v>
      </c>
      <c r="C67" s="320" t="s">
        <v>1627</v>
      </c>
      <c r="D67" s="324" t="s">
        <v>1947</v>
      </c>
      <c r="E67" s="320" t="s">
        <v>1384</v>
      </c>
      <c r="F67" s="312"/>
      <c r="G67" s="312"/>
      <c r="H67" s="366">
        <f t="shared" si="23"/>
        <v>0</v>
      </c>
      <c r="I67" s="312"/>
      <c r="J67" s="375">
        <f t="shared" si="24"/>
        <v>0</v>
      </c>
      <c r="K67" s="336">
        <f t="shared" si="25"/>
        <v>0</v>
      </c>
      <c r="L67" s="312"/>
      <c r="M67" s="375">
        <f t="shared" si="26"/>
        <v>0</v>
      </c>
      <c r="N67" s="349">
        <f t="shared" si="27"/>
        <v>0</v>
      </c>
      <c r="O67" s="310"/>
      <c r="P67" s="128" t="s">
        <v>1004</v>
      </c>
      <c r="Q67" s="361">
        <f t="shared" si="28"/>
        <v>0</v>
      </c>
      <c r="R67" s="361">
        <f t="shared" si="29"/>
        <v>0</v>
      </c>
      <c r="S67" s="166"/>
      <c r="T67" s="166"/>
    </row>
    <row r="68" spans="1:20" hidden="1" outlineLevel="2" x14ac:dyDescent="0.25">
      <c r="A68" s="329" t="s">
        <v>1328</v>
      </c>
      <c r="B68" s="325" t="s">
        <v>1954</v>
      </c>
      <c r="C68" s="320" t="s">
        <v>1948</v>
      </c>
      <c r="D68" s="324" t="s">
        <v>1947</v>
      </c>
      <c r="E68" s="320" t="s">
        <v>1384</v>
      </c>
      <c r="F68" s="312"/>
      <c r="G68" s="312"/>
      <c r="H68" s="366">
        <f t="shared" si="23"/>
        <v>0</v>
      </c>
      <c r="I68" s="312"/>
      <c r="J68" s="375">
        <f t="shared" si="24"/>
        <v>0</v>
      </c>
      <c r="K68" s="336">
        <f t="shared" si="25"/>
        <v>0</v>
      </c>
      <c r="L68" s="312"/>
      <c r="M68" s="375">
        <f t="shared" si="26"/>
        <v>0</v>
      </c>
      <c r="N68" s="349">
        <f t="shared" si="27"/>
        <v>0</v>
      </c>
      <c r="O68" s="310"/>
      <c r="P68" s="128" t="s">
        <v>1004</v>
      </c>
      <c r="Q68" s="361">
        <f t="shared" si="28"/>
        <v>0</v>
      </c>
      <c r="R68" s="361">
        <f t="shared" si="29"/>
        <v>0</v>
      </c>
      <c r="S68" s="166"/>
      <c r="T68" s="166"/>
    </row>
    <row r="69" spans="1:20" hidden="1" outlineLevel="2" x14ac:dyDescent="0.25">
      <c r="A69" s="329" t="s">
        <v>1328</v>
      </c>
      <c r="B69" s="325" t="s">
        <v>1954</v>
      </c>
      <c r="C69" s="320" t="s">
        <v>1949</v>
      </c>
      <c r="D69" s="324" t="s">
        <v>1947</v>
      </c>
      <c r="E69" s="320" t="s">
        <v>1384</v>
      </c>
      <c r="F69" s="312"/>
      <c r="G69" s="312"/>
      <c r="H69" s="366">
        <f t="shared" si="23"/>
        <v>0</v>
      </c>
      <c r="I69" s="312"/>
      <c r="J69" s="375">
        <f t="shared" si="24"/>
        <v>0</v>
      </c>
      <c r="K69" s="336">
        <f t="shared" si="25"/>
        <v>0</v>
      </c>
      <c r="L69" s="312"/>
      <c r="M69" s="375">
        <f t="shared" si="26"/>
        <v>0</v>
      </c>
      <c r="N69" s="349">
        <f t="shared" si="27"/>
        <v>0</v>
      </c>
      <c r="O69" s="310"/>
      <c r="P69" s="128" t="s">
        <v>1004</v>
      </c>
      <c r="Q69" s="361">
        <f t="shared" si="28"/>
        <v>0</v>
      </c>
      <c r="R69" s="361">
        <f t="shared" si="29"/>
        <v>0</v>
      </c>
      <c r="S69" s="166"/>
      <c r="T69" s="166"/>
    </row>
    <row r="70" spans="1:20" hidden="1" outlineLevel="1" collapsed="1" x14ac:dyDescent="0.25">
      <c r="A70" s="331" t="s">
        <v>1022</v>
      </c>
      <c r="B70" s="314" t="s">
        <v>1954</v>
      </c>
      <c r="C70" s="315"/>
      <c r="D70" s="326" t="s">
        <v>1950</v>
      </c>
      <c r="E70" s="315"/>
      <c r="F70" s="313"/>
      <c r="G70" s="313"/>
      <c r="H70" s="367"/>
      <c r="I70" s="313"/>
      <c r="J70" s="362">
        <f>SUM(J29:J69)</f>
        <v>0</v>
      </c>
      <c r="K70" s="338">
        <f>SUM(K29:K69)</f>
        <v>0</v>
      </c>
      <c r="L70" s="313"/>
      <c r="M70" s="362">
        <f>SUM(M29:M69)</f>
        <v>0</v>
      </c>
      <c r="N70" s="338">
        <f>SUM(N29:N69)</f>
        <v>0</v>
      </c>
      <c r="O70" s="314"/>
      <c r="P70" s="128"/>
      <c r="Q70" s="362">
        <f>SUM(Q29:Q69)</f>
        <v>0</v>
      </c>
      <c r="R70" s="362">
        <f>SUM(R29:R69)</f>
        <v>0</v>
      </c>
      <c r="S70" s="166"/>
      <c r="T70" s="166"/>
    </row>
    <row r="71" spans="1:20" hidden="1" outlineLevel="1" x14ac:dyDescent="0.25">
      <c r="A71" s="329" t="s">
        <v>1354</v>
      </c>
      <c r="B71" s="325" t="s">
        <v>1974</v>
      </c>
      <c r="C71" s="320">
        <v>4</v>
      </c>
      <c r="D71" s="327" t="s">
        <v>1975</v>
      </c>
      <c r="E71" s="319"/>
      <c r="F71" s="317"/>
      <c r="G71" s="317"/>
      <c r="H71" s="366">
        <f t="shared" ref="H71:H84" si="30">+SUM(F71:G71)</f>
        <v>0</v>
      </c>
      <c r="I71" s="318"/>
      <c r="J71" s="375">
        <f t="shared" ref="J71:J84" si="31">+ROUND(I71*H71,2)</f>
        <v>0</v>
      </c>
      <c r="K71" s="337">
        <f t="shared" ref="K71:K84" si="32">J71</f>
        <v>0</v>
      </c>
      <c r="L71" s="318"/>
      <c r="M71" s="375">
        <f t="shared" ref="M71:M84" si="33">+ROUND(L71*H71,2)</f>
        <v>0</v>
      </c>
      <c r="N71" s="350">
        <f t="shared" ref="N71:N84" si="34">M71</f>
        <v>0</v>
      </c>
      <c r="O71" s="319"/>
      <c r="P71" s="128" t="s">
        <v>1004</v>
      </c>
      <c r="Q71" s="361">
        <f t="shared" ref="Q71:Q84" si="35">+ROUND((K71)*(1+SUMIF($Q$2:$Q$4,P71,$R$2:$R$4)),0)</f>
        <v>0</v>
      </c>
      <c r="R71" s="361">
        <f t="shared" ref="R71:R84" si="36">+ROUND((N71)*(1+SUMIF($Q$2:$Q$4,P71,$R$2:$R$4)),0)</f>
        <v>0</v>
      </c>
      <c r="S71" s="180"/>
      <c r="T71" s="180"/>
    </row>
    <row r="72" spans="1:20" hidden="1" outlineLevel="2" x14ac:dyDescent="0.25">
      <c r="A72" s="329" t="s">
        <v>1354</v>
      </c>
      <c r="B72" s="325" t="s">
        <v>1974</v>
      </c>
      <c r="C72" s="320">
        <v>4.0999999999999996</v>
      </c>
      <c r="D72" s="327" t="s">
        <v>1976</v>
      </c>
      <c r="E72" s="319"/>
      <c r="F72" s="317"/>
      <c r="G72" s="317"/>
      <c r="H72" s="366">
        <f t="shared" si="30"/>
        <v>0</v>
      </c>
      <c r="I72" s="318"/>
      <c r="J72" s="375">
        <f t="shared" si="31"/>
        <v>0</v>
      </c>
      <c r="K72" s="337">
        <f t="shared" si="32"/>
        <v>0</v>
      </c>
      <c r="L72" s="318"/>
      <c r="M72" s="375">
        <f t="shared" si="33"/>
        <v>0</v>
      </c>
      <c r="N72" s="350">
        <f t="shared" si="34"/>
        <v>0</v>
      </c>
      <c r="O72" s="319"/>
      <c r="P72" s="128" t="s">
        <v>1004</v>
      </c>
      <c r="Q72" s="361">
        <f t="shared" si="35"/>
        <v>0</v>
      </c>
      <c r="R72" s="361">
        <f t="shared" si="36"/>
        <v>0</v>
      </c>
      <c r="S72" s="180"/>
      <c r="T72" s="180"/>
    </row>
    <row r="73" spans="1:20" hidden="1" outlineLevel="2" x14ac:dyDescent="0.25">
      <c r="A73" s="329" t="s">
        <v>1354</v>
      </c>
      <c r="B73" s="325" t="s">
        <v>1974</v>
      </c>
      <c r="C73" s="320" t="s">
        <v>1506</v>
      </c>
      <c r="D73" s="324" t="s">
        <v>1666</v>
      </c>
      <c r="E73" s="320" t="s">
        <v>1384</v>
      </c>
      <c r="F73" s="312"/>
      <c r="G73" s="312"/>
      <c r="H73" s="366">
        <f t="shared" si="30"/>
        <v>0</v>
      </c>
      <c r="I73" s="312"/>
      <c r="J73" s="375">
        <f t="shared" si="31"/>
        <v>0</v>
      </c>
      <c r="K73" s="336">
        <f t="shared" si="32"/>
        <v>0</v>
      </c>
      <c r="L73" s="312"/>
      <c r="M73" s="375">
        <f t="shared" si="33"/>
        <v>0</v>
      </c>
      <c r="N73" s="349">
        <f t="shared" si="34"/>
        <v>0</v>
      </c>
      <c r="O73" s="310"/>
      <c r="P73" s="128" t="s">
        <v>1004</v>
      </c>
      <c r="Q73" s="361">
        <f t="shared" si="35"/>
        <v>0</v>
      </c>
      <c r="R73" s="361">
        <f t="shared" si="36"/>
        <v>0</v>
      </c>
      <c r="S73" s="180"/>
      <c r="T73" s="180"/>
    </row>
    <row r="74" spans="1:20" ht="24.75" hidden="1" customHeight="1" outlineLevel="2" x14ac:dyDescent="0.25">
      <c r="A74" s="329" t="s">
        <v>1354</v>
      </c>
      <c r="B74" s="325" t="s">
        <v>1974</v>
      </c>
      <c r="C74" s="320" t="s">
        <v>1508</v>
      </c>
      <c r="D74" s="324" t="s">
        <v>1667</v>
      </c>
      <c r="E74" s="320" t="s">
        <v>1384</v>
      </c>
      <c r="F74" s="312"/>
      <c r="G74" s="312"/>
      <c r="H74" s="366">
        <f t="shared" si="30"/>
        <v>0</v>
      </c>
      <c r="I74" s="312"/>
      <c r="J74" s="375">
        <f t="shared" si="31"/>
        <v>0</v>
      </c>
      <c r="K74" s="336">
        <f t="shared" si="32"/>
        <v>0</v>
      </c>
      <c r="L74" s="312"/>
      <c r="M74" s="375">
        <f t="shared" si="33"/>
        <v>0</v>
      </c>
      <c r="N74" s="349">
        <f t="shared" si="34"/>
        <v>0</v>
      </c>
      <c r="O74" s="310"/>
      <c r="P74" s="128" t="s">
        <v>1004</v>
      </c>
      <c r="Q74" s="361">
        <f t="shared" si="35"/>
        <v>0</v>
      </c>
      <c r="R74" s="361">
        <f t="shared" si="36"/>
        <v>0</v>
      </c>
      <c r="S74" s="180"/>
      <c r="T74" s="180"/>
    </row>
    <row r="75" spans="1:20" hidden="1" outlineLevel="2" x14ac:dyDescent="0.25">
      <c r="A75" s="329" t="s">
        <v>1354</v>
      </c>
      <c r="B75" s="325" t="s">
        <v>1974</v>
      </c>
      <c r="C75" s="320">
        <v>4.2</v>
      </c>
      <c r="D75" s="327" t="s">
        <v>1668</v>
      </c>
      <c r="E75" s="320" t="s">
        <v>1384</v>
      </c>
      <c r="F75" s="312"/>
      <c r="G75" s="312"/>
      <c r="H75" s="366">
        <f t="shared" si="30"/>
        <v>0</v>
      </c>
      <c r="I75" s="312"/>
      <c r="J75" s="375">
        <f t="shared" si="31"/>
        <v>0</v>
      </c>
      <c r="K75" s="336">
        <f t="shared" si="32"/>
        <v>0</v>
      </c>
      <c r="L75" s="312"/>
      <c r="M75" s="375">
        <f t="shared" si="33"/>
        <v>0</v>
      </c>
      <c r="N75" s="349">
        <f t="shared" si="34"/>
        <v>0</v>
      </c>
      <c r="O75" s="310"/>
      <c r="P75" s="128" t="s">
        <v>1004</v>
      </c>
      <c r="Q75" s="361">
        <f t="shared" si="35"/>
        <v>0</v>
      </c>
      <c r="R75" s="361">
        <f t="shared" si="36"/>
        <v>0</v>
      </c>
      <c r="S75" s="180"/>
      <c r="T75" s="180"/>
    </row>
    <row r="76" spans="1:20" hidden="1" outlineLevel="2" x14ac:dyDescent="0.25">
      <c r="A76" s="329" t="s">
        <v>1354</v>
      </c>
      <c r="B76" s="325" t="s">
        <v>1974</v>
      </c>
      <c r="C76" s="320">
        <v>4.3</v>
      </c>
      <c r="D76" s="327" t="s">
        <v>1977</v>
      </c>
      <c r="E76" s="319"/>
      <c r="F76" s="317"/>
      <c r="G76" s="317"/>
      <c r="H76" s="366">
        <f t="shared" si="30"/>
        <v>0</v>
      </c>
      <c r="I76" s="318"/>
      <c r="J76" s="375">
        <f t="shared" si="31"/>
        <v>0</v>
      </c>
      <c r="K76" s="337">
        <f t="shared" si="32"/>
        <v>0</v>
      </c>
      <c r="L76" s="318"/>
      <c r="M76" s="375">
        <f t="shared" si="33"/>
        <v>0</v>
      </c>
      <c r="N76" s="350">
        <f t="shared" si="34"/>
        <v>0</v>
      </c>
      <c r="O76" s="319"/>
      <c r="P76" s="128" t="s">
        <v>1004</v>
      </c>
      <c r="Q76" s="361">
        <f t="shared" si="35"/>
        <v>0</v>
      </c>
      <c r="R76" s="361">
        <f t="shared" si="36"/>
        <v>0</v>
      </c>
      <c r="S76" s="180"/>
      <c r="T76" s="180"/>
    </row>
    <row r="77" spans="1:20" hidden="1" outlineLevel="2" x14ac:dyDescent="0.25">
      <c r="A77" s="329" t="s">
        <v>1354</v>
      </c>
      <c r="B77" s="325" t="s">
        <v>1974</v>
      </c>
      <c r="C77" s="320" t="s">
        <v>1516</v>
      </c>
      <c r="D77" s="324" t="s">
        <v>1978</v>
      </c>
      <c r="E77" s="320" t="s">
        <v>1384</v>
      </c>
      <c r="F77" s="312"/>
      <c r="G77" s="312"/>
      <c r="H77" s="366">
        <f t="shared" si="30"/>
        <v>0</v>
      </c>
      <c r="I77" s="312"/>
      <c r="J77" s="375">
        <f t="shared" si="31"/>
        <v>0</v>
      </c>
      <c r="K77" s="336">
        <f t="shared" si="32"/>
        <v>0</v>
      </c>
      <c r="L77" s="312"/>
      <c r="M77" s="375">
        <f t="shared" si="33"/>
        <v>0</v>
      </c>
      <c r="N77" s="349">
        <f t="shared" si="34"/>
        <v>0</v>
      </c>
      <c r="O77" s="310"/>
      <c r="P77" s="128" t="s">
        <v>1004</v>
      </c>
      <c r="Q77" s="361">
        <f t="shared" si="35"/>
        <v>0</v>
      </c>
      <c r="R77" s="361">
        <f t="shared" si="36"/>
        <v>0</v>
      </c>
      <c r="S77" s="180"/>
      <c r="T77" s="180"/>
    </row>
    <row r="78" spans="1:20" hidden="1" outlineLevel="2" x14ac:dyDescent="0.25">
      <c r="A78" s="329" t="s">
        <v>1354</v>
      </c>
      <c r="B78" s="325" t="s">
        <v>1974</v>
      </c>
      <c r="C78" s="320" t="s">
        <v>1518</v>
      </c>
      <c r="D78" s="324" t="s">
        <v>1979</v>
      </c>
      <c r="E78" s="320" t="s">
        <v>1384</v>
      </c>
      <c r="F78" s="312"/>
      <c r="G78" s="312"/>
      <c r="H78" s="366">
        <f t="shared" si="30"/>
        <v>0</v>
      </c>
      <c r="I78" s="312"/>
      <c r="J78" s="375">
        <f t="shared" si="31"/>
        <v>0</v>
      </c>
      <c r="K78" s="336">
        <f t="shared" si="32"/>
        <v>0</v>
      </c>
      <c r="L78" s="312"/>
      <c r="M78" s="375">
        <f t="shared" si="33"/>
        <v>0</v>
      </c>
      <c r="N78" s="349">
        <f t="shared" si="34"/>
        <v>0</v>
      </c>
      <c r="O78" s="310"/>
      <c r="P78" s="128" t="s">
        <v>1004</v>
      </c>
      <c r="Q78" s="361">
        <f t="shared" si="35"/>
        <v>0</v>
      </c>
      <c r="R78" s="361">
        <f t="shared" si="36"/>
        <v>0</v>
      </c>
      <c r="S78" s="180"/>
      <c r="T78" s="180"/>
    </row>
    <row r="79" spans="1:20" hidden="1" outlineLevel="2" x14ac:dyDescent="0.25">
      <c r="A79" s="329" t="s">
        <v>1354</v>
      </c>
      <c r="B79" s="325" t="s">
        <v>1974</v>
      </c>
      <c r="C79" s="320" t="s">
        <v>1520</v>
      </c>
      <c r="D79" s="324" t="s">
        <v>1980</v>
      </c>
      <c r="E79" s="320" t="s">
        <v>1384</v>
      </c>
      <c r="F79" s="312"/>
      <c r="G79" s="312"/>
      <c r="H79" s="366">
        <f t="shared" si="30"/>
        <v>0</v>
      </c>
      <c r="I79" s="312"/>
      <c r="J79" s="375">
        <f t="shared" si="31"/>
        <v>0</v>
      </c>
      <c r="K79" s="336">
        <f t="shared" si="32"/>
        <v>0</v>
      </c>
      <c r="L79" s="312"/>
      <c r="M79" s="375">
        <f t="shared" si="33"/>
        <v>0</v>
      </c>
      <c r="N79" s="349">
        <f t="shared" si="34"/>
        <v>0</v>
      </c>
      <c r="O79" s="310"/>
      <c r="P79" s="128" t="s">
        <v>1004</v>
      </c>
      <c r="Q79" s="361">
        <f t="shared" si="35"/>
        <v>0</v>
      </c>
      <c r="R79" s="361">
        <f t="shared" si="36"/>
        <v>0</v>
      </c>
      <c r="S79" s="180"/>
      <c r="T79" s="180"/>
    </row>
    <row r="80" spans="1:20" hidden="1" outlineLevel="2" x14ac:dyDescent="0.25">
      <c r="A80" s="329" t="s">
        <v>1354</v>
      </c>
      <c r="B80" s="325" t="s">
        <v>1974</v>
      </c>
      <c r="C80" s="320" t="s">
        <v>1522</v>
      </c>
      <c r="D80" s="324" t="s">
        <v>1969</v>
      </c>
      <c r="E80" s="320" t="s">
        <v>1384</v>
      </c>
      <c r="F80" s="312"/>
      <c r="G80" s="312"/>
      <c r="H80" s="366">
        <f t="shared" si="30"/>
        <v>0</v>
      </c>
      <c r="I80" s="312"/>
      <c r="J80" s="375">
        <f t="shared" si="31"/>
        <v>0</v>
      </c>
      <c r="K80" s="336">
        <f t="shared" si="32"/>
        <v>0</v>
      </c>
      <c r="L80" s="312"/>
      <c r="M80" s="375">
        <f t="shared" si="33"/>
        <v>0</v>
      </c>
      <c r="N80" s="349">
        <f t="shared" si="34"/>
        <v>0</v>
      </c>
      <c r="O80" s="310"/>
      <c r="P80" s="128" t="s">
        <v>1004</v>
      </c>
      <c r="Q80" s="361">
        <f t="shared" si="35"/>
        <v>0</v>
      </c>
      <c r="R80" s="361">
        <f t="shared" si="36"/>
        <v>0</v>
      </c>
      <c r="S80" s="180"/>
      <c r="T80" s="180"/>
    </row>
    <row r="81" spans="1:20" hidden="1" outlineLevel="2" x14ac:dyDescent="0.25">
      <c r="A81" s="329" t="s">
        <v>1354</v>
      </c>
      <c r="B81" s="325" t="s">
        <v>1974</v>
      </c>
      <c r="C81" s="320">
        <v>4.4000000000000004</v>
      </c>
      <c r="D81" s="327" t="s">
        <v>1946</v>
      </c>
      <c r="E81" s="319"/>
      <c r="F81" s="317"/>
      <c r="G81" s="317"/>
      <c r="H81" s="366">
        <f t="shared" si="30"/>
        <v>0</v>
      </c>
      <c r="I81" s="318"/>
      <c r="J81" s="375">
        <f t="shared" si="31"/>
        <v>0</v>
      </c>
      <c r="K81" s="336">
        <f t="shared" si="32"/>
        <v>0</v>
      </c>
      <c r="L81" s="318"/>
      <c r="M81" s="375">
        <f t="shared" si="33"/>
        <v>0</v>
      </c>
      <c r="N81" s="349">
        <f t="shared" si="34"/>
        <v>0</v>
      </c>
      <c r="O81" s="319"/>
      <c r="P81" s="128" t="s">
        <v>1004</v>
      </c>
      <c r="Q81" s="361">
        <f t="shared" si="35"/>
        <v>0</v>
      </c>
      <c r="R81" s="361">
        <f t="shared" si="36"/>
        <v>0</v>
      </c>
      <c r="S81" s="166"/>
      <c r="T81" s="166"/>
    </row>
    <row r="82" spans="1:20" hidden="1" outlineLevel="2" x14ac:dyDescent="0.25">
      <c r="A82" s="329" t="s">
        <v>1354</v>
      </c>
      <c r="B82" s="325" t="s">
        <v>1974</v>
      </c>
      <c r="C82" s="320" t="s">
        <v>1627</v>
      </c>
      <c r="D82" s="324" t="s">
        <v>1947</v>
      </c>
      <c r="E82" s="320" t="s">
        <v>1384</v>
      </c>
      <c r="F82" s="312"/>
      <c r="G82" s="312"/>
      <c r="H82" s="366">
        <f t="shared" si="30"/>
        <v>0</v>
      </c>
      <c r="I82" s="312"/>
      <c r="J82" s="375">
        <f t="shared" si="31"/>
        <v>0</v>
      </c>
      <c r="K82" s="336">
        <f t="shared" si="32"/>
        <v>0</v>
      </c>
      <c r="L82" s="312"/>
      <c r="M82" s="375">
        <f t="shared" si="33"/>
        <v>0</v>
      </c>
      <c r="N82" s="349">
        <f t="shared" si="34"/>
        <v>0</v>
      </c>
      <c r="O82" s="310"/>
      <c r="P82" s="128" t="s">
        <v>1004</v>
      </c>
      <c r="Q82" s="361">
        <f t="shared" si="35"/>
        <v>0</v>
      </c>
      <c r="R82" s="361">
        <f t="shared" si="36"/>
        <v>0</v>
      </c>
      <c r="S82" s="166"/>
      <c r="T82" s="166"/>
    </row>
    <row r="83" spans="1:20" hidden="1" outlineLevel="2" x14ac:dyDescent="0.25">
      <c r="A83" s="329" t="s">
        <v>1354</v>
      </c>
      <c r="B83" s="325" t="s">
        <v>1974</v>
      </c>
      <c r="C83" s="320" t="s">
        <v>1948</v>
      </c>
      <c r="D83" s="324" t="s">
        <v>1947</v>
      </c>
      <c r="E83" s="320" t="s">
        <v>1384</v>
      </c>
      <c r="F83" s="312"/>
      <c r="G83" s="312"/>
      <c r="H83" s="366">
        <f t="shared" si="30"/>
        <v>0</v>
      </c>
      <c r="I83" s="312"/>
      <c r="J83" s="375">
        <f t="shared" si="31"/>
        <v>0</v>
      </c>
      <c r="K83" s="336">
        <f t="shared" si="32"/>
        <v>0</v>
      </c>
      <c r="L83" s="312"/>
      <c r="M83" s="375">
        <f t="shared" si="33"/>
        <v>0</v>
      </c>
      <c r="N83" s="349">
        <f t="shared" si="34"/>
        <v>0</v>
      </c>
      <c r="O83" s="310"/>
      <c r="P83" s="128" t="s">
        <v>1004</v>
      </c>
      <c r="Q83" s="361">
        <f t="shared" si="35"/>
        <v>0</v>
      </c>
      <c r="R83" s="361">
        <f t="shared" si="36"/>
        <v>0</v>
      </c>
      <c r="S83" s="166"/>
      <c r="T83" s="166"/>
    </row>
    <row r="84" spans="1:20" hidden="1" outlineLevel="2" x14ac:dyDescent="0.25">
      <c r="A84" s="329" t="s">
        <v>1354</v>
      </c>
      <c r="B84" s="325" t="s">
        <v>1974</v>
      </c>
      <c r="C84" s="320" t="s">
        <v>1949</v>
      </c>
      <c r="D84" s="324" t="s">
        <v>1947</v>
      </c>
      <c r="E84" s="320" t="s">
        <v>1384</v>
      </c>
      <c r="F84" s="312"/>
      <c r="G84" s="312"/>
      <c r="H84" s="366">
        <f t="shared" si="30"/>
        <v>0</v>
      </c>
      <c r="I84" s="312"/>
      <c r="J84" s="375">
        <f t="shared" si="31"/>
        <v>0</v>
      </c>
      <c r="K84" s="336">
        <f t="shared" si="32"/>
        <v>0</v>
      </c>
      <c r="L84" s="312"/>
      <c r="M84" s="375">
        <f t="shared" si="33"/>
        <v>0</v>
      </c>
      <c r="N84" s="349">
        <f t="shared" si="34"/>
        <v>0</v>
      </c>
      <c r="O84" s="310"/>
      <c r="P84" s="128" t="s">
        <v>1004</v>
      </c>
      <c r="Q84" s="361">
        <f t="shared" si="35"/>
        <v>0</v>
      </c>
      <c r="R84" s="361">
        <f t="shared" si="36"/>
        <v>0</v>
      </c>
      <c r="S84" s="166"/>
      <c r="T84" s="166"/>
    </row>
    <row r="85" spans="1:20" hidden="1" outlineLevel="1" collapsed="1" x14ac:dyDescent="0.25">
      <c r="A85" s="331" t="s">
        <v>1022</v>
      </c>
      <c r="B85" s="314" t="s">
        <v>1974</v>
      </c>
      <c r="C85" s="315"/>
      <c r="D85" s="326" t="s">
        <v>1950</v>
      </c>
      <c r="E85" s="315"/>
      <c r="F85" s="313"/>
      <c r="G85" s="313"/>
      <c r="H85" s="367"/>
      <c r="I85" s="313"/>
      <c r="J85" s="362">
        <f>SUM(J71:J84)</f>
        <v>0</v>
      </c>
      <c r="K85" s="338">
        <f>SUM(K71:K84)</f>
        <v>0</v>
      </c>
      <c r="L85" s="313"/>
      <c r="M85" s="362">
        <f>SUM(M71:M84)</f>
        <v>0</v>
      </c>
      <c r="N85" s="338">
        <f>SUM(N71:N84)</f>
        <v>0</v>
      </c>
      <c r="O85" s="314"/>
      <c r="P85" s="128"/>
      <c r="Q85" s="362">
        <f>SUM(Q71:Q84)</f>
        <v>0</v>
      </c>
      <c r="R85" s="362">
        <f>SUM(R71:R84)</f>
        <v>0</v>
      </c>
      <c r="S85" s="166"/>
      <c r="T85" s="166"/>
    </row>
    <row r="86" spans="1:20" hidden="1" outlineLevel="1" x14ac:dyDescent="0.25">
      <c r="A86" s="331" t="s">
        <v>1022</v>
      </c>
      <c r="B86" s="314" t="s">
        <v>1981</v>
      </c>
      <c r="C86" s="315"/>
      <c r="D86" s="382" t="s">
        <v>1982</v>
      </c>
      <c r="E86" s="315"/>
      <c r="F86" s="313"/>
      <c r="G86" s="313"/>
      <c r="H86" s="367"/>
      <c r="I86" s="313"/>
      <c r="J86" s="362"/>
      <c r="K86" s="338"/>
      <c r="L86" s="313"/>
      <c r="M86" s="362"/>
      <c r="N86" s="338"/>
      <c r="O86" s="314"/>
      <c r="P86" s="128"/>
      <c r="Q86" s="362"/>
      <c r="R86" s="362"/>
      <c r="S86" s="166"/>
      <c r="T86" s="166"/>
    </row>
    <row r="87" spans="1:20" hidden="1" outlineLevel="1" x14ac:dyDescent="0.25">
      <c r="A87" s="383" t="s">
        <v>1022</v>
      </c>
      <c r="B87" s="384" t="s">
        <v>1981</v>
      </c>
      <c r="C87" s="385"/>
      <c r="D87" s="386" t="s">
        <v>2023</v>
      </c>
      <c r="E87" s="385"/>
      <c r="F87" s="387"/>
      <c r="G87" s="387"/>
      <c r="H87" s="388"/>
      <c r="I87" s="387"/>
      <c r="J87" s="389">
        <f>J21</f>
        <v>0</v>
      </c>
      <c r="K87" s="390">
        <f>K21</f>
        <v>0</v>
      </c>
      <c r="L87" s="387"/>
      <c r="M87" s="389">
        <f>M21</f>
        <v>0</v>
      </c>
      <c r="N87" s="390">
        <f>N21</f>
        <v>0</v>
      </c>
      <c r="O87" s="384"/>
      <c r="P87" s="121"/>
      <c r="Q87" s="389">
        <f>Q21</f>
        <v>0</v>
      </c>
      <c r="R87" s="389">
        <f>R21</f>
        <v>0</v>
      </c>
      <c r="S87" s="166"/>
      <c r="T87" s="166"/>
    </row>
    <row r="88" spans="1:20" hidden="1" outlineLevel="1" x14ac:dyDescent="0.25">
      <c r="A88" s="383" t="s">
        <v>1022</v>
      </c>
      <c r="B88" s="384" t="s">
        <v>1981</v>
      </c>
      <c r="C88" s="385"/>
      <c r="D88" s="392" t="s">
        <v>2024</v>
      </c>
      <c r="E88" s="384"/>
      <c r="F88" s="387"/>
      <c r="G88" s="387"/>
      <c r="H88" s="388"/>
      <c r="I88" s="387"/>
      <c r="J88" s="389">
        <f>J28</f>
        <v>0</v>
      </c>
      <c r="K88" s="390">
        <f>K28</f>
        <v>0</v>
      </c>
      <c r="L88" s="387"/>
      <c r="M88" s="389">
        <f>M28</f>
        <v>0</v>
      </c>
      <c r="N88" s="390">
        <f>N28</f>
        <v>0</v>
      </c>
      <c r="O88" s="384"/>
      <c r="P88" s="121"/>
      <c r="Q88" s="390">
        <f>Q28</f>
        <v>0</v>
      </c>
      <c r="R88" s="389">
        <f>R28</f>
        <v>0</v>
      </c>
      <c r="S88" s="180"/>
      <c r="T88" s="180"/>
    </row>
    <row r="89" spans="1:20" hidden="1" outlineLevel="1" x14ac:dyDescent="0.25">
      <c r="A89" s="383" t="s">
        <v>1022</v>
      </c>
      <c r="B89" s="384" t="s">
        <v>1981</v>
      </c>
      <c r="C89" s="385"/>
      <c r="D89" s="386" t="s">
        <v>2025</v>
      </c>
      <c r="E89" s="384"/>
      <c r="F89" s="387"/>
      <c r="G89" s="387"/>
      <c r="H89" s="388"/>
      <c r="I89" s="387"/>
      <c r="J89" s="389">
        <f>J70</f>
        <v>0</v>
      </c>
      <c r="K89" s="390">
        <f>K70</f>
        <v>0</v>
      </c>
      <c r="L89" s="387"/>
      <c r="M89" s="389">
        <f>M70</f>
        <v>0</v>
      </c>
      <c r="N89" s="390">
        <f>N70</f>
        <v>0</v>
      </c>
      <c r="O89" s="384"/>
      <c r="P89" s="121"/>
      <c r="Q89" s="389">
        <f>Q70</f>
        <v>0</v>
      </c>
      <c r="R89" s="389">
        <f>R70</f>
        <v>0</v>
      </c>
      <c r="S89" s="166"/>
      <c r="T89" s="166"/>
    </row>
    <row r="90" spans="1:20" hidden="1" outlineLevel="1" x14ac:dyDescent="0.25">
      <c r="A90" s="383" t="s">
        <v>1022</v>
      </c>
      <c r="B90" s="384" t="s">
        <v>1981</v>
      </c>
      <c r="C90" s="385"/>
      <c r="D90" s="386" t="s">
        <v>2026</v>
      </c>
      <c r="E90" s="385"/>
      <c r="F90" s="387"/>
      <c r="G90" s="387"/>
      <c r="H90" s="388"/>
      <c r="I90" s="387"/>
      <c r="J90" s="389">
        <f>J85</f>
        <v>0</v>
      </c>
      <c r="K90" s="390">
        <f>K85</f>
        <v>0</v>
      </c>
      <c r="L90" s="387"/>
      <c r="M90" s="389">
        <f>M85</f>
        <v>0</v>
      </c>
      <c r="N90" s="390">
        <f>N85</f>
        <v>0</v>
      </c>
      <c r="O90" s="384"/>
      <c r="P90" s="121"/>
      <c r="Q90" s="389">
        <f>Q85</f>
        <v>0</v>
      </c>
      <c r="R90" s="389">
        <f>R85</f>
        <v>0</v>
      </c>
      <c r="S90" s="166"/>
      <c r="T90" s="166"/>
    </row>
    <row r="91" spans="1:20" collapsed="1" x14ac:dyDescent="0.25">
      <c r="A91" s="331" t="s">
        <v>1022</v>
      </c>
      <c r="B91" s="314" t="s">
        <v>1981</v>
      </c>
      <c r="C91" s="315"/>
      <c r="D91" s="326" t="s">
        <v>1950</v>
      </c>
      <c r="E91" s="315"/>
      <c r="F91" s="313"/>
      <c r="G91" s="313"/>
      <c r="H91" s="367"/>
      <c r="I91" s="313"/>
      <c r="J91" s="362">
        <f>SUM(J87:J90)</f>
        <v>0</v>
      </c>
      <c r="K91" s="338">
        <f>SUM(K87:K90)</f>
        <v>0</v>
      </c>
      <c r="L91" s="313"/>
      <c r="M91" s="362">
        <f>SUM(M87:M90)</f>
        <v>0</v>
      </c>
      <c r="N91" s="338">
        <f>SUM(N87:N90)</f>
        <v>0</v>
      </c>
      <c r="O91" s="314"/>
      <c r="P91" s="128"/>
      <c r="Q91" s="362">
        <f>SUM(Q87:Q90)</f>
        <v>0</v>
      </c>
      <c r="R91" s="362">
        <f>SUM(R87:R90)</f>
        <v>0</v>
      </c>
      <c r="S91" s="166"/>
      <c r="T91" s="166"/>
    </row>
    <row r="92" spans="1:20" x14ac:dyDescent="0.25">
      <c r="A92" s="329" t="s">
        <v>1352</v>
      </c>
      <c r="B92" s="325" t="s">
        <v>1983</v>
      </c>
      <c r="C92" s="316"/>
      <c r="D92" s="328" t="s">
        <v>1741</v>
      </c>
      <c r="E92" s="316"/>
      <c r="F92" s="311"/>
      <c r="G92" s="311"/>
      <c r="H92" s="368">
        <f t="shared" ref="H92:H104" si="37">+SUM(F92:G92)</f>
        <v>0</v>
      </c>
      <c r="I92" s="309"/>
      <c r="J92" s="376">
        <f t="shared" ref="J92:J104" si="38">+ROUND(I92*H92,2)</f>
        <v>0</v>
      </c>
      <c r="K92" s="339">
        <f t="shared" ref="K92:K104" si="39">J92</f>
        <v>0</v>
      </c>
      <c r="L92" s="312"/>
      <c r="M92" s="376">
        <f t="shared" ref="M92:M104" si="40">+ROUND(L92*H92,2)</f>
        <v>0</v>
      </c>
      <c r="N92" s="351">
        <f t="shared" ref="N92:N104" si="41">M92</f>
        <v>0</v>
      </c>
      <c r="O92" s="310"/>
      <c r="P92" s="128" t="s">
        <v>1004</v>
      </c>
      <c r="Q92" s="361">
        <f t="shared" ref="Q92:Q104" si="42">+ROUND((K92)*(1+SUMIF($Q$2:$Q$4,P92,$R$2:$R$4)),0)</f>
        <v>0</v>
      </c>
      <c r="R92" s="361">
        <f t="shared" ref="R92:R104" si="43">+ROUND((N92)*(1+SUMIF($Q$2:$Q$4,P92,$R$2:$R$4)),0)</f>
        <v>0</v>
      </c>
      <c r="S92" s="166"/>
      <c r="T92" s="166"/>
    </row>
    <row r="93" spans="1:20" hidden="1" outlineLevel="1" x14ac:dyDescent="0.25">
      <c r="A93" s="329" t="s">
        <v>1352</v>
      </c>
      <c r="B93" s="325" t="str">
        <f>+B92</f>
        <v>SECT5.3/12</v>
      </c>
      <c r="C93" s="320">
        <v>1</v>
      </c>
      <c r="D93" s="327" t="s">
        <v>1940</v>
      </c>
      <c r="E93" s="319"/>
      <c r="F93" s="317"/>
      <c r="G93" s="317"/>
      <c r="H93" s="366">
        <f t="shared" si="37"/>
        <v>0</v>
      </c>
      <c r="I93" s="318"/>
      <c r="J93" s="375">
        <f t="shared" si="38"/>
        <v>0</v>
      </c>
      <c r="K93" s="337">
        <f t="shared" si="39"/>
        <v>0</v>
      </c>
      <c r="L93" s="318"/>
      <c r="M93" s="375">
        <f t="shared" si="40"/>
        <v>0</v>
      </c>
      <c r="N93" s="350">
        <f t="shared" si="41"/>
        <v>0</v>
      </c>
      <c r="O93" s="319"/>
      <c r="P93" s="128" t="s">
        <v>1004</v>
      </c>
      <c r="Q93" s="361">
        <f t="shared" si="42"/>
        <v>0</v>
      </c>
      <c r="R93" s="361">
        <f t="shared" si="43"/>
        <v>0</v>
      </c>
      <c r="S93" s="180"/>
      <c r="T93" s="180"/>
    </row>
    <row r="94" spans="1:20" hidden="1" outlineLevel="1" x14ac:dyDescent="0.25">
      <c r="A94" s="329" t="s">
        <v>1352</v>
      </c>
      <c r="B94" s="325" t="str">
        <f t="shared" ref="B94:B102" si="44">+B93</f>
        <v>SECT5.3/12</v>
      </c>
      <c r="C94" s="320">
        <v>1.1000000000000001</v>
      </c>
      <c r="D94" s="327" t="s">
        <v>1941</v>
      </c>
      <c r="E94" s="319"/>
      <c r="F94" s="317"/>
      <c r="G94" s="317"/>
      <c r="H94" s="366">
        <f t="shared" si="37"/>
        <v>0</v>
      </c>
      <c r="I94" s="318"/>
      <c r="J94" s="375">
        <f t="shared" si="38"/>
        <v>0</v>
      </c>
      <c r="K94" s="336">
        <f t="shared" si="39"/>
        <v>0</v>
      </c>
      <c r="L94" s="318"/>
      <c r="M94" s="375">
        <f t="shared" si="40"/>
        <v>0</v>
      </c>
      <c r="N94" s="349">
        <f t="shared" si="41"/>
        <v>0</v>
      </c>
      <c r="O94" s="319"/>
      <c r="P94" s="128" t="s">
        <v>1004</v>
      </c>
      <c r="Q94" s="361">
        <f t="shared" si="42"/>
        <v>0</v>
      </c>
      <c r="R94" s="361">
        <f t="shared" si="43"/>
        <v>0</v>
      </c>
      <c r="S94" s="166"/>
      <c r="T94" s="166"/>
    </row>
    <row r="95" spans="1:20" ht="24" hidden="1" outlineLevel="1" x14ac:dyDescent="0.25">
      <c r="A95" s="329" t="s">
        <v>1352</v>
      </c>
      <c r="B95" s="325" t="str">
        <f t="shared" si="44"/>
        <v>SECT5.3/12</v>
      </c>
      <c r="C95" s="320" t="s">
        <v>1382</v>
      </c>
      <c r="D95" s="324" t="s">
        <v>1702</v>
      </c>
      <c r="E95" s="320" t="s">
        <v>1384</v>
      </c>
      <c r="F95" s="312"/>
      <c r="G95" s="312"/>
      <c r="H95" s="366">
        <f t="shared" si="37"/>
        <v>0</v>
      </c>
      <c r="I95" s="312"/>
      <c r="J95" s="375">
        <f t="shared" si="38"/>
        <v>0</v>
      </c>
      <c r="K95" s="336">
        <f t="shared" si="39"/>
        <v>0</v>
      </c>
      <c r="L95" s="312"/>
      <c r="M95" s="375">
        <f t="shared" si="40"/>
        <v>0</v>
      </c>
      <c r="N95" s="349">
        <f t="shared" si="41"/>
        <v>0</v>
      </c>
      <c r="O95" s="310"/>
      <c r="P95" s="128" t="s">
        <v>1004</v>
      </c>
      <c r="Q95" s="361">
        <f t="shared" si="42"/>
        <v>0</v>
      </c>
      <c r="R95" s="361">
        <f t="shared" si="43"/>
        <v>0</v>
      </c>
      <c r="S95" s="166"/>
      <c r="T95" s="166"/>
    </row>
    <row r="96" spans="1:20" hidden="1" outlineLevel="1" x14ac:dyDescent="0.25">
      <c r="A96" s="329" t="s">
        <v>1352</v>
      </c>
      <c r="B96" s="325" t="str">
        <f t="shared" si="44"/>
        <v>SECT5.3/12</v>
      </c>
      <c r="C96" s="320" t="s">
        <v>1385</v>
      </c>
      <c r="D96" s="324" t="s">
        <v>1623</v>
      </c>
      <c r="E96" s="320" t="s">
        <v>1384</v>
      </c>
      <c r="F96" s="312"/>
      <c r="G96" s="312"/>
      <c r="H96" s="366">
        <f t="shared" si="37"/>
        <v>0</v>
      </c>
      <c r="I96" s="312"/>
      <c r="J96" s="375">
        <f t="shared" si="38"/>
        <v>0</v>
      </c>
      <c r="K96" s="336">
        <f t="shared" si="39"/>
        <v>0</v>
      </c>
      <c r="L96" s="312"/>
      <c r="M96" s="375">
        <f t="shared" si="40"/>
        <v>0</v>
      </c>
      <c r="N96" s="349">
        <f t="shared" si="41"/>
        <v>0</v>
      </c>
      <c r="O96" s="310"/>
      <c r="P96" s="128" t="s">
        <v>1004</v>
      </c>
      <c r="Q96" s="361">
        <f t="shared" si="42"/>
        <v>0</v>
      </c>
      <c r="R96" s="361">
        <f t="shared" si="43"/>
        <v>0</v>
      </c>
      <c r="S96" s="166"/>
      <c r="T96" s="166"/>
    </row>
    <row r="97" spans="1:20" hidden="1" outlineLevel="1" x14ac:dyDescent="0.25">
      <c r="A97" s="329" t="s">
        <v>1352</v>
      </c>
      <c r="B97" s="325" t="str">
        <f t="shared" si="44"/>
        <v>SECT5.3/12</v>
      </c>
      <c r="C97" s="320">
        <v>1.2</v>
      </c>
      <c r="D97" s="327" t="s">
        <v>1942</v>
      </c>
      <c r="E97" s="320"/>
      <c r="F97" s="317"/>
      <c r="G97" s="317"/>
      <c r="H97" s="366">
        <f t="shared" si="37"/>
        <v>0</v>
      </c>
      <c r="I97" s="318"/>
      <c r="J97" s="375">
        <f t="shared" si="38"/>
        <v>0</v>
      </c>
      <c r="K97" s="336">
        <f t="shared" si="39"/>
        <v>0</v>
      </c>
      <c r="L97" s="318"/>
      <c r="M97" s="375">
        <f t="shared" si="40"/>
        <v>0</v>
      </c>
      <c r="N97" s="349">
        <f t="shared" si="41"/>
        <v>0</v>
      </c>
      <c r="O97" s="319"/>
      <c r="P97" s="128" t="s">
        <v>1004</v>
      </c>
      <c r="Q97" s="361">
        <f t="shared" si="42"/>
        <v>0</v>
      </c>
      <c r="R97" s="361">
        <f t="shared" si="43"/>
        <v>0</v>
      </c>
      <c r="S97" s="166"/>
      <c r="T97" s="166"/>
    </row>
    <row r="98" spans="1:20" ht="24" hidden="1" outlineLevel="1" x14ac:dyDescent="0.25">
      <c r="A98" s="329" t="s">
        <v>1352</v>
      </c>
      <c r="B98" s="325" t="str">
        <f t="shared" si="44"/>
        <v>SECT5.3/12</v>
      </c>
      <c r="C98" s="320" t="s">
        <v>1390</v>
      </c>
      <c r="D98" s="324" t="s">
        <v>1943</v>
      </c>
      <c r="E98" s="320" t="s">
        <v>1384</v>
      </c>
      <c r="F98" s="312"/>
      <c r="G98" s="312"/>
      <c r="H98" s="366">
        <f t="shared" si="37"/>
        <v>0</v>
      </c>
      <c r="I98" s="312"/>
      <c r="J98" s="375">
        <f t="shared" si="38"/>
        <v>0</v>
      </c>
      <c r="K98" s="336">
        <f t="shared" si="39"/>
        <v>0</v>
      </c>
      <c r="L98" s="312"/>
      <c r="M98" s="375">
        <f t="shared" si="40"/>
        <v>0</v>
      </c>
      <c r="N98" s="349">
        <f t="shared" si="41"/>
        <v>0</v>
      </c>
      <c r="O98" s="310"/>
      <c r="P98" s="128" t="s">
        <v>1004</v>
      </c>
      <c r="Q98" s="361">
        <f t="shared" si="42"/>
        <v>0</v>
      </c>
      <c r="R98" s="361">
        <f t="shared" si="43"/>
        <v>0</v>
      </c>
      <c r="S98" s="166"/>
      <c r="T98" s="166"/>
    </row>
    <row r="99" spans="1:20" hidden="1" outlineLevel="1" x14ac:dyDescent="0.25">
      <c r="A99" s="329" t="s">
        <v>1352</v>
      </c>
      <c r="B99" s="325" t="str">
        <f t="shared" si="44"/>
        <v>SECT5.3/12</v>
      </c>
      <c r="C99" s="320">
        <v>1.3</v>
      </c>
      <c r="D99" s="327" t="s">
        <v>1944</v>
      </c>
      <c r="E99" s="320"/>
      <c r="F99" s="317"/>
      <c r="G99" s="317"/>
      <c r="H99" s="366">
        <f t="shared" si="37"/>
        <v>0</v>
      </c>
      <c r="I99" s="318"/>
      <c r="J99" s="375">
        <f t="shared" si="38"/>
        <v>0</v>
      </c>
      <c r="K99" s="336">
        <f t="shared" si="39"/>
        <v>0</v>
      </c>
      <c r="L99" s="318"/>
      <c r="M99" s="375">
        <f t="shared" si="40"/>
        <v>0</v>
      </c>
      <c r="N99" s="349">
        <f t="shared" si="41"/>
        <v>0</v>
      </c>
      <c r="O99" s="319"/>
      <c r="P99" s="128" t="s">
        <v>1004</v>
      </c>
      <c r="Q99" s="361">
        <f t="shared" si="42"/>
        <v>0</v>
      </c>
      <c r="R99" s="361">
        <f t="shared" si="43"/>
        <v>0</v>
      </c>
      <c r="S99" s="166"/>
      <c r="T99" s="166"/>
    </row>
    <row r="100" spans="1:20" ht="24" hidden="1" outlineLevel="1" x14ac:dyDescent="0.25">
      <c r="A100" s="329" t="s">
        <v>1352</v>
      </c>
      <c r="B100" s="325" t="str">
        <f t="shared" si="44"/>
        <v>SECT5.3/12</v>
      </c>
      <c r="C100" s="320" t="s">
        <v>1624</v>
      </c>
      <c r="D100" s="324" t="s">
        <v>1945</v>
      </c>
      <c r="E100" s="320" t="s">
        <v>1384</v>
      </c>
      <c r="F100" s="312"/>
      <c r="G100" s="312"/>
      <c r="H100" s="366">
        <f t="shared" si="37"/>
        <v>0</v>
      </c>
      <c r="I100" s="312"/>
      <c r="J100" s="375">
        <f t="shared" si="38"/>
        <v>0</v>
      </c>
      <c r="K100" s="336">
        <f t="shared" si="39"/>
        <v>0</v>
      </c>
      <c r="L100" s="312"/>
      <c r="M100" s="375">
        <f t="shared" si="40"/>
        <v>0</v>
      </c>
      <c r="N100" s="349">
        <f t="shared" si="41"/>
        <v>0</v>
      </c>
      <c r="O100" s="310"/>
      <c r="P100" s="128" t="s">
        <v>1004</v>
      </c>
      <c r="Q100" s="361">
        <f t="shared" si="42"/>
        <v>0</v>
      </c>
      <c r="R100" s="361">
        <f t="shared" si="43"/>
        <v>0</v>
      </c>
      <c r="S100" s="166"/>
      <c r="T100" s="166"/>
    </row>
    <row r="101" spans="1:20" hidden="1" outlineLevel="1" x14ac:dyDescent="0.25">
      <c r="A101" s="329" t="s">
        <v>1352</v>
      </c>
      <c r="B101" s="325" t="str">
        <f t="shared" si="44"/>
        <v>SECT5.3/12</v>
      </c>
      <c r="C101" s="320">
        <v>1.4</v>
      </c>
      <c r="D101" s="327" t="s">
        <v>1946</v>
      </c>
      <c r="E101" s="320"/>
      <c r="F101" s="317"/>
      <c r="G101" s="317"/>
      <c r="H101" s="366">
        <f t="shared" si="37"/>
        <v>0</v>
      </c>
      <c r="I101" s="318"/>
      <c r="J101" s="375">
        <f t="shared" si="38"/>
        <v>0</v>
      </c>
      <c r="K101" s="336">
        <f t="shared" si="39"/>
        <v>0</v>
      </c>
      <c r="L101" s="318"/>
      <c r="M101" s="375">
        <f t="shared" si="40"/>
        <v>0</v>
      </c>
      <c r="N101" s="349">
        <f t="shared" si="41"/>
        <v>0</v>
      </c>
      <c r="O101" s="319"/>
      <c r="P101" s="128" t="s">
        <v>1004</v>
      </c>
      <c r="Q101" s="361">
        <f t="shared" si="42"/>
        <v>0</v>
      </c>
      <c r="R101" s="361">
        <f t="shared" si="43"/>
        <v>0</v>
      </c>
      <c r="S101" s="166"/>
      <c r="T101" s="166"/>
    </row>
    <row r="102" spans="1:20" hidden="1" outlineLevel="1" x14ac:dyDescent="0.25">
      <c r="A102" s="329" t="s">
        <v>1352</v>
      </c>
      <c r="B102" s="325" t="str">
        <f t="shared" si="44"/>
        <v>SECT5.3/12</v>
      </c>
      <c r="C102" s="320" t="s">
        <v>1627</v>
      </c>
      <c r="D102" s="324" t="s">
        <v>1947</v>
      </c>
      <c r="E102" s="320" t="s">
        <v>1384</v>
      </c>
      <c r="F102" s="312"/>
      <c r="G102" s="312"/>
      <c r="H102" s="366">
        <f t="shared" si="37"/>
        <v>0</v>
      </c>
      <c r="I102" s="312"/>
      <c r="J102" s="375">
        <f t="shared" si="38"/>
        <v>0</v>
      </c>
      <c r="K102" s="336">
        <f t="shared" si="39"/>
        <v>0</v>
      </c>
      <c r="L102" s="312"/>
      <c r="M102" s="375">
        <f t="shared" si="40"/>
        <v>0</v>
      </c>
      <c r="N102" s="349">
        <f t="shared" si="41"/>
        <v>0</v>
      </c>
      <c r="O102" s="310"/>
      <c r="P102" s="128" t="s">
        <v>1004</v>
      </c>
      <c r="Q102" s="361">
        <f t="shared" si="42"/>
        <v>0</v>
      </c>
      <c r="R102" s="361">
        <f t="shared" si="43"/>
        <v>0</v>
      </c>
      <c r="S102" s="166"/>
      <c r="T102" s="166"/>
    </row>
    <row r="103" spans="1:20" hidden="1" outlineLevel="1" x14ac:dyDescent="0.25">
      <c r="A103" s="329" t="s">
        <v>1352</v>
      </c>
      <c r="B103" s="325" t="s">
        <v>1983</v>
      </c>
      <c r="C103" s="320" t="s">
        <v>1948</v>
      </c>
      <c r="D103" s="324" t="s">
        <v>1947</v>
      </c>
      <c r="E103" s="320" t="s">
        <v>1384</v>
      </c>
      <c r="F103" s="312"/>
      <c r="G103" s="312"/>
      <c r="H103" s="366">
        <f t="shared" si="37"/>
        <v>0</v>
      </c>
      <c r="I103" s="312"/>
      <c r="J103" s="375">
        <f t="shared" si="38"/>
        <v>0</v>
      </c>
      <c r="K103" s="336">
        <f t="shared" si="39"/>
        <v>0</v>
      </c>
      <c r="L103" s="312"/>
      <c r="M103" s="375">
        <f t="shared" si="40"/>
        <v>0</v>
      </c>
      <c r="N103" s="349">
        <f t="shared" si="41"/>
        <v>0</v>
      </c>
      <c r="O103" s="310"/>
      <c r="P103" s="128" t="s">
        <v>1004</v>
      </c>
      <c r="Q103" s="361">
        <f t="shared" si="42"/>
        <v>0</v>
      </c>
      <c r="R103" s="361">
        <f t="shared" si="43"/>
        <v>0</v>
      </c>
      <c r="S103" s="166"/>
      <c r="T103" s="166"/>
    </row>
    <row r="104" spans="1:20" hidden="1" outlineLevel="1" x14ac:dyDescent="0.25">
      <c r="A104" s="329" t="s">
        <v>1352</v>
      </c>
      <c r="B104" s="325" t="s">
        <v>1983</v>
      </c>
      <c r="C104" s="320" t="s">
        <v>1949</v>
      </c>
      <c r="D104" s="324" t="s">
        <v>1947</v>
      </c>
      <c r="E104" s="320" t="s">
        <v>1384</v>
      </c>
      <c r="F104" s="312"/>
      <c r="G104" s="312"/>
      <c r="H104" s="366">
        <f t="shared" si="37"/>
        <v>0</v>
      </c>
      <c r="I104" s="312"/>
      <c r="J104" s="375">
        <f t="shared" si="38"/>
        <v>0</v>
      </c>
      <c r="K104" s="336">
        <f t="shared" si="39"/>
        <v>0</v>
      </c>
      <c r="L104" s="312"/>
      <c r="M104" s="375">
        <f t="shared" si="40"/>
        <v>0</v>
      </c>
      <c r="N104" s="349">
        <f t="shared" si="41"/>
        <v>0</v>
      </c>
      <c r="O104" s="310"/>
      <c r="P104" s="128" t="s">
        <v>1004</v>
      </c>
      <c r="Q104" s="361">
        <f t="shared" si="42"/>
        <v>0</v>
      </c>
      <c r="R104" s="361">
        <f t="shared" si="43"/>
        <v>0</v>
      </c>
      <c r="S104" s="166"/>
      <c r="T104" s="166"/>
    </row>
    <row r="105" spans="1:20" hidden="1" outlineLevel="1" x14ac:dyDescent="0.25">
      <c r="A105" s="331" t="s">
        <v>1022</v>
      </c>
      <c r="B105" s="314" t="s">
        <v>1983</v>
      </c>
      <c r="C105" s="315"/>
      <c r="D105" s="326" t="s">
        <v>1950</v>
      </c>
      <c r="E105" s="315"/>
      <c r="F105" s="313"/>
      <c r="G105" s="313"/>
      <c r="H105" s="367"/>
      <c r="I105" s="313"/>
      <c r="J105" s="362">
        <f>SUM(J92:J104)</f>
        <v>0</v>
      </c>
      <c r="K105" s="338">
        <f>SUM(K92:K104)</f>
        <v>0</v>
      </c>
      <c r="L105" s="313"/>
      <c r="M105" s="362">
        <f>SUM(M92:M104)</f>
        <v>0</v>
      </c>
      <c r="N105" s="338">
        <f>SUM(N92:N104)</f>
        <v>0</v>
      </c>
      <c r="O105" s="314"/>
      <c r="P105" s="128"/>
      <c r="Q105" s="362">
        <f>SUM(Q92:Q104)</f>
        <v>0</v>
      </c>
      <c r="R105" s="362">
        <f>SUM(R92:R104)</f>
        <v>0</v>
      </c>
      <c r="S105" s="166"/>
      <c r="T105" s="166"/>
    </row>
    <row r="106" spans="1:20" hidden="1" outlineLevel="1" x14ac:dyDescent="0.25">
      <c r="A106" s="329" t="s">
        <v>1340</v>
      </c>
      <c r="B106" s="325" t="s">
        <v>1984</v>
      </c>
      <c r="C106" s="320">
        <v>2</v>
      </c>
      <c r="D106" s="327" t="s">
        <v>1952</v>
      </c>
      <c r="E106" s="320"/>
      <c r="F106" s="317"/>
      <c r="G106" s="317"/>
      <c r="H106" s="366">
        <f t="shared" ref="H106:H112" si="45">+SUM(F106:G106)</f>
        <v>0</v>
      </c>
      <c r="I106" s="318"/>
      <c r="J106" s="375">
        <f t="shared" ref="J106:J112" si="46">+ROUND(I106*H106,2)</f>
        <v>0</v>
      </c>
      <c r="K106" s="336">
        <f t="shared" ref="K106:K112" si="47">J106</f>
        <v>0</v>
      </c>
      <c r="L106" s="318"/>
      <c r="M106" s="375">
        <f t="shared" ref="M106:M112" si="48">+ROUND(L106*H106,2)</f>
        <v>0</v>
      </c>
      <c r="N106" s="349">
        <f t="shared" ref="N106:N112" si="49">M106</f>
        <v>0</v>
      </c>
      <c r="O106" s="319"/>
      <c r="P106" s="128" t="s">
        <v>1004</v>
      </c>
      <c r="Q106" s="361">
        <f t="shared" ref="Q106:Q112" si="50">+ROUND((K106)*(1+SUMIF($Q$2:$Q$4,P106,$R$2:$R$4)),0)</f>
        <v>0</v>
      </c>
      <c r="R106" s="361">
        <f t="shared" ref="R106:R112" si="51">+ROUND((N106)*(1+SUMIF($Q$2:$Q$4,P106,$R$2:$R$4)),0)</f>
        <v>0</v>
      </c>
      <c r="S106" s="166"/>
      <c r="T106" s="166"/>
    </row>
    <row r="107" spans="1:20" hidden="1" outlineLevel="1" x14ac:dyDescent="0.25">
      <c r="A107" s="329" t="s">
        <v>1340</v>
      </c>
      <c r="B107" s="325" t="s">
        <v>1984</v>
      </c>
      <c r="C107" s="320">
        <v>2.1</v>
      </c>
      <c r="D107" s="327" t="s">
        <v>1669</v>
      </c>
      <c r="E107" s="320" t="s">
        <v>1384</v>
      </c>
      <c r="F107" s="312"/>
      <c r="G107" s="312"/>
      <c r="H107" s="366">
        <f t="shared" si="45"/>
        <v>0</v>
      </c>
      <c r="I107" s="312"/>
      <c r="J107" s="375">
        <f t="shared" si="46"/>
        <v>0</v>
      </c>
      <c r="K107" s="336">
        <f t="shared" si="47"/>
        <v>0</v>
      </c>
      <c r="L107" s="312"/>
      <c r="M107" s="375">
        <f t="shared" si="48"/>
        <v>0</v>
      </c>
      <c r="N107" s="349">
        <f t="shared" si="49"/>
        <v>0</v>
      </c>
      <c r="O107" s="310"/>
      <c r="P107" s="128" t="s">
        <v>1004</v>
      </c>
      <c r="Q107" s="361">
        <f t="shared" si="50"/>
        <v>0</v>
      </c>
      <c r="R107" s="361">
        <f t="shared" si="51"/>
        <v>0</v>
      </c>
      <c r="S107" s="166"/>
      <c r="T107" s="166"/>
    </row>
    <row r="108" spans="1:20" hidden="1" outlineLevel="1" x14ac:dyDescent="0.25">
      <c r="A108" s="329" t="s">
        <v>1340</v>
      </c>
      <c r="B108" s="325" t="s">
        <v>1984</v>
      </c>
      <c r="C108" s="320">
        <v>2.2000000000000002</v>
      </c>
      <c r="D108" s="327" t="s">
        <v>1953</v>
      </c>
      <c r="E108" s="320" t="s">
        <v>1384</v>
      </c>
      <c r="F108" s="312"/>
      <c r="G108" s="312"/>
      <c r="H108" s="366">
        <f t="shared" si="45"/>
        <v>0</v>
      </c>
      <c r="I108" s="312"/>
      <c r="J108" s="375">
        <f t="shared" si="46"/>
        <v>0</v>
      </c>
      <c r="K108" s="336">
        <f t="shared" si="47"/>
        <v>0</v>
      </c>
      <c r="L108" s="312"/>
      <c r="M108" s="375">
        <f t="shared" si="48"/>
        <v>0</v>
      </c>
      <c r="N108" s="349">
        <f t="shared" si="49"/>
        <v>0</v>
      </c>
      <c r="O108" s="310"/>
      <c r="P108" s="128" t="s">
        <v>1004</v>
      </c>
      <c r="Q108" s="361">
        <f t="shared" si="50"/>
        <v>0</v>
      </c>
      <c r="R108" s="361">
        <f t="shared" si="51"/>
        <v>0</v>
      </c>
      <c r="S108" s="166"/>
      <c r="T108" s="166"/>
    </row>
    <row r="109" spans="1:20" hidden="1" outlineLevel="1" x14ac:dyDescent="0.25">
      <c r="A109" s="329" t="s">
        <v>1340</v>
      </c>
      <c r="B109" s="325" t="s">
        <v>1984</v>
      </c>
      <c r="C109" s="320">
        <v>2.2999999999999998</v>
      </c>
      <c r="D109" s="327" t="s">
        <v>1946</v>
      </c>
      <c r="E109" s="320"/>
      <c r="F109" s="317"/>
      <c r="G109" s="317"/>
      <c r="H109" s="366">
        <f t="shared" si="45"/>
        <v>0</v>
      </c>
      <c r="I109" s="318"/>
      <c r="J109" s="375">
        <f t="shared" si="46"/>
        <v>0</v>
      </c>
      <c r="K109" s="336">
        <f t="shared" si="47"/>
        <v>0</v>
      </c>
      <c r="L109" s="318"/>
      <c r="M109" s="375">
        <f t="shared" si="48"/>
        <v>0</v>
      </c>
      <c r="N109" s="349">
        <f t="shared" si="49"/>
        <v>0</v>
      </c>
      <c r="O109" s="319"/>
      <c r="P109" s="128" t="s">
        <v>1004</v>
      </c>
      <c r="Q109" s="361">
        <f t="shared" si="50"/>
        <v>0</v>
      </c>
      <c r="R109" s="361">
        <f t="shared" si="51"/>
        <v>0</v>
      </c>
      <c r="S109" s="166"/>
      <c r="T109" s="166"/>
    </row>
    <row r="110" spans="1:20" hidden="1" outlineLevel="1" x14ac:dyDescent="0.25">
      <c r="A110" s="329" t="s">
        <v>1340</v>
      </c>
      <c r="B110" s="325" t="s">
        <v>1984</v>
      </c>
      <c r="C110" s="320" t="s">
        <v>1627</v>
      </c>
      <c r="D110" s="324" t="s">
        <v>1947</v>
      </c>
      <c r="E110" s="320" t="s">
        <v>1384</v>
      </c>
      <c r="F110" s="312"/>
      <c r="G110" s="312"/>
      <c r="H110" s="366">
        <f t="shared" si="45"/>
        <v>0</v>
      </c>
      <c r="I110" s="312"/>
      <c r="J110" s="375">
        <f t="shared" si="46"/>
        <v>0</v>
      </c>
      <c r="K110" s="336">
        <f t="shared" si="47"/>
        <v>0</v>
      </c>
      <c r="L110" s="312"/>
      <c r="M110" s="375">
        <f t="shared" si="48"/>
        <v>0</v>
      </c>
      <c r="N110" s="349">
        <f t="shared" si="49"/>
        <v>0</v>
      </c>
      <c r="O110" s="310"/>
      <c r="P110" s="128" t="s">
        <v>1004</v>
      </c>
      <c r="Q110" s="361">
        <f t="shared" si="50"/>
        <v>0</v>
      </c>
      <c r="R110" s="361">
        <f t="shared" si="51"/>
        <v>0</v>
      </c>
      <c r="S110" s="180"/>
      <c r="T110" s="180"/>
    </row>
    <row r="111" spans="1:20" hidden="1" outlineLevel="1" x14ac:dyDescent="0.25">
      <c r="A111" s="329" t="s">
        <v>1340</v>
      </c>
      <c r="B111" s="325" t="s">
        <v>1984</v>
      </c>
      <c r="C111" s="320" t="s">
        <v>1948</v>
      </c>
      <c r="D111" s="324" t="s">
        <v>1947</v>
      </c>
      <c r="E111" s="320" t="s">
        <v>1384</v>
      </c>
      <c r="F111" s="312"/>
      <c r="G111" s="312"/>
      <c r="H111" s="366">
        <f t="shared" si="45"/>
        <v>0</v>
      </c>
      <c r="I111" s="312"/>
      <c r="J111" s="375">
        <f t="shared" si="46"/>
        <v>0</v>
      </c>
      <c r="K111" s="336">
        <f t="shared" si="47"/>
        <v>0</v>
      </c>
      <c r="L111" s="312"/>
      <c r="M111" s="375">
        <f t="shared" si="48"/>
        <v>0</v>
      </c>
      <c r="N111" s="349">
        <f t="shared" si="49"/>
        <v>0</v>
      </c>
      <c r="O111" s="310"/>
      <c r="P111" s="128" t="s">
        <v>1004</v>
      </c>
      <c r="Q111" s="361">
        <f t="shared" si="50"/>
        <v>0</v>
      </c>
      <c r="R111" s="361">
        <f t="shared" si="51"/>
        <v>0</v>
      </c>
      <c r="S111" s="166"/>
      <c r="T111" s="166"/>
    </row>
    <row r="112" spans="1:20" hidden="1" outlineLevel="1" x14ac:dyDescent="0.25">
      <c r="A112" s="329" t="s">
        <v>1340</v>
      </c>
      <c r="B112" s="325" t="s">
        <v>1984</v>
      </c>
      <c r="C112" s="320" t="s">
        <v>1949</v>
      </c>
      <c r="D112" s="324" t="s">
        <v>1947</v>
      </c>
      <c r="E112" s="320" t="s">
        <v>1384</v>
      </c>
      <c r="F112" s="312"/>
      <c r="G112" s="312"/>
      <c r="H112" s="366">
        <f t="shared" si="45"/>
        <v>0</v>
      </c>
      <c r="I112" s="312"/>
      <c r="J112" s="375">
        <f t="shared" si="46"/>
        <v>0</v>
      </c>
      <c r="K112" s="336">
        <f t="shared" si="47"/>
        <v>0</v>
      </c>
      <c r="L112" s="312"/>
      <c r="M112" s="375">
        <f t="shared" si="48"/>
        <v>0</v>
      </c>
      <c r="N112" s="349">
        <f t="shared" si="49"/>
        <v>0</v>
      </c>
      <c r="O112" s="310"/>
      <c r="P112" s="128" t="s">
        <v>1004</v>
      </c>
      <c r="Q112" s="361">
        <f t="shared" si="50"/>
        <v>0</v>
      </c>
      <c r="R112" s="361">
        <f t="shared" si="51"/>
        <v>0</v>
      </c>
      <c r="S112" s="166"/>
      <c r="T112" s="166"/>
    </row>
    <row r="113" spans="1:20" hidden="1" outlineLevel="1" x14ac:dyDescent="0.25">
      <c r="A113" s="331" t="s">
        <v>1022</v>
      </c>
      <c r="B113" s="314" t="s">
        <v>1984</v>
      </c>
      <c r="C113" s="315"/>
      <c r="D113" s="326" t="s">
        <v>1950</v>
      </c>
      <c r="E113" s="315"/>
      <c r="F113" s="313"/>
      <c r="G113" s="313"/>
      <c r="H113" s="367"/>
      <c r="I113" s="313"/>
      <c r="J113" s="362">
        <f>SUM(J106:J112)</f>
        <v>0</v>
      </c>
      <c r="K113" s="338">
        <f>SUM(K106:K112)</f>
        <v>0</v>
      </c>
      <c r="L113" s="313"/>
      <c r="M113" s="362">
        <f>SUM(M106:M112)</f>
        <v>0</v>
      </c>
      <c r="N113" s="338">
        <f>SUM(N106:N112)</f>
        <v>0</v>
      </c>
      <c r="O113" s="314"/>
      <c r="P113" s="128"/>
      <c r="Q113" s="362">
        <f>SUM(Q106:Q112)</f>
        <v>0</v>
      </c>
      <c r="R113" s="362">
        <f>SUM(R106:R112)</f>
        <v>0</v>
      </c>
      <c r="S113" s="166"/>
      <c r="T113" s="166"/>
    </row>
    <row r="114" spans="1:20" hidden="1" outlineLevel="1" x14ac:dyDescent="0.25">
      <c r="A114" s="329" t="s">
        <v>1326</v>
      </c>
      <c r="B114" s="325" t="s">
        <v>1985</v>
      </c>
      <c r="C114" s="320">
        <v>3</v>
      </c>
      <c r="D114" s="333" t="s">
        <v>1955</v>
      </c>
      <c r="E114" s="320"/>
      <c r="F114" s="317"/>
      <c r="G114" s="317"/>
      <c r="H114" s="366">
        <f t="shared" ref="H114:H157" si="52">+SUM(F114:G114)</f>
        <v>0</v>
      </c>
      <c r="I114" s="318"/>
      <c r="J114" s="375">
        <f t="shared" ref="J114:J157" si="53">+ROUND(I114*H114,2)</f>
        <v>0</v>
      </c>
      <c r="K114" s="336">
        <f t="shared" ref="K114:K157" si="54">J114</f>
        <v>0</v>
      </c>
      <c r="L114" s="318"/>
      <c r="M114" s="375">
        <f t="shared" ref="M114:M157" si="55">+ROUND(L114*H114,2)</f>
        <v>0</v>
      </c>
      <c r="N114" s="349">
        <f t="shared" ref="N114:N157" si="56">M114</f>
        <v>0</v>
      </c>
      <c r="O114" s="319"/>
      <c r="P114" s="128" t="s">
        <v>1004</v>
      </c>
      <c r="Q114" s="361">
        <f t="shared" ref="Q114:Q157" si="57">+ROUND((K114)*(1+SUMIF($Q$2:$Q$4,P114,$R$2:$R$4)),0)</f>
        <v>0</v>
      </c>
      <c r="R114" s="361">
        <f t="shared" ref="R114:R157" si="58">+ROUND((N114)*(1+SUMIF($Q$2:$Q$4,P114,$R$2:$R$4)),0)</f>
        <v>0</v>
      </c>
      <c r="S114" s="166"/>
      <c r="T114" s="166"/>
    </row>
    <row r="115" spans="1:20" hidden="1" outlineLevel="1" x14ac:dyDescent="0.25">
      <c r="A115" s="329" t="s">
        <v>1326</v>
      </c>
      <c r="B115" s="325" t="s">
        <v>1985</v>
      </c>
      <c r="C115" s="320">
        <v>3.1</v>
      </c>
      <c r="D115" s="327" t="s">
        <v>1956</v>
      </c>
      <c r="E115" s="320"/>
      <c r="F115" s="317"/>
      <c r="G115" s="317"/>
      <c r="H115" s="366">
        <f t="shared" si="52"/>
        <v>0</v>
      </c>
      <c r="I115" s="318"/>
      <c r="J115" s="375">
        <f t="shared" si="53"/>
        <v>0</v>
      </c>
      <c r="K115" s="336">
        <f t="shared" si="54"/>
        <v>0</v>
      </c>
      <c r="L115" s="318"/>
      <c r="M115" s="375">
        <f t="shared" si="55"/>
        <v>0</v>
      </c>
      <c r="N115" s="349">
        <f t="shared" si="56"/>
        <v>0</v>
      </c>
      <c r="O115" s="319"/>
      <c r="P115" s="128" t="s">
        <v>1004</v>
      </c>
      <c r="Q115" s="361">
        <f t="shared" si="57"/>
        <v>0</v>
      </c>
      <c r="R115" s="361">
        <f t="shared" si="58"/>
        <v>0</v>
      </c>
      <c r="S115" s="166"/>
      <c r="T115" s="166"/>
    </row>
    <row r="116" spans="1:20" hidden="1" outlineLevel="1" x14ac:dyDescent="0.25">
      <c r="A116" s="329" t="s">
        <v>1326</v>
      </c>
      <c r="B116" s="325" t="s">
        <v>1985</v>
      </c>
      <c r="C116" s="320" t="s">
        <v>1483</v>
      </c>
      <c r="D116" s="327" t="s">
        <v>1957</v>
      </c>
      <c r="E116" s="320"/>
      <c r="F116" s="317"/>
      <c r="G116" s="317"/>
      <c r="H116" s="366">
        <f t="shared" si="52"/>
        <v>0</v>
      </c>
      <c r="I116" s="318"/>
      <c r="J116" s="375">
        <f t="shared" si="53"/>
        <v>0</v>
      </c>
      <c r="K116" s="336">
        <f t="shared" si="54"/>
        <v>0</v>
      </c>
      <c r="L116" s="318"/>
      <c r="M116" s="375">
        <f t="shared" si="55"/>
        <v>0</v>
      </c>
      <c r="N116" s="349">
        <f t="shared" si="56"/>
        <v>0</v>
      </c>
      <c r="O116" s="319"/>
      <c r="P116" s="128" t="s">
        <v>1004</v>
      </c>
      <c r="Q116" s="361">
        <f t="shared" si="57"/>
        <v>0</v>
      </c>
      <c r="R116" s="361">
        <f t="shared" si="58"/>
        <v>0</v>
      </c>
      <c r="S116" s="166"/>
      <c r="T116" s="166"/>
    </row>
    <row r="117" spans="1:20" hidden="1" outlineLevel="1" x14ac:dyDescent="0.25">
      <c r="A117" s="329" t="s">
        <v>1326</v>
      </c>
      <c r="B117" s="325" t="s">
        <v>1985</v>
      </c>
      <c r="C117" s="320" t="s">
        <v>1628</v>
      </c>
      <c r="D117" s="324" t="s">
        <v>1670</v>
      </c>
      <c r="E117" s="320" t="s">
        <v>1384</v>
      </c>
      <c r="F117" s="312"/>
      <c r="G117" s="312"/>
      <c r="H117" s="366">
        <f t="shared" si="52"/>
        <v>0</v>
      </c>
      <c r="I117" s="312"/>
      <c r="J117" s="375">
        <f t="shared" si="53"/>
        <v>0</v>
      </c>
      <c r="K117" s="336">
        <f t="shared" si="54"/>
        <v>0</v>
      </c>
      <c r="L117" s="312"/>
      <c r="M117" s="375">
        <f t="shared" si="55"/>
        <v>0</v>
      </c>
      <c r="N117" s="349">
        <f t="shared" si="56"/>
        <v>0</v>
      </c>
      <c r="O117" s="310"/>
      <c r="P117" s="128" t="s">
        <v>1004</v>
      </c>
      <c r="Q117" s="361">
        <f t="shared" si="57"/>
        <v>0</v>
      </c>
      <c r="R117" s="361">
        <f t="shared" si="58"/>
        <v>0</v>
      </c>
      <c r="S117" s="166"/>
      <c r="T117" s="166"/>
    </row>
    <row r="118" spans="1:20" hidden="1" outlineLevel="1" x14ac:dyDescent="0.25">
      <c r="A118" s="329" t="s">
        <v>1326</v>
      </c>
      <c r="B118" s="325" t="s">
        <v>1985</v>
      </c>
      <c r="C118" s="320" t="s">
        <v>1671</v>
      </c>
      <c r="D118" s="324" t="s">
        <v>1958</v>
      </c>
      <c r="E118" s="320" t="s">
        <v>1384</v>
      </c>
      <c r="F118" s="312"/>
      <c r="G118" s="312"/>
      <c r="H118" s="366">
        <f t="shared" si="52"/>
        <v>0</v>
      </c>
      <c r="I118" s="312"/>
      <c r="J118" s="375">
        <f t="shared" si="53"/>
        <v>0</v>
      </c>
      <c r="K118" s="336">
        <f t="shared" si="54"/>
        <v>0</v>
      </c>
      <c r="L118" s="312"/>
      <c r="M118" s="375">
        <f t="shared" si="55"/>
        <v>0</v>
      </c>
      <c r="N118" s="349">
        <f t="shared" si="56"/>
        <v>0</v>
      </c>
      <c r="O118" s="310"/>
      <c r="P118" s="128" t="s">
        <v>1004</v>
      </c>
      <c r="Q118" s="361">
        <f t="shared" si="57"/>
        <v>0</v>
      </c>
      <c r="R118" s="361">
        <f t="shared" si="58"/>
        <v>0</v>
      </c>
      <c r="S118" s="166"/>
      <c r="T118" s="166"/>
    </row>
    <row r="119" spans="1:20" hidden="1" outlineLevel="1" x14ac:dyDescent="0.25">
      <c r="A119" s="329" t="s">
        <v>1326</v>
      </c>
      <c r="B119" s="325" t="s">
        <v>1985</v>
      </c>
      <c r="C119" s="320" t="s">
        <v>1485</v>
      </c>
      <c r="D119" s="327" t="s">
        <v>1959</v>
      </c>
      <c r="E119" s="320"/>
      <c r="F119" s="317"/>
      <c r="G119" s="317"/>
      <c r="H119" s="366">
        <f t="shared" si="52"/>
        <v>0</v>
      </c>
      <c r="I119" s="318"/>
      <c r="J119" s="375">
        <f t="shared" si="53"/>
        <v>0</v>
      </c>
      <c r="K119" s="336">
        <f t="shared" si="54"/>
        <v>0</v>
      </c>
      <c r="L119" s="318"/>
      <c r="M119" s="375">
        <f t="shared" si="55"/>
        <v>0</v>
      </c>
      <c r="N119" s="349">
        <f t="shared" si="56"/>
        <v>0</v>
      </c>
      <c r="O119" s="319"/>
      <c r="P119" s="128" t="s">
        <v>1004</v>
      </c>
      <c r="Q119" s="361">
        <f t="shared" si="57"/>
        <v>0</v>
      </c>
      <c r="R119" s="361">
        <f t="shared" si="58"/>
        <v>0</v>
      </c>
      <c r="S119" s="166"/>
      <c r="T119" s="166"/>
    </row>
    <row r="120" spans="1:20" hidden="1" outlineLevel="1" x14ac:dyDescent="0.25">
      <c r="A120" s="329" t="s">
        <v>1326</v>
      </c>
      <c r="B120" s="325" t="s">
        <v>1985</v>
      </c>
      <c r="C120" s="320" t="s">
        <v>1629</v>
      </c>
      <c r="D120" s="324" t="s">
        <v>1709</v>
      </c>
      <c r="E120" s="320" t="s">
        <v>1384</v>
      </c>
      <c r="F120" s="312"/>
      <c r="G120" s="312"/>
      <c r="H120" s="366">
        <f t="shared" si="52"/>
        <v>0</v>
      </c>
      <c r="I120" s="312"/>
      <c r="J120" s="375">
        <f t="shared" si="53"/>
        <v>0</v>
      </c>
      <c r="K120" s="336">
        <f t="shared" si="54"/>
        <v>0</v>
      </c>
      <c r="L120" s="312"/>
      <c r="M120" s="375">
        <f t="shared" si="55"/>
        <v>0</v>
      </c>
      <c r="N120" s="349">
        <f t="shared" si="56"/>
        <v>0</v>
      </c>
      <c r="O120" s="310"/>
      <c r="P120" s="128" t="s">
        <v>1004</v>
      </c>
      <c r="Q120" s="361">
        <f t="shared" si="57"/>
        <v>0</v>
      </c>
      <c r="R120" s="361">
        <f t="shared" si="58"/>
        <v>0</v>
      </c>
      <c r="S120" s="166"/>
      <c r="T120" s="166"/>
    </row>
    <row r="121" spans="1:20" hidden="1" outlineLevel="1" x14ac:dyDescent="0.25">
      <c r="A121" s="329" t="s">
        <v>1326</v>
      </c>
      <c r="B121" s="325" t="s">
        <v>1985</v>
      </c>
      <c r="C121" s="320" t="s">
        <v>1630</v>
      </c>
      <c r="D121" s="324" t="s">
        <v>1631</v>
      </c>
      <c r="E121" s="320" t="s">
        <v>1384</v>
      </c>
      <c r="F121" s="312"/>
      <c r="G121" s="312"/>
      <c r="H121" s="366">
        <f t="shared" si="52"/>
        <v>0</v>
      </c>
      <c r="I121" s="312"/>
      <c r="J121" s="375">
        <f t="shared" si="53"/>
        <v>0</v>
      </c>
      <c r="K121" s="336">
        <f t="shared" si="54"/>
        <v>0</v>
      </c>
      <c r="L121" s="312"/>
      <c r="M121" s="375">
        <f t="shared" si="55"/>
        <v>0</v>
      </c>
      <c r="N121" s="349">
        <f t="shared" si="56"/>
        <v>0</v>
      </c>
      <c r="O121" s="310"/>
      <c r="P121" s="128" t="s">
        <v>1004</v>
      </c>
      <c r="Q121" s="361">
        <f t="shared" si="57"/>
        <v>0</v>
      </c>
      <c r="R121" s="361">
        <f t="shared" si="58"/>
        <v>0</v>
      </c>
      <c r="S121" s="166"/>
      <c r="T121" s="166"/>
    </row>
    <row r="122" spans="1:20" hidden="1" outlineLevel="1" x14ac:dyDescent="0.25">
      <c r="A122" s="329" t="s">
        <v>1326</v>
      </c>
      <c r="B122" s="325" t="s">
        <v>1985</v>
      </c>
      <c r="C122" s="320" t="s">
        <v>1632</v>
      </c>
      <c r="D122" s="324" t="s">
        <v>1712</v>
      </c>
      <c r="E122" s="320" t="s">
        <v>1384</v>
      </c>
      <c r="F122" s="312"/>
      <c r="G122" s="312"/>
      <c r="H122" s="366">
        <f t="shared" si="52"/>
        <v>0</v>
      </c>
      <c r="I122" s="312"/>
      <c r="J122" s="375">
        <f t="shared" si="53"/>
        <v>0</v>
      </c>
      <c r="K122" s="336">
        <f t="shared" si="54"/>
        <v>0</v>
      </c>
      <c r="L122" s="312"/>
      <c r="M122" s="375">
        <f t="shared" si="55"/>
        <v>0</v>
      </c>
      <c r="N122" s="349">
        <f t="shared" si="56"/>
        <v>0</v>
      </c>
      <c r="O122" s="310"/>
      <c r="P122" s="128" t="s">
        <v>1004</v>
      </c>
      <c r="Q122" s="361">
        <f t="shared" si="57"/>
        <v>0</v>
      </c>
      <c r="R122" s="361">
        <f t="shared" si="58"/>
        <v>0</v>
      </c>
      <c r="S122" s="166"/>
      <c r="T122" s="166"/>
    </row>
    <row r="123" spans="1:20" hidden="1" outlineLevel="1" x14ac:dyDescent="0.25">
      <c r="A123" s="329" t="s">
        <v>1330</v>
      </c>
      <c r="B123" s="325" t="s">
        <v>1985</v>
      </c>
      <c r="C123" s="320" t="s">
        <v>1487</v>
      </c>
      <c r="D123" s="327" t="s">
        <v>1960</v>
      </c>
      <c r="E123" s="320"/>
      <c r="F123" s="317"/>
      <c r="G123" s="317"/>
      <c r="H123" s="366">
        <f t="shared" si="52"/>
        <v>0</v>
      </c>
      <c r="I123" s="318"/>
      <c r="J123" s="375">
        <f t="shared" si="53"/>
        <v>0</v>
      </c>
      <c r="K123" s="336">
        <f t="shared" si="54"/>
        <v>0</v>
      </c>
      <c r="L123" s="318"/>
      <c r="M123" s="375">
        <f t="shared" si="55"/>
        <v>0</v>
      </c>
      <c r="N123" s="349">
        <f t="shared" si="56"/>
        <v>0</v>
      </c>
      <c r="O123" s="319"/>
      <c r="P123" s="128" t="s">
        <v>1004</v>
      </c>
      <c r="Q123" s="361">
        <f t="shared" si="57"/>
        <v>0</v>
      </c>
      <c r="R123" s="361">
        <f t="shared" si="58"/>
        <v>0</v>
      </c>
      <c r="S123" s="166"/>
      <c r="T123" s="166"/>
    </row>
    <row r="124" spans="1:20" hidden="1" outlineLevel="1" x14ac:dyDescent="0.25">
      <c r="A124" s="329" t="s">
        <v>1330</v>
      </c>
      <c r="B124" s="325" t="s">
        <v>1985</v>
      </c>
      <c r="C124" s="320" t="s">
        <v>1633</v>
      </c>
      <c r="D124" s="324" t="s">
        <v>1634</v>
      </c>
      <c r="E124" s="320" t="s">
        <v>1384</v>
      </c>
      <c r="F124" s="312"/>
      <c r="G124" s="312"/>
      <c r="H124" s="366">
        <f t="shared" si="52"/>
        <v>0</v>
      </c>
      <c r="I124" s="312"/>
      <c r="J124" s="375">
        <f t="shared" si="53"/>
        <v>0</v>
      </c>
      <c r="K124" s="336">
        <f t="shared" si="54"/>
        <v>0</v>
      </c>
      <c r="L124" s="312"/>
      <c r="M124" s="375">
        <f t="shared" si="55"/>
        <v>0</v>
      </c>
      <c r="N124" s="349">
        <f t="shared" si="56"/>
        <v>0</v>
      </c>
      <c r="O124" s="310"/>
      <c r="P124" s="128" t="s">
        <v>1004</v>
      </c>
      <c r="Q124" s="361">
        <f t="shared" si="57"/>
        <v>0</v>
      </c>
      <c r="R124" s="361">
        <f t="shared" si="58"/>
        <v>0</v>
      </c>
      <c r="S124" s="166"/>
      <c r="T124" s="166"/>
    </row>
    <row r="125" spans="1:20" hidden="1" outlineLevel="1" x14ac:dyDescent="0.25">
      <c r="A125" s="329" t="s">
        <v>1336</v>
      </c>
      <c r="B125" s="325" t="s">
        <v>1985</v>
      </c>
      <c r="C125" s="320" t="s">
        <v>1635</v>
      </c>
      <c r="D125" s="324" t="s">
        <v>1961</v>
      </c>
      <c r="E125" s="320" t="s">
        <v>1384</v>
      </c>
      <c r="F125" s="312"/>
      <c r="G125" s="312"/>
      <c r="H125" s="366">
        <f t="shared" si="52"/>
        <v>0</v>
      </c>
      <c r="I125" s="312"/>
      <c r="J125" s="375">
        <f t="shared" si="53"/>
        <v>0</v>
      </c>
      <c r="K125" s="336">
        <f t="shared" si="54"/>
        <v>0</v>
      </c>
      <c r="L125" s="312"/>
      <c r="M125" s="375">
        <f t="shared" si="55"/>
        <v>0</v>
      </c>
      <c r="N125" s="349">
        <f t="shared" si="56"/>
        <v>0</v>
      </c>
      <c r="O125" s="310"/>
      <c r="P125" s="128" t="s">
        <v>1004</v>
      </c>
      <c r="Q125" s="361">
        <f t="shared" si="57"/>
        <v>0</v>
      </c>
      <c r="R125" s="361">
        <f t="shared" si="58"/>
        <v>0</v>
      </c>
      <c r="S125" s="166"/>
      <c r="T125" s="166"/>
    </row>
    <row r="126" spans="1:20" hidden="1" outlineLevel="1" x14ac:dyDescent="0.25">
      <c r="A126" s="329" t="s">
        <v>1330</v>
      </c>
      <c r="B126" s="325" t="s">
        <v>1985</v>
      </c>
      <c r="C126" s="320" t="s">
        <v>1636</v>
      </c>
      <c r="D126" s="324" t="s">
        <v>1718</v>
      </c>
      <c r="E126" s="320" t="s">
        <v>1384</v>
      </c>
      <c r="F126" s="312"/>
      <c r="G126" s="312"/>
      <c r="H126" s="366">
        <f t="shared" si="52"/>
        <v>0</v>
      </c>
      <c r="I126" s="312"/>
      <c r="J126" s="375">
        <f t="shared" si="53"/>
        <v>0</v>
      </c>
      <c r="K126" s="336">
        <f t="shared" si="54"/>
        <v>0</v>
      </c>
      <c r="L126" s="312"/>
      <c r="M126" s="375">
        <f t="shared" si="55"/>
        <v>0</v>
      </c>
      <c r="N126" s="349">
        <f t="shared" si="56"/>
        <v>0</v>
      </c>
      <c r="O126" s="310"/>
      <c r="P126" s="128" t="s">
        <v>1004</v>
      </c>
      <c r="Q126" s="361">
        <f t="shared" si="57"/>
        <v>0</v>
      </c>
      <c r="R126" s="361">
        <f t="shared" si="58"/>
        <v>0</v>
      </c>
      <c r="S126" s="166"/>
      <c r="T126" s="166"/>
    </row>
    <row r="127" spans="1:20" hidden="1" outlineLevel="1" x14ac:dyDescent="0.25">
      <c r="A127" s="329" t="s">
        <v>1326</v>
      </c>
      <c r="B127" s="325" t="s">
        <v>1985</v>
      </c>
      <c r="C127" s="320" t="s">
        <v>1489</v>
      </c>
      <c r="D127" s="327" t="s">
        <v>1962</v>
      </c>
      <c r="E127" s="320"/>
      <c r="F127" s="317"/>
      <c r="G127" s="317"/>
      <c r="H127" s="366">
        <f t="shared" si="52"/>
        <v>0</v>
      </c>
      <c r="I127" s="318"/>
      <c r="J127" s="375">
        <f t="shared" si="53"/>
        <v>0</v>
      </c>
      <c r="K127" s="336">
        <f t="shared" si="54"/>
        <v>0</v>
      </c>
      <c r="L127" s="318"/>
      <c r="M127" s="375">
        <f t="shared" si="55"/>
        <v>0</v>
      </c>
      <c r="N127" s="349">
        <f t="shared" si="56"/>
        <v>0</v>
      </c>
      <c r="O127" s="319"/>
      <c r="P127" s="128" t="s">
        <v>1004</v>
      </c>
      <c r="Q127" s="361">
        <f t="shared" si="57"/>
        <v>0</v>
      </c>
      <c r="R127" s="361">
        <f t="shared" si="58"/>
        <v>0</v>
      </c>
      <c r="S127" s="166"/>
      <c r="T127" s="166"/>
    </row>
    <row r="128" spans="1:20" hidden="1" outlineLevel="1" x14ac:dyDescent="0.25">
      <c r="A128" s="329" t="s">
        <v>1326</v>
      </c>
      <c r="B128" s="325" t="s">
        <v>1985</v>
      </c>
      <c r="C128" s="320" t="s">
        <v>1637</v>
      </c>
      <c r="D128" s="324" t="s">
        <v>1640</v>
      </c>
      <c r="E128" s="320" t="s">
        <v>1384</v>
      </c>
      <c r="F128" s="312"/>
      <c r="G128" s="312"/>
      <c r="H128" s="366">
        <f t="shared" si="52"/>
        <v>0</v>
      </c>
      <c r="I128" s="312"/>
      <c r="J128" s="375">
        <f t="shared" si="53"/>
        <v>0</v>
      </c>
      <c r="K128" s="336">
        <f t="shared" si="54"/>
        <v>0</v>
      </c>
      <c r="L128" s="312"/>
      <c r="M128" s="375">
        <f t="shared" si="55"/>
        <v>0</v>
      </c>
      <c r="N128" s="349">
        <f t="shared" si="56"/>
        <v>0</v>
      </c>
      <c r="O128" s="310"/>
      <c r="P128" s="128" t="s">
        <v>1004</v>
      </c>
      <c r="Q128" s="361">
        <f t="shared" si="57"/>
        <v>0</v>
      </c>
      <c r="R128" s="361">
        <f t="shared" si="58"/>
        <v>0</v>
      </c>
      <c r="S128" s="166"/>
      <c r="T128" s="166"/>
    </row>
    <row r="129" spans="1:20" hidden="1" outlineLevel="1" x14ac:dyDescent="0.25">
      <c r="A129" s="329" t="s">
        <v>1326</v>
      </c>
      <c r="B129" s="325" t="s">
        <v>1985</v>
      </c>
      <c r="C129" s="320" t="s">
        <v>1639</v>
      </c>
      <c r="D129" s="324" t="s">
        <v>1963</v>
      </c>
      <c r="E129" s="320" t="s">
        <v>1384</v>
      </c>
      <c r="F129" s="312"/>
      <c r="G129" s="312"/>
      <c r="H129" s="366">
        <f t="shared" si="52"/>
        <v>0</v>
      </c>
      <c r="I129" s="312"/>
      <c r="J129" s="375">
        <f t="shared" si="53"/>
        <v>0</v>
      </c>
      <c r="K129" s="336">
        <f t="shared" si="54"/>
        <v>0</v>
      </c>
      <c r="L129" s="312"/>
      <c r="M129" s="375">
        <f t="shared" si="55"/>
        <v>0</v>
      </c>
      <c r="N129" s="349">
        <f t="shared" si="56"/>
        <v>0</v>
      </c>
      <c r="O129" s="310"/>
      <c r="P129" s="128" t="s">
        <v>1004</v>
      </c>
      <c r="Q129" s="361">
        <f t="shared" si="57"/>
        <v>0</v>
      </c>
      <c r="R129" s="361">
        <f t="shared" si="58"/>
        <v>0</v>
      </c>
      <c r="S129" s="166"/>
      <c r="T129" s="166"/>
    </row>
    <row r="130" spans="1:20" hidden="1" outlineLevel="1" x14ac:dyDescent="0.25">
      <c r="A130" s="329" t="s">
        <v>1326</v>
      </c>
      <c r="B130" s="325" t="s">
        <v>1985</v>
      </c>
      <c r="C130" s="320" t="s">
        <v>1964</v>
      </c>
      <c r="D130" s="327" t="s">
        <v>1965</v>
      </c>
      <c r="E130" s="319"/>
      <c r="F130" s="317"/>
      <c r="G130" s="317"/>
      <c r="H130" s="366">
        <f t="shared" si="52"/>
        <v>0</v>
      </c>
      <c r="I130" s="318"/>
      <c r="J130" s="375">
        <f t="shared" si="53"/>
        <v>0</v>
      </c>
      <c r="K130" s="337">
        <f t="shared" si="54"/>
        <v>0</v>
      </c>
      <c r="L130" s="318"/>
      <c r="M130" s="375">
        <f t="shared" si="55"/>
        <v>0</v>
      </c>
      <c r="N130" s="350">
        <f t="shared" si="56"/>
        <v>0</v>
      </c>
      <c r="O130" s="319"/>
      <c r="P130" s="128" t="s">
        <v>1004</v>
      </c>
      <c r="Q130" s="361">
        <f t="shared" si="57"/>
        <v>0</v>
      </c>
      <c r="R130" s="361">
        <f t="shared" si="58"/>
        <v>0</v>
      </c>
      <c r="S130" s="180"/>
      <c r="T130" s="180"/>
    </row>
    <row r="131" spans="1:20" hidden="1" outlineLevel="1" x14ac:dyDescent="0.25">
      <c r="A131" s="329" t="s">
        <v>1326</v>
      </c>
      <c r="B131" s="325" t="s">
        <v>1985</v>
      </c>
      <c r="C131" s="320" t="s">
        <v>1642</v>
      </c>
      <c r="D131" s="324" t="s">
        <v>1720</v>
      </c>
      <c r="E131" s="320" t="s">
        <v>1384</v>
      </c>
      <c r="F131" s="312"/>
      <c r="G131" s="312"/>
      <c r="H131" s="366">
        <f t="shared" si="52"/>
        <v>0</v>
      </c>
      <c r="I131" s="312"/>
      <c r="J131" s="375">
        <f t="shared" si="53"/>
        <v>0</v>
      </c>
      <c r="K131" s="336">
        <f t="shared" si="54"/>
        <v>0</v>
      </c>
      <c r="L131" s="312"/>
      <c r="M131" s="375">
        <f t="shared" si="55"/>
        <v>0</v>
      </c>
      <c r="N131" s="349">
        <f t="shared" si="56"/>
        <v>0</v>
      </c>
      <c r="O131" s="310"/>
      <c r="P131" s="128" t="s">
        <v>1004</v>
      </c>
      <c r="Q131" s="361">
        <f t="shared" si="57"/>
        <v>0</v>
      </c>
      <c r="R131" s="361">
        <f t="shared" si="58"/>
        <v>0</v>
      </c>
      <c r="S131" s="166"/>
      <c r="T131" s="166"/>
    </row>
    <row r="132" spans="1:20" hidden="1" outlineLevel="1" x14ac:dyDescent="0.25">
      <c r="A132" s="329" t="s">
        <v>1326</v>
      </c>
      <c r="B132" s="325" t="s">
        <v>1985</v>
      </c>
      <c r="C132" s="320" t="s">
        <v>1643</v>
      </c>
      <c r="D132" s="324" t="s">
        <v>1644</v>
      </c>
      <c r="E132" s="320" t="s">
        <v>1384</v>
      </c>
      <c r="F132" s="312"/>
      <c r="G132" s="312"/>
      <c r="H132" s="366">
        <f t="shared" si="52"/>
        <v>0</v>
      </c>
      <c r="I132" s="312"/>
      <c r="J132" s="375">
        <f t="shared" si="53"/>
        <v>0</v>
      </c>
      <c r="K132" s="336">
        <f t="shared" si="54"/>
        <v>0</v>
      </c>
      <c r="L132" s="312"/>
      <c r="M132" s="375">
        <f t="shared" si="55"/>
        <v>0</v>
      </c>
      <c r="N132" s="349">
        <f t="shared" si="56"/>
        <v>0</v>
      </c>
      <c r="O132" s="310"/>
      <c r="P132" s="128" t="s">
        <v>1004</v>
      </c>
      <c r="Q132" s="361">
        <f t="shared" si="57"/>
        <v>0</v>
      </c>
      <c r="R132" s="361">
        <f t="shared" si="58"/>
        <v>0</v>
      </c>
      <c r="S132" s="166"/>
      <c r="T132" s="166"/>
    </row>
    <row r="133" spans="1:20" hidden="1" outlineLevel="1" x14ac:dyDescent="0.25">
      <c r="A133" s="329" t="s">
        <v>1326</v>
      </c>
      <c r="B133" s="325" t="s">
        <v>1985</v>
      </c>
      <c r="C133" s="320" t="s">
        <v>1645</v>
      </c>
      <c r="D133" s="324" t="s">
        <v>1966</v>
      </c>
      <c r="E133" s="320" t="s">
        <v>1384</v>
      </c>
      <c r="F133" s="312"/>
      <c r="G133" s="312"/>
      <c r="H133" s="366">
        <f t="shared" si="52"/>
        <v>0</v>
      </c>
      <c r="I133" s="312"/>
      <c r="J133" s="375">
        <f t="shared" si="53"/>
        <v>0</v>
      </c>
      <c r="K133" s="336">
        <f t="shared" si="54"/>
        <v>0</v>
      </c>
      <c r="L133" s="312"/>
      <c r="M133" s="375">
        <f t="shared" si="55"/>
        <v>0</v>
      </c>
      <c r="N133" s="349">
        <f t="shared" si="56"/>
        <v>0</v>
      </c>
      <c r="O133" s="310"/>
      <c r="P133" s="128" t="s">
        <v>1004</v>
      </c>
      <c r="Q133" s="361">
        <f t="shared" si="57"/>
        <v>0</v>
      </c>
      <c r="R133" s="361">
        <f t="shared" si="58"/>
        <v>0</v>
      </c>
      <c r="S133" s="166"/>
      <c r="T133" s="166"/>
    </row>
    <row r="134" spans="1:20" hidden="1" outlineLevel="1" x14ac:dyDescent="0.25">
      <c r="A134" s="329" t="s">
        <v>1326</v>
      </c>
      <c r="B134" s="325" t="s">
        <v>1985</v>
      </c>
      <c r="C134" s="320" t="s">
        <v>1967</v>
      </c>
      <c r="D134" s="327" t="s">
        <v>1968</v>
      </c>
      <c r="E134" s="320"/>
      <c r="F134" s="317"/>
      <c r="G134" s="317"/>
      <c r="H134" s="366">
        <f t="shared" si="52"/>
        <v>0</v>
      </c>
      <c r="I134" s="318"/>
      <c r="J134" s="375">
        <f t="shared" si="53"/>
        <v>0</v>
      </c>
      <c r="K134" s="336">
        <f t="shared" si="54"/>
        <v>0</v>
      </c>
      <c r="L134" s="318"/>
      <c r="M134" s="375">
        <f t="shared" si="55"/>
        <v>0</v>
      </c>
      <c r="N134" s="349">
        <f t="shared" si="56"/>
        <v>0</v>
      </c>
      <c r="O134" s="319"/>
      <c r="P134" s="128" t="s">
        <v>1004</v>
      </c>
      <c r="Q134" s="361">
        <f t="shared" si="57"/>
        <v>0</v>
      </c>
      <c r="R134" s="361">
        <f t="shared" si="58"/>
        <v>0</v>
      </c>
      <c r="S134" s="166"/>
      <c r="T134" s="166"/>
    </row>
    <row r="135" spans="1:20" hidden="1" outlineLevel="1" x14ac:dyDescent="0.25">
      <c r="A135" s="329" t="s">
        <v>1326</v>
      </c>
      <c r="B135" s="325" t="s">
        <v>1985</v>
      </c>
      <c r="C135" s="320" t="s">
        <v>1646</v>
      </c>
      <c r="D135" s="324" t="s">
        <v>1647</v>
      </c>
      <c r="E135" s="320" t="s">
        <v>1384</v>
      </c>
      <c r="F135" s="312"/>
      <c r="G135" s="312"/>
      <c r="H135" s="366">
        <f t="shared" si="52"/>
        <v>0</v>
      </c>
      <c r="I135" s="312"/>
      <c r="J135" s="375">
        <f t="shared" si="53"/>
        <v>0</v>
      </c>
      <c r="K135" s="336">
        <f t="shared" si="54"/>
        <v>0</v>
      </c>
      <c r="L135" s="312"/>
      <c r="M135" s="375">
        <f t="shared" si="55"/>
        <v>0</v>
      </c>
      <c r="N135" s="349">
        <f t="shared" si="56"/>
        <v>0</v>
      </c>
      <c r="O135" s="310"/>
      <c r="P135" s="128" t="s">
        <v>1004</v>
      </c>
      <c r="Q135" s="361">
        <f t="shared" si="57"/>
        <v>0</v>
      </c>
      <c r="R135" s="361">
        <f t="shared" si="58"/>
        <v>0</v>
      </c>
      <c r="S135" s="166"/>
      <c r="T135" s="166"/>
    </row>
    <row r="136" spans="1:20" hidden="1" outlineLevel="1" x14ac:dyDescent="0.25">
      <c r="A136" s="329" t="s">
        <v>1326</v>
      </c>
      <c r="B136" s="325" t="s">
        <v>1985</v>
      </c>
      <c r="C136" s="320" t="s">
        <v>1648</v>
      </c>
      <c r="D136" s="324" t="s">
        <v>1969</v>
      </c>
      <c r="E136" s="320" t="s">
        <v>1384</v>
      </c>
      <c r="F136" s="312"/>
      <c r="G136" s="312"/>
      <c r="H136" s="366">
        <f t="shared" si="52"/>
        <v>0</v>
      </c>
      <c r="I136" s="312"/>
      <c r="J136" s="375">
        <f t="shared" si="53"/>
        <v>0</v>
      </c>
      <c r="K136" s="336">
        <f t="shared" si="54"/>
        <v>0</v>
      </c>
      <c r="L136" s="312"/>
      <c r="M136" s="375">
        <f t="shared" si="55"/>
        <v>0</v>
      </c>
      <c r="N136" s="349">
        <f t="shared" si="56"/>
        <v>0</v>
      </c>
      <c r="O136" s="310"/>
      <c r="P136" s="128" t="s">
        <v>1004</v>
      </c>
      <c r="Q136" s="361">
        <f t="shared" si="57"/>
        <v>0</v>
      </c>
      <c r="R136" s="361">
        <f t="shared" si="58"/>
        <v>0</v>
      </c>
      <c r="S136" s="166"/>
      <c r="T136" s="166"/>
    </row>
    <row r="137" spans="1:20" hidden="1" outlineLevel="1" x14ac:dyDescent="0.25">
      <c r="A137" s="329" t="s">
        <v>1326</v>
      </c>
      <c r="B137" s="325" t="s">
        <v>1985</v>
      </c>
      <c r="C137" s="320">
        <v>3.2</v>
      </c>
      <c r="D137" s="327" t="s">
        <v>1970</v>
      </c>
      <c r="E137" s="319"/>
      <c r="F137" s="317"/>
      <c r="G137" s="317"/>
      <c r="H137" s="366">
        <f t="shared" si="52"/>
        <v>0</v>
      </c>
      <c r="I137" s="318"/>
      <c r="J137" s="375">
        <f t="shared" si="53"/>
        <v>0</v>
      </c>
      <c r="K137" s="337">
        <f t="shared" si="54"/>
        <v>0</v>
      </c>
      <c r="L137" s="318"/>
      <c r="M137" s="375">
        <f t="shared" si="55"/>
        <v>0</v>
      </c>
      <c r="N137" s="350">
        <f t="shared" si="56"/>
        <v>0</v>
      </c>
      <c r="O137" s="319"/>
      <c r="P137" s="128" t="s">
        <v>1004</v>
      </c>
      <c r="Q137" s="361">
        <f t="shared" si="57"/>
        <v>0</v>
      </c>
      <c r="R137" s="361">
        <f t="shared" si="58"/>
        <v>0</v>
      </c>
      <c r="S137" s="180"/>
      <c r="T137" s="180"/>
    </row>
    <row r="138" spans="1:20" hidden="1" outlineLevel="1" x14ac:dyDescent="0.25">
      <c r="A138" s="329" t="s">
        <v>1338</v>
      </c>
      <c r="B138" s="325" t="s">
        <v>1985</v>
      </c>
      <c r="C138" s="320" t="s">
        <v>1491</v>
      </c>
      <c r="D138" s="327" t="s">
        <v>1971</v>
      </c>
      <c r="E138" s="319"/>
      <c r="F138" s="317"/>
      <c r="G138" s="317"/>
      <c r="H138" s="366">
        <f t="shared" si="52"/>
        <v>0</v>
      </c>
      <c r="I138" s="318"/>
      <c r="J138" s="375">
        <f t="shared" si="53"/>
        <v>0</v>
      </c>
      <c r="K138" s="336">
        <f t="shared" si="54"/>
        <v>0</v>
      </c>
      <c r="L138" s="318"/>
      <c r="M138" s="375">
        <f t="shared" si="55"/>
        <v>0</v>
      </c>
      <c r="N138" s="349">
        <f t="shared" si="56"/>
        <v>0</v>
      </c>
      <c r="O138" s="319"/>
      <c r="P138" s="128" t="s">
        <v>1004</v>
      </c>
      <c r="Q138" s="361">
        <f t="shared" si="57"/>
        <v>0</v>
      </c>
      <c r="R138" s="361">
        <f t="shared" si="58"/>
        <v>0</v>
      </c>
      <c r="S138" s="166"/>
      <c r="T138" s="166"/>
    </row>
    <row r="139" spans="1:20" hidden="1" outlineLevel="1" x14ac:dyDescent="0.25">
      <c r="A139" s="329" t="s">
        <v>1338</v>
      </c>
      <c r="B139" s="325" t="s">
        <v>1985</v>
      </c>
      <c r="C139" s="320" t="s">
        <v>1649</v>
      </c>
      <c r="D139" s="324" t="s">
        <v>1672</v>
      </c>
      <c r="E139" s="320" t="s">
        <v>1384</v>
      </c>
      <c r="F139" s="312"/>
      <c r="G139" s="312"/>
      <c r="H139" s="366">
        <f t="shared" si="52"/>
        <v>0</v>
      </c>
      <c r="I139" s="312"/>
      <c r="J139" s="375">
        <f t="shared" si="53"/>
        <v>0</v>
      </c>
      <c r="K139" s="336">
        <f t="shared" si="54"/>
        <v>0</v>
      </c>
      <c r="L139" s="312"/>
      <c r="M139" s="375">
        <f t="shared" si="55"/>
        <v>0</v>
      </c>
      <c r="N139" s="349">
        <f t="shared" si="56"/>
        <v>0</v>
      </c>
      <c r="O139" s="310"/>
      <c r="P139" s="128" t="s">
        <v>1004</v>
      </c>
      <c r="Q139" s="361">
        <f t="shared" si="57"/>
        <v>0</v>
      </c>
      <c r="R139" s="361">
        <f t="shared" si="58"/>
        <v>0</v>
      </c>
      <c r="S139" s="166"/>
      <c r="T139" s="166"/>
    </row>
    <row r="140" spans="1:20" hidden="1" outlineLevel="1" x14ac:dyDescent="0.25">
      <c r="A140" s="329" t="s">
        <v>1338</v>
      </c>
      <c r="B140" s="325" t="s">
        <v>1985</v>
      </c>
      <c r="C140" s="320" t="s">
        <v>1651</v>
      </c>
      <c r="D140" s="324" t="s">
        <v>1673</v>
      </c>
      <c r="E140" s="320" t="s">
        <v>1384</v>
      </c>
      <c r="F140" s="312"/>
      <c r="G140" s="312"/>
      <c r="H140" s="366">
        <f t="shared" si="52"/>
        <v>0</v>
      </c>
      <c r="I140" s="312"/>
      <c r="J140" s="375">
        <f t="shared" si="53"/>
        <v>0</v>
      </c>
      <c r="K140" s="336">
        <f t="shared" si="54"/>
        <v>0</v>
      </c>
      <c r="L140" s="312"/>
      <c r="M140" s="375">
        <f t="shared" si="55"/>
        <v>0</v>
      </c>
      <c r="N140" s="349">
        <f t="shared" si="56"/>
        <v>0</v>
      </c>
      <c r="O140" s="310"/>
      <c r="P140" s="128" t="s">
        <v>1004</v>
      </c>
      <c r="Q140" s="361">
        <f t="shared" si="57"/>
        <v>0</v>
      </c>
      <c r="R140" s="361">
        <f t="shared" si="58"/>
        <v>0</v>
      </c>
      <c r="S140" s="166"/>
      <c r="T140" s="166"/>
    </row>
    <row r="141" spans="1:20" hidden="1" outlineLevel="1" x14ac:dyDescent="0.25">
      <c r="A141" s="329" t="s">
        <v>1338</v>
      </c>
      <c r="B141" s="325" t="s">
        <v>1985</v>
      </c>
      <c r="C141" s="320" t="s">
        <v>1653</v>
      </c>
      <c r="D141" s="324" t="s">
        <v>1674</v>
      </c>
      <c r="E141" s="320" t="s">
        <v>1384</v>
      </c>
      <c r="F141" s="312"/>
      <c r="G141" s="312"/>
      <c r="H141" s="366">
        <f t="shared" si="52"/>
        <v>0</v>
      </c>
      <c r="I141" s="312"/>
      <c r="J141" s="375">
        <f t="shared" si="53"/>
        <v>0</v>
      </c>
      <c r="K141" s="336">
        <f t="shared" si="54"/>
        <v>0</v>
      </c>
      <c r="L141" s="312"/>
      <c r="M141" s="375">
        <f t="shared" si="55"/>
        <v>0</v>
      </c>
      <c r="N141" s="349">
        <f t="shared" si="56"/>
        <v>0</v>
      </c>
      <c r="O141" s="310"/>
      <c r="P141" s="128" t="s">
        <v>1004</v>
      </c>
      <c r="Q141" s="361">
        <f t="shared" si="57"/>
        <v>0</v>
      </c>
      <c r="R141" s="361">
        <f t="shared" si="58"/>
        <v>0</v>
      </c>
      <c r="S141" s="166"/>
      <c r="T141" s="166"/>
    </row>
    <row r="142" spans="1:20" hidden="1" outlineLevel="1" x14ac:dyDescent="0.25">
      <c r="A142" s="329" t="s">
        <v>1338</v>
      </c>
      <c r="B142" s="325" t="s">
        <v>1985</v>
      </c>
      <c r="C142" s="320" t="s">
        <v>1654</v>
      </c>
      <c r="D142" s="324" t="s">
        <v>1675</v>
      </c>
      <c r="E142" s="320" t="s">
        <v>1384</v>
      </c>
      <c r="F142" s="312"/>
      <c r="G142" s="312"/>
      <c r="H142" s="366">
        <f t="shared" si="52"/>
        <v>0</v>
      </c>
      <c r="I142" s="312"/>
      <c r="J142" s="375">
        <f t="shared" si="53"/>
        <v>0</v>
      </c>
      <c r="K142" s="336">
        <f t="shared" si="54"/>
        <v>0</v>
      </c>
      <c r="L142" s="312"/>
      <c r="M142" s="375">
        <f t="shared" si="55"/>
        <v>0</v>
      </c>
      <c r="N142" s="349">
        <f t="shared" si="56"/>
        <v>0</v>
      </c>
      <c r="O142" s="310"/>
      <c r="P142" s="128" t="s">
        <v>1004</v>
      </c>
      <c r="Q142" s="361">
        <f t="shared" si="57"/>
        <v>0</v>
      </c>
      <c r="R142" s="361">
        <f t="shared" si="58"/>
        <v>0</v>
      </c>
      <c r="S142" s="166"/>
      <c r="T142" s="166"/>
    </row>
    <row r="143" spans="1:20" hidden="1" outlineLevel="1" x14ac:dyDescent="0.25">
      <c r="A143" s="329" t="s">
        <v>1338</v>
      </c>
      <c r="B143" s="325" t="s">
        <v>1985</v>
      </c>
      <c r="C143" s="320" t="s">
        <v>1676</v>
      </c>
      <c r="D143" s="324" t="s">
        <v>1677</v>
      </c>
      <c r="E143" s="320" t="s">
        <v>1384</v>
      </c>
      <c r="F143" s="312"/>
      <c r="G143" s="312"/>
      <c r="H143" s="366">
        <f t="shared" si="52"/>
        <v>0</v>
      </c>
      <c r="I143" s="312"/>
      <c r="J143" s="375">
        <f t="shared" si="53"/>
        <v>0</v>
      </c>
      <c r="K143" s="336">
        <f t="shared" si="54"/>
        <v>0</v>
      </c>
      <c r="L143" s="312"/>
      <c r="M143" s="375">
        <f t="shared" si="55"/>
        <v>0</v>
      </c>
      <c r="N143" s="349">
        <f t="shared" si="56"/>
        <v>0</v>
      </c>
      <c r="O143" s="310"/>
      <c r="P143" s="128" t="s">
        <v>1004</v>
      </c>
      <c r="Q143" s="361">
        <f t="shared" si="57"/>
        <v>0</v>
      </c>
      <c r="R143" s="361">
        <f t="shared" si="58"/>
        <v>0</v>
      </c>
      <c r="S143" s="166"/>
      <c r="T143" s="166"/>
    </row>
    <row r="144" spans="1:20" hidden="1" outlineLevel="1" x14ac:dyDescent="0.25">
      <c r="A144" s="329" t="s">
        <v>1338</v>
      </c>
      <c r="B144" s="325" t="s">
        <v>1985</v>
      </c>
      <c r="C144" s="320" t="s">
        <v>1678</v>
      </c>
      <c r="D144" s="324" t="s">
        <v>1655</v>
      </c>
      <c r="E144" s="320" t="s">
        <v>1384</v>
      </c>
      <c r="F144" s="312"/>
      <c r="G144" s="312"/>
      <c r="H144" s="366">
        <f t="shared" si="52"/>
        <v>0</v>
      </c>
      <c r="I144" s="312"/>
      <c r="J144" s="375">
        <f t="shared" si="53"/>
        <v>0</v>
      </c>
      <c r="K144" s="336">
        <f t="shared" si="54"/>
        <v>0</v>
      </c>
      <c r="L144" s="312"/>
      <c r="M144" s="375">
        <f t="shared" si="55"/>
        <v>0</v>
      </c>
      <c r="N144" s="349">
        <f t="shared" si="56"/>
        <v>0</v>
      </c>
      <c r="O144" s="310"/>
      <c r="P144" s="128" t="s">
        <v>1004</v>
      </c>
      <c r="Q144" s="361">
        <f t="shared" si="57"/>
        <v>0</v>
      </c>
      <c r="R144" s="361">
        <f t="shared" si="58"/>
        <v>0</v>
      </c>
      <c r="S144" s="166"/>
      <c r="T144" s="166"/>
    </row>
    <row r="145" spans="1:20" hidden="1" outlineLevel="1" x14ac:dyDescent="0.25">
      <c r="A145" s="329" t="s">
        <v>1338</v>
      </c>
      <c r="B145" s="325" t="s">
        <v>1985</v>
      </c>
      <c r="C145" s="320" t="s">
        <v>1679</v>
      </c>
      <c r="D145" s="324" t="s">
        <v>1650</v>
      </c>
      <c r="E145" s="320" t="s">
        <v>1384</v>
      </c>
      <c r="F145" s="312"/>
      <c r="G145" s="312"/>
      <c r="H145" s="366">
        <f t="shared" si="52"/>
        <v>0</v>
      </c>
      <c r="I145" s="312"/>
      <c r="J145" s="375">
        <f t="shared" si="53"/>
        <v>0</v>
      </c>
      <c r="K145" s="336">
        <f t="shared" si="54"/>
        <v>0</v>
      </c>
      <c r="L145" s="312"/>
      <c r="M145" s="375">
        <f t="shared" si="55"/>
        <v>0</v>
      </c>
      <c r="N145" s="349">
        <f t="shared" si="56"/>
        <v>0</v>
      </c>
      <c r="O145" s="310"/>
      <c r="P145" s="128" t="s">
        <v>1004</v>
      </c>
      <c r="Q145" s="361">
        <f t="shared" si="57"/>
        <v>0</v>
      </c>
      <c r="R145" s="361">
        <f t="shared" si="58"/>
        <v>0</v>
      </c>
      <c r="S145" s="166"/>
      <c r="T145" s="166"/>
    </row>
    <row r="146" spans="1:20" hidden="1" outlineLevel="1" x14ac:dyDescent="0.25">
      <c r="A146" s="329" t="s">
        <v>1338</v>
      </c>
      <c r="B146" s="325" t="s">
        <v>1985</v>
      </c>
      <c r="C146" s="320" t="s">
        <v>1680</v>
      </c>
      <c r="D146" s="324" t="s">
        <v>1652</v>
      </c>
      <c r="E146" s="320" t="s">
        <v>1384</v>
      </c>
      <c r="F146" s="312"/>
      <c r="G146" s="312"/>
      <c r="H146" s="366">
        <f t="shared" si="52"/>
        <v>0</v>
      </c>
      <c r="I146" s="312"/>
      <c r="J146" s="375">
        <f t="shared" si="53"/>
        <v>0</v>
      </c>
      <c r="K146" s="336">
        <f t="shared" si="54"/>
        <v>0</v>
      </c>
      <c r="L146" s="312"/>
      <c r="M146" s="375">
        <f t="shared" si="55"/>
        <v>0</v>
      </c>
      <c r="N146" s="349">
        <f t="shared" si="56"/>
        <v>0</v>
      </c>
      <c r="O146" s="310"/>
      <c r="P146" s="128" t="s">
        <v>1004</v>
      </c>
      <c r="Q146" s="361">
        <f t="shared" si="57"/>
        <v>0</v>
      </c>
      <c r="R146" s="361">
        <f t="shared" si="58"/>
        <v>0</v>
      </c>
      <c r="S146" s="166"/>
      <c r="T146" s="166"/>
    </row>
    <row r="147" spans="1:20" hidden="1" outlineLevel="1" x14ac:dyDescent="0.25">
      <c r="A147" s="329" t="s">
        <v>1328</v>
      </c>
      <c r="B147" s="325" t="s">
        <v>1985</v>
      </c>
      <c r="C147" s="320" t="s">
        <v>1493</v>
      </c>
      <c r="D147" s="327" t="s">
        <v>1972</v>
      </c>
      <c r="E147" s="319"/>
      <c r="F147" s="317"/>
      <c r="G147" s="317"/>
      <c r="H147" s="366">
        <f t="shared" si="52"/>
        <v>0</v>
      </c>
      <c r="I147" s="318"/>
      <c r="J147" s="375">
        <f t="shared" si="53"/>
        <v>0</v>
      </c>
      <c r="K147" s="337">
        <f t="shared" si="54"/>
        <v>0</v>
      </c>
      <c r="L147" s="318"/>
      <c r="M147" s="375">
        <f t="shared" si="55"/>
        <v>0</v>
      </c>
      <c r="N147" s="350">
        <f t="shared" si="56"/>
        <v>0</v>
      </c>
      <c r="O147" s="319"/>
      <c r="P147" s="128" t="s">
        <v>1004</v>
      </c>
      <c r="Q147" s="361">
        <f t="shared" si="57"/>
        <v>0</v>
      </c>
      <c r="R147" s="361">
        <f t="shared" si="58"/>
        <v>0</v>
      </c>
      <c r="S147" s="180"/>
      <c r="T147" s="180"/>
    </row>
    <row r="148" spans="1:20" hidden="1" outlineLevel="1" x14ac:dyDescent="0.25">
      <c r="A148" s="329" t="s">
        <v>1328</v>
      </c>
      <c r="B148" s="325" t="s">
        <v>1985</v>
      </c>
      <c r="C148" s="320" t="s">
        <v>1656</v>
      </c>
      <c r="D148" s="324" t="s">
        <v>1681</v>
      </c>
      <c r="E148" s="320" t="s">
        <v>1384</v>
      </c>
      <c r="F148" s="312"/>
      <c r="G148" s="312"/>
      <c r="H148" s="366">
        <f t="shared" si="52"/>
        <v>0</v>
      </c>
      <c r="I148" s="312"/>
      <c r="J148" s="375">
        <f t="shared" si="53"/>
        <v>0</v>
      </c>
      <c r="K148" s="336">
        <f t="shared" si="54"/>
        <v>0</v>
      </c>
      <c r="L148" s="312"/>
      <c r="M148" s="375">
        <f t="shared" si="55"/>
        <v>0</v>
      </c>
      <c r="N148" s="349">
        <f t="shared" si="56"/>
        <v>0</v>
      </c>
      <c r="O148" s="310"/>
      <c r="P148" s="128" t="s">
        <v>1004</v>
      </c>
      <c r="Q148" s="361">
        <f t="shared" si="57"/>
        <v>0</v>
      </c>
      <c r="R148" s="361">
        <f t="shared" si="58"/>
        <v>0</v>
      </c>
      <c r="S148" s="180"/>
      <c r="T148" s="180"/>
    </row>
    <row r="149" spans="1:20" hidden="1" outlineLevel="1" x14ac:dyDescent="0.25">
      <c r="A149" s="329" t="s">
        <v>1328</v>
      </c>
      <c r="B149" s="325" t="s">
        <v>1985</v>
      </c>
      <c r="C149" s="320" t="s">
        <v>1658</v>
      </c>
      <c r="D149" s="324" t="s">
        <v>1682</v>
      </c>
      <c r="E149" s="320" t="s">
        <v>1384</v>
      </c>
      <c r="F149" s="312"/>
      <c r="G149" s="312"/>
      <c r="H149" s="366">
        <f t="shared" si="52"/>
        <v>0</v>
      </c>
      <c r="I149" s="312"/>
      <c r="J149" s="375">
        <f t="shared" si="53"/>
        <v>0</v>
      </c>
      <c r="K149" s="336">
        <f t="shared" si="54"/>
        <v>0</v>
      </c>
      <c r="L149" s="312"/>
      <c r="M149" s="375">
        <f t="shared" si="55"/>
        <v>0</v>
      </c>
      <c r="N149" s="349">
        <f t="shared" si="56"/>
        <v>0</v>
      </c>
      <c r="O149" s="310"/>
      <c r="P149" s="128" t="s">
        <v>1004</v>
      </c>
      <c r="Q149" s="361">
        <f t="shared" si="57"/>
        <v>0</v>
      </c>
      <c r="R149" s="361">
        <f t="shared" si="58"/>
        <v>0</v>
      </c>
      <c r="S149" s="180"/>
      <c r="T149" s="180"/>
    </row>
    <row r="150" spans="1:20" hidden="1" outlineLevel="1" x14ac:dyDescent="0.25">
      <c r="A150" s="329" t="s">
        <v>1328</v>
      </c>
      <c r="B150" s="325" t="s">
        <v>1985</v>
      </c>
      <c r="C150" s="320" t="s">
        <v>1660</v>
      </c>
      <c r="D150" s="324" t="s">
        <v>1683</v>
      </c>
      <c r="E150" s="320" t="s">
        <v>1384</v>
      </c>
      <c r="F150" s="312"/>
      <c r="G150" s="312"/>
      <c r="H150" s="366">
        <f t="shared" si="52"/>
        <v>0</v>
      </c>
      <c r="I150" s="312"/>
      <c r="J150" s="375">
        <f t="shared" si="53"/>
        <v>0</v>
      </c>
      <c r="K150" s="336">
        <f t="shared" si="54"/>
        <v>0</v>
      </c>
      <c r="L150" s="312"/>
      <c r="M150" s="375">
        <f t="shared" si="55"/>
        <v>0</v>
      </c>
      <c r="N150" s="349">
        <f t="shared" si="56"/>
        <v>0</v>
      </c>
      <c r="O150" s="310"/>
      <c r="P150" s="128" t="s">
        <v>1004</v>
      </c>
      <c r="Q150" s="361">
        <f t="shared" si="57"/>
        <v>0</v>
      </c>
      <c r="R150" s="361">
        <f t="shared" si="58"/>
        <v>0</v>
      </c>
      <c r="S150" s="180"/>
      <c r="T150" s="180"/>
    </row>
    <row r="151" spans="1:20" hidden="1" outlineLevel="1" x14ac:dyDescent="0.25">
      <c r="A151" s="329" t="s">
        <v>1328</v>
      </c>
      <c r="B151" s="325" t="s">
        <v>1985</v>
      </c>
      <c r="C151" s="320" t="s">
        <v>1684</v>
      </c>
      <c r="D151" s="324" t="s">
        <v>1685</v>
      </c>
      <c r="E151" s="320" t="s">
        <v>1384</v>
      </c>
      <c r="F151" s="312"/>
      <c r="G151" s="312"/>
      <c r="H151" s="366">
        <f t="shared" si="52"/>
        <v>0</v>
      </c>
      <c r="I151" s="312"/>
      <c r="J151" s="375">
        <f t="shared" si="53"/>
        <v>0</v>
      </c>
      <c r="K151" s="336">
        <f t="shared" si="54"/>
        <v>0</v>
      </c>
      <c r="L151" s="312"/>
      <c r="M151" s="375">
        <f t="shared" si="55"/>
        <v>0</v>
      </c>
      <c r="N151" s="349">
        <f t="shared" si="56"/>
        <v>0</v>
      </c>
      <c r="O151" s="310"/>
      <c r="P151" s="128" t="s">
        <v>1004</v>
      </c>
      <c r="Q151" s="361">
        <f t="shared" si="57"/>
        <v>0</v>
      </c>
      <c r="R151" s="361">
        <f t="shared" si="58"/>
        <v>0</v>
      </c>
      <c r="S151" s="180"/>
      <c r="T151" s="180"/>
    </row>
    <row r="152" spans="1:20" hidden="1" outlineLevel="1" x14ac:dyDescent="0.25">
      <c r="A152" s="329" t="s">
        <v>1328</v>
      </c>
      <c r="B152" s="325" t="s">
        <v>1985</v>
      </c>
      <c r="C152" s="320" t="s">
        <v>1686</v>
      </c>
      <c r="D152" s="324" t="s">
        <v>1655</v>
      </c>
      <c r="E152" s="320" t="s">
        <v>1384</v>
      </c>
      <c r="F152" s="312"/>
      <c r="G152" s="312"/>
      <c r="H152" s="366">
        <f t="shared" si="52"/>
        <v>0</v>
      </c>
      <c r="I152" s="312"/>
      <c r="J152" s="375">
        <f t="shared" si="53"/>
        <v>0</v>
      </c>
      <c r="K152" s="336">
        <f t="shared" si="54"/>
        <v>0</v>
      </c>
      <c r="L152" s="312"/>
      <c r="M152" s="375">
        <f t="shared" si="55"/>
        <v>0</v>
      </c>
      <c r="N152" s="349">
        <f t="shared" si="56"/>
        <v>0</v>
      </c>
      <c r="O152" s="310"/>
      <c r="P152" s="128" t="s">
        <v>1004</v>
      </c>
      <c r="Q152" s="361">
        <f t="shared" si="57"/>
        <v>0</v>
      </c>
      <c r="R152" s="361">
        <f t="shared" si="58"/>
        <v>0</v>
      </c>
      <c r="S152" s="180"/>
      <c r="T152" s="180"/>
    </row>
    <row r="153" spans="1:20" hidden="1" outlineLevel="1" x14ac:dyDescent="0.25">
      <c r="A153" s="329" t="s">
        <v>1328</v>
      </c>
      <c r="B153" s="325" t="s">
        <v>1985</v>
      </c>
      <c r="C153" s="320" t="s">
        <v>1687</v>
      </c>
      <c r="D153" s="324" t="s">
        <v>1674</v>
      </c>
      <c r="E153" s="320" t="s">
        <v>1384</v>
      </c>
      <c r="F153" s="312"/>
      <c r="G153" s="312"/>
      <c r="H153" s="366">
        <f t="shared" si="52"/>
        <v>0</v>
      </c>
      <c r="I153" s="312"/>
      <c r="J153" s="375">
        <f t="shared" si="53"/>
        <v>0</v>
      </c>
      <c r="K153" s="336">
        <f t="shared" si="54"/>
        <v>0</v>
      </c>
      <c r="L153" s="312"/>
      <c r="M153" s="375">
        <f t="shared" si="55"/>
        <v>0</v>
      </c>
      <c r="N153" s="349">
        <f t="shared" si="56"/>
        <v>0</v>
      </c>
      <c r="O153" s="310"/>
      <c r="P153" s="128" t="s">
        <v>1004</v>
      </c>
      <c r="Q153" s="361">
        <f t="shared" si="57"/>
        <v>0</v>
      </c>
      <c r="R153" s="361">
        <f t="shared" si="58"/>
        <v>0</v>
      </c>
      <c r="S153" s="180"/>
      <c r="T153" s="180"/>
    </row>
    <row r="154" spans="1:20" hidden="1" outlineLevel="1" x14ac:dyDescent="0.25">
      <c r="A154" s="329" t="s">
        <v>1328</v>
      </c>
      <c r="B154" s="325" t="s">
        <v>1985</v>
      </c>
      <c r="C154" s="320" t="s">
        <v>1688</v>
      </c>
      <c r="D154" s="324" t="s">
        <v>1675</v>
      </c>
      <c r="E154" s="320" t="s">
        <v>1384</v>
      </c>
      <c r="F154" s="312"/>
      <c r="G154" s="312"/>
      <c r="H154" s="366">
        <f t="shared" si="52"/>
        <v>0</v>
      </c>
      <c r="I154" s="312"/>
      <c r="J154" s="375">
        <f t="shared" si="53"/>
        <v>0</v>
      </c>
      <c r="K154" s="336">
        <f t="shared" si="54"/>
        <v>0</v>
      </c>
      <c r="L154" s="312"/>
      <c r="M154" s="375">
        <f t="shared" si="55"/>
        <v>0</v>
      </c>
      <c r="N154" s="349">
        <f t="shared" si="56"/>
        <v>0</v>
      </c>
      <c r="O154" s="310"/>
      <c r="P154" s="128" t="s">
        <v>1004</v>
      </c>
      <c r="Q154" s="361">
        <f t="shared" si="57"/>
        <v>0</v>
      </c>
      <c r="R154" s="361">
        <f t="shared" si="58"/>
        <v>0</v>
      </c>
      <c r="S154" s="180"/>
      <c r="T154" s="180"/>
    </row>
    <row r="155" spans="1:20" hidden="1" outlineLevel="1" x14ac:dyDescent="0.25">
      <c r="A155" s="329" t="s">
        <v>1328</v>
      </c>
      <c r="B155" s="325" t="s">
        <v>1985</v>
      </c>
      <c r="C155" s="320" t="s">
        <v>1689</v>
      </c>
      <c r="D155" s="324" t="s">
        <v>1690</v>
      </c>
      <c r="E155" s="320" t="s">
        <v>1384</v>
      </c>
      <c r="F155" s="312"/>
      <c r="G155" s="312"/>
      <c r="H155" s="366">
        <f t="shared" si="52"/>
        <v>0</v>
      </c>
      <c r="I155" s="312"/>
      <c r="J155" s="375">
        <f t="shared" si="53"/>
        <v>0</v>
      </c>
      <c r="K155" s="336">
        <f t="shared" si="54"/>
        <v>0</v>
      </c>
      <c r="L155" s="312"/>
      <c r="M155" s="375">
        <f t="shared" si="55"/>
        <v>0</v>
      </c>
      <c r="N155" s="349">
        <f t="shared" si="56"/>
        <v>0</v>
      </c>
      <c r="O155" s="310"/>
      <c r="P155" s="128" t="s">
        <v>1004</v>
      </c>
      <c r="Q155" s="361">
        <f t="shared" si="57"/>
        <v>0</v>
      </c>
      <c r="R155" s="361">
        <f t="shared" si="58"/>
        <v>0</v>
      </c>
      <c r="S155" s="180"/>
      <c r="T155" s="180"/>
    </row>
    <row r="156" spans="1:20" hidden="1" outlineLevel="1" x14ac:dyDescent="0.25">
      <c r="A156" s="329" t="s">
        <v>1328</v>
      </c>
      <c r="B156" s="325" t="s">
        <v>1985</v>
      </c>
      <c r="C156" s="320" t="s">
        <v>1691</v>
      </c>
      <c r="D156" s="324" t="s">
        <v>1657</v>
      </c>
      <c r="E156" s="320" t="s">
        <v>1384</v>
      </c>
      <c r="F156" s="312"/>
      <c r="G156" s="312"/>
      <c r="H156" s="366">
        <f t="shared" si="52"/>
        <v>0</v>
      </c>
      <c r="I156" s="312"/>
      <c r="J156" s="375">
        <f t="shared" si="53"/>
        <v>0</v>
      </c>
      <c r="K156" s="336">
        <f t="shared" si="54"/>
        <v>0</v>
      </c>
      <c r="L156" s="312"/>
      <c r="M156" s="375">
        <f t="shared" si="55"/>
        <v>0</v>
      </c>
      <c r="N156" s="349">
        <f t="shared" si="56"/>
        <v>0</v>
      </c>
      <c r="O156" s="310"/>
      <c r="P156" s="128" t="s">
        <v>1004</v>
      </c>
      <c r="Q156" s="361">
        <f t="shared" si="57"/>
        <v>0</v>
      </c>
      <c r="R156" s="361">
        <f t="shared" si="58"/>
        <v>0</v>
      </c>
      <c r="S156" s="180"/>
      <c r="T156" s="180"/>
    </row>
    <row r="157" spans="1:20" hidden="1" outlineLevel="1" x14ac:dyDescent="0.25">
      <c r="A157" s="329" t="s">
        <v>1328</v>
      </c>
      <c r="B157" s="325" t="s">
        <v>1985</v>
      </c>
      <c r="C157" s="320" t="s">
        <v>1692</v>
      </c>
      <c r="D157" s="324" t="s">
        <v>1659</v>
      </c>
      <c r="E157" s="320" t="s">
        <v>1384</v>
      </c>
      <c r="F157" s="312"/>
      <c r="G157" s="312"/>
      <c r="H157" s="366">
        <f t="shared" si="52"/>
        <v>0</v>
      </c>
      <c r="I157" s="312"/>
      <c r="J157" s="375">
        <f t="shared" si="53"/>
        <v>0</v>
      </c>
      <c r="K157" s="336">
        <f t="shared" si="54"/>
        <v>0</v>
      </c>
      <c r="L157" s="312"/>
      <c r="M157" s="375">
        <f t="shared" si="55"/>
        <v>0</v>
      </c>
      <c r="N157" s="349">
        <f t="shared" si="56"/>
        <v>0</v>
      </c>
      <c r="O157" s="310"/>
      <c r="P157" s="128" t="s">
        <v>1004</v>
      </c>
      <c r="Q157" s="361">
        <f t="shared" si="57"/>
        <v>0</v>
      </c>
      <c r="R157" s="361">
        <f t="shared" si="58"/>
        <v>0</v>
      </c>
      <c r="S157" s="166"/>
      <c r="T157" s="166"/>
    </row>
    <row r="158" spans="1:20" hidden="1" outlineLevel="1" x14ac:dyDescent="0.25">
      <c r="A158" s="331" t="s">
        <v>1022</v>
      </c>
      <c r="B158" s="314" t="s">
        <v>1985</v>
      </c>
      <c r="C158" s="315"/>
      <c r="D158" s="326" t="s">
        <v>1950</v>
      </c>
      <c r="E158" s="314"/>
      <c r="F158" s="313"/>
      <c r="G158" s="313"/>
      <c r="H158" s="367"/>
      <c r="I158" s="313"/>
      <c r="J158" s="362">
        <f>SUM(J114:J157)</f>
        <v>0</v>
      </c>
      <c r="K158" s="338">
        <f>SUM(K114:K157)</f>
        <v>0</v>
      </c>
      <c r="L158" s="313"/>
      <c r="M158" s="362">
        <f>SUM(M114:M157)</f>
        <v>0</v>
      </c>
      <c r="N158" s="338">
        <f>SUM(N114:N157)</f>
        <v>0</v>
      </c>
      <c r="O158" s="314"/>
      <c r="P158" s="128"/>
      <c r="Q158" s="362">
        <f>SUM(Q114:Q157)</f>
        <v>0</v>
      </c>
      <c r="R158" s="362">
        <f>SUM(R114:R157)</f>
        <v>0</v>
      </c>
      <c r="S158" s="166"/>
      <c r="T158" s="166"/>
    </row>
    <row r="159" spans="1:20" hidden="1" outlineLevel="1" x14ac:dyDescent="0.25">
      <c r="A159" s="329" t="s">
        <v>1328</v>
      </c>
      <c r="B159" s="325" t="s">
        <v>1986</v>
      </c>
      <c r="C159" s="320" t="s">
        <v>1495</v>
      </c>
      <c r="D159" s="327" t="s">
        <v>1973</v>
      </c>
      <c r="E159" s="320"/>
      <c r="F159" s="317"/>
      <c r="G159" s="317"/>
      <c r="H159" s="366">
        <f t="shared" ref="H159:H168" si="59">+SUM(F159:G159)</f>
        <v>0</v>
      </c>
      <c r="I159" s="318"/>
      <c r="J159" s="375">
        <f t="shared" ref="J159:J168" si="60">+ROUND(I159*H159,2)</f>
        <v>0</v>
      </c>
      <c r="K159" s="336">
        <f t="shared" ref="K159:K168" si="61">J159</f>
        <v>0</v>
      </c>
      <c r="L159" s="318"/>
      <c r="M159" s="375">
        <f t="shared" ref="M159:M168" si="62">+ROUND(L159*H159,2)</f>
        <v>0</v>
      </c>
      <c r="N159" s="349">
        <f t="shared" ref="N159:N168" si="63">M159</f>
        <v>0</v>
      </c>
      <c r="O159" s="319"/>
      <c r="P159" s="128" t="s">
        <v>1004</v>
      </c>
      <c r="Q159" s="361">
        <f t="shared" ref="Q159:Q168" si="64">+ROUND((K159)*(1+SUMIF($Q$2:$Q$4,P159,$R$2:$R$4)),0)</f>
        <v>0</v>
      </c>
      <c r="R159" s="361">
        <f t="shared" ref="R159:R168" si="65">+ROUND((N159)*(1+SUMIF($Q$2:$Q$4,P159,$R$2:$R$4)),0)</f>
        <v>0</v>
      </c>
      <c r="S159" s="166"/>
      <c r="T159" s="166"/>
    </row>
    <row r="160" spans="1:20" hidden="1" outlineLevel="1" x14ac:dyDescent="0.25">
      <c r="A160" s="329" t="s">
        <v>1328</v>
      </c>
      <c r="B160" s="325" t="s">
        <v>1986</v>
      </c>
      <c r="C160" s="320" t="s">
        <v>1661</v>
      </c>
      <c r="D160" s="324" t="s">
        <v>1662</v>
      </c>
      <c r="E160" s="320" t="s">
        <v>1384</v>
      </c>
      <c r="F160" s="312"/>
      <c r="G160" s="312"/>
      <c r="H160" s="366">
        <f t="shared" si="59"/>
        <v>0</v>
      </c>
      <c r="I160" s="312"/>
      <c r="J160" s="375">
        <f t="shared" si="60"/>
        <v>0</v>
      </c>
      <c r="K160" s="336">
        <f t="shared" si="61"/>
        <v>0</v>
      </c>
      <c r="L160" s="312"/>
      <c r="M160" s="375">
        <f t="shared" si="62"/>
        <v>0</v>
      </c>
      <c r="N160" s="349">
        <f t="shared" si="63"/>
        <v>0</v>
      </c>
      <c r="O160" s="310"/>
      <c r="P160" s="128" t="s">
        <v>1004</v>
      </c>
      <c r="Q160" s="361">
        <f t="shared" si="64"/>
        <v>0</v>
      </c>
      <c r="R160" s="361">
        <f t="shared" si="65"/>
        <v>0</v>
      </c>
      <c r="S160" s="166"/>
      <c r="T160" s="166"/>
    </row>
    <row r="161" spans="1:20" hidden="1" outlineLevel="1" x14ac:dyDescent="0.25">
      <c r="A161" s="329" t="s">
        <v>1328</v>
      </c>
      <c r="B161" s="325" t="s">
        <v>1986</v>
      </c>
      <c r="C161" s="320" t="s">
        <v>1663</v>
      </c>
      <c r="D161" s="324" t="s">
        <v>1987</v>
      </c>
      <c r="E161" s="320" t="s">
        <v>1384</v>
      </c>
      <c r="F161" s="312"/>
      <c r="G161" s="312"/>
      <c r="H161" s="366">
        <f t="shared" si="59"/>
        <v>0</v>
      </c>
      <c r="I161" s="312"/>
      <c r="J161" s="375">
        <f t="shared" si="60"/>
        <v>0</v>
      </c>
      <c r="K161" s="336">
        <f t="shared" si="61"/>
        <v>0</v>
      </c>
      <c r="L161" s="312"/>
      <c r="M161" s="375">
        <f t="shared" si="62"/>
        <v>0</v>
      </c>
      <c r="N161" s="349">
        <f t="shared" si="63"/>
        <v>0</v>
      </c>
      <c r="O161" s="310"/>
      <c r="P161" s="128" t="s">
        <v>1004</v>
      </c>
      <c r="Q161" s="361">
        <f t="shared" si="64"/>
        <v>0</v>
      </c>
      <c r="R161" s="361">
        <f t="shared" si="65"/>
        <v>0</v>
      </c>
      <c r="S161" s="166"/>
      <c r="T161" s="166"/>
    </row>
    <row r="162" spans="1:20" hidden="1" outlineLevel="1" x14ac:dyDescent="0.25">
      <c r="A162" s="329" t="s">
        <v>1328</v>
      </c>
      <c r="B162" s="325" t="s">
        <v>1986</v>
      </c>
      <c r="C162" s="320" t="s">
        <v>1665</v>
      </c>
      <c r="D162" s="327" t="s">
        <v>1693</v>
      </c>
      <c r="E162" s="320" t="s">
        <v>1384</v>
      </c>
      <c r="F162" s="312"/>
      <c r="G162" s="312"/>
      <c r="H162" s="366">
        <f t="shared" si="59"/>
        <v>0</v>
      </c>
      <c r="I162" s="312"/>
      <c r="J162" s="375">
        <f t="shared" si="60"/>
        <v>0</v>
      </c>
      <c r="K162" s="336">
        <f t="shared" si="61"/>
        <v>0</v>
      </c>
      <c r="L162" s="312"/>
      <c r="M162" s="375">
        <f t="shared" si="62"/>
        <v>0</v>
      </c>
      <c r="N162" s="349">
        <f t="shared" si="63"/>
        <v>0</v>
      </c>
      <c r="O162" s="310"/>
      <c r="P162" s="128" t="s">
        <v>1004</v>
      </c>
      <c r="Q162" s="361">
        <f t="shared" si="64"/>
        <v>0</v>
      </c>
      <c r="R162" s="361">
        <f t="shared" si="65"/>
        <v>0</v>
      </c>
      <c r="S162" s="166"/>
      <c r="T162" s="166"/>
    </row>
    <row r="163" spans="1:20" hidden="1" outlineLevel="1" x14ac:dyDescent="0.25">
      <c r="A163" s="329" t="s">
        <v>1328</v>
      </c>
      <c r="B163" s="325" t="s">
        <v>1986</v>
      </c>
      <c r="C163" s="320" t="s">
        <v>1694</v>
      </c>
      <c r="D163" s="327" t="s">
        <v>1695</v>
      </c>
      <c r="E163" s="320" t="s">
        <v>1384</v>
      </c>
      <c r="F163" s="312"/>
      <c r="G163" s="312"/>
      <c r="H163" s="366">
        <f t="shared" si="59"/>
        <v>0</v>
      </c>
      <c r="I163" s="312"/>
      <c r="J163" s="375">
        <f t="shared" si="60"/>
        <v>0</v>
      </c>
      <c r="K163" s="336">
        <f t="shared" si="61"/>
        <v>0</v>
      </c>
      <c r="L163" s="312"/>
      <c r="M163" s="375">
        <f t="shared" si="62"/>
        <v>0</v>
      </c>
      <c r="N163" s="349">
        <f t="shared" si="63"/>
        <v>0</v>
      </c>
      <c r="O163" s="310"/>
      <c r="P163" s="128" t="s">
        <v>1004</v>
      </c>
      <c r="Q163" s="361">
        <f t="shared" si="64"/>
        <v>0</v>
      </c>
      <c r="R163" s="361">
        <f t="shared" si="65"/>
        <v>0</v>
      </c>
      <c r="S163" s="166"/>
      <c r="T163" s="166"/>
    </row>
    <row r="164" spans="1:20" hidden="1" outlineLevel="1" x14ac:dyDescent="0.25">
      <c r="A164" s="329" t="s">
        <v>1328</v>
      </c>
      <c r="B164" s="325" t="s">
        <v>1986</v>
      </c>
      <c r="C164" s="320" t="s">
        <v>1696</v>
      </c>
      <c r="D164" s="327" t="s">
        <v>1969</v>
      </c>
      <c r="E164" s="320" t="s">
        <v>1384</v>
      </c>
      <c r="F164" s="312"/>
      <c r="G164" s="312"/>
      <c r="H164" s="366">
        <f t="shared" si="59"/>
        <v>0</v>
      </c>
      <c r="I164" s="312"/>
      <c r="J164" s="375">
        <f t="shared" si="60"/>
        <v>0</v>
      </c>
      <c r="K164" s="336">
        <f t="shared" si="61"/>
        <v>0</v>
      </c>
      <c r="L164" s="312"/>
      <c r="M164" s="375">
        <f t="shared" si="62"/>
        <v>0</v>
      </c>
      <c r="N164" s="349">
        <f t="shared" si="63"/>
        <v>0</v>
      </c>
      <c r="O164" s="310"/>
      <c r="P164" s="128" t="s">
        <v>1004</v>
      </c>
      <c r="Q164" s="361">
        <f t="shared" si="64"/>
        <v>0</v>
      </c>
      <c r="R164" s="361">
        <f t="shared" si="65"/>
        <v>0</v>
      </c>
      <c r="S164" s="180"/>
      <c r="T164" s="180"/>
    </row>
    <row r="165" spans="1:20" hidden="1" outlineLevel="1" x14ac:dyDescent="0.25">
      <c r="A165" s="329" t="s">
        <v>1328</v>
      </c>
      <c r="B165" s="325" t="s">
        <v>1986</v>
      </c>
      <c r="C165" s="320" t="s">
        <v>1988</v>
      </c>
      <c r="D165" s="327" t="s">
        <v>1946</v>
      </c>
      <c r="E165" s="319"/>
      <c r="F165" s="317"/>
      <c r="G165" s="317"/>
      <c r="H165" s="366">
        <f t="shared" si="59"/>
        <v>0</v>
      </c>
      <c r="I165" s="318"/>
      <c r="J165" s="375">
        <f t="shared" si="60"/>
        <v>0</v>
      </c>
      <c r="K165" s="336">
        <f t="shared" si="61"/>
        <v>0</v>
      </c>
      <c r="L165" s="318"/>
      <c r="M165" s="375">
        <f t="shared" si="62"/>
        <v>0</v>
      </c>
      <c r="N165" s="349">
        <f t="shared" si="63"/>
        <v>0</v>
      </c>
      <c r="O165" s="319"/>
      <c r="P165" s="128" t="s">
        <v>1004</v>
      </c>
      <c r="Q165" s="361">
        <f t="shared" si="64"/>
        <v>0</v>
      </c>
      <c r="R165" s="361">
        <f t="shared" si="65"/>
        <v>0</v>
      </c>
      <c r="S165" s="166"/>
      <c r="T165" s="166"/>
    </row>
    <row r="166" spans="1:20" hidden="1" outlineLevel="1" x14ac:dyDescent="0.25">
      <c r="A166" s="329" t="s">
        <v>1328</v>
      </c>
      <c r="B166" s="325" t="s">
        <v>1986</v>
      </c>
      <c r="C166" s="320" t="s">
        <v>1627</v>
      </c>
      <c r="D166" s="324" t="s">
        <v>1947</v>
      </c>
      <c r="E166" s="320" t="s">
        <v>1384</v>
      </c>
      <c r="F166" s="312"/>
      <c r="G166" s="312"/>
      <c r="H166" s="366">
        <f t="shared" si="59"/>
        <v>0</v>
      </c>
      <c r="I166" s="312"/>
      <c r="J166" s="375">
        <f t="shared" si="60"/>
        <v>0</v>
      </c>
      <c r="K166" s="336">
        <f t="shared" si="61"/>
        <v>0</v>
      </c>
      <c r="L166" s="312"/>
      <c r="M166" s="375">
        <f t="shared" si="62"/>
        <v>0</v>
      </c>
      <c r="N166" s="349">
        <f t="shared" si="63"/>
        <v>0</v>
      </c>
      <c r="O166" s="310"/>
      <c r="P166" s="128" t="s">
        <v>1004</v>
      </c>
      <c r="Q166" s="361">
        <f t="shared" si="64"/>
        <v>0</v>
      </c>
      <c r="R166" s="361">
        <f t="shared" si="65"/>
        <v>0</v>
      </c>
      <c r="S166" s="166"/>
      <c r="T166" s="166"/>
    </row>
    <row r="167" spans="1:20" hidden="1" outlineLevel="1" x14ac:dyDescent="0.25">
      <c r="A167" s="329" t="s">
        <v>1328</v>
      </c>
      <c r="B167" s="325" t="s">
        <v>1986</v>
      </c>
      <c r="C167" s="320" t="s">
        <v>1948</v>
      </c>
      <c r="D167" s="324" t="s">
        <v>1947</v>
      </c>
      <c r="E167" s="320" t="s">
        <v>1384</v>
      </c>
      <c r="F167" s="312"/>
      <c r="G167" s="312"/>
      <c r="H167" s="366">
        <f t="shared" si="59"/>
        <v>0</v>
      </c>
      <c r="I167" s="312"/>
      <c r="J167" s="375">
        <f t="shared" si="60"/>
        <v>0</v>
      </c>
      <c r="K167" s="336">
        <f t="shared" si="61"/>
        <v>0</v>
      </c>
      <c r="L167" s="312"/>
      <c r="M167" s="375">
        <f t="shared" si="62"/>
        <v>0</v>
      </c>
      <c r="N167" s="349">
        <f t="shared" si="63"/>
        <v>0</v>
      </c>
      <c r="O167" s="310"/>
      <c r="P167" s="128" t="s">
        <v>1004</v>
      </c>
      <c r="Q167" s="361">
        <f t="shared" si="64"/>
        <v>0</v>
      </c>
      <c r="R167" s="361">
        <f t="shared" si="65"/>
        <v>0</v>
      </c>
      <c r="S167" s="166"/>
      <c r="T167" s="166"/>
    </row>
    <row r="168" spans="1:20" hidden="1" outlineLevel="1" x14ac:dyDescent="0.25">
      <c r="A168" s="329" t="s">
        <v>1328</v>
      </c>
      <c r="B168" s="325" t="s">
        <v>1986</v>
      </c>
      <c r="C168" s="320" t="s">
        <v>1949</v>
      </c>
      <c r="D168" s="324" t="s">
        <v>1947</v>
      </c>
      <c r="E168" s="320" t="s">
        <v>1384</v>
      </c>
      <c r="F168" s="312"/>
      <c r="G168" s="312"/>
      <c r="H168" s="366">
        <f t="shared" si="59"/>
        <v>0</v>
      </c>
      <c r="I168" s="312"/>
      <c r="J168" s="375">
        <f t="shared" si="60"/>
        <v>0</v>
      </c>
      <c r="K168" s="336">
        <f t="shared" si="61"/>
        <v>0</v>
      </c>
      <c r="L168" s="312"/>
      <c r="M168" s="375">
        <f t="shared" si="62"/>
        <v>0</v>
      </c>
      <c r="N168" s="349">
        <f t="shared" si="63"/>
        <v>0</v>
      </c>
      <c r="O168" s="310"/>
      <c r="P168" s="128" t="s">
        <v>1004</v>
      </c>
      <c r="Q168" s="361">
        <f t="shared" si="64"/>
        <v>0</v>
      </c>
      <c r="R168" s="361">
        <f t="shared" si="65"/>
        <v>0</v>
      </c>
      <c r="S168" s="166"/>
      <c r="T168" s="166"/>
    </row>
    <row r="169" spans="1:20" hidden="1" outlineLevel="1" x14ac:dyDescent="0.25">
      <c r="A169" s="331" t="s">
        <v>1022</v>
      </c>
      <c r="B169" s="314" t="s">
        <v>1986</v>
      </c>
      <c r="C169" s="315"/>
      <c r="D169" s="393" t="s">
        <v>1950</v>
      </c>
      <c r="E169" s="314"/>
      <c r="F169" s="313"/>
      <c r="G169" s="313"/>
      <c r="H169" s="367"/>
      <c r="I169" s="313"/>
      <c r="J169" s="362">
        <f>SUM(J159:J168)</f>
        <v>0</v>
      </c>
      <c r="K169" s="338">
        <f>SUM(K159:K168)</f>
        <v>0</v>
      </c>
      <c r="L169" s="313"/>
      <c r="M169" s="362">
        <f>SUM(M159:M168)</f>
        <v>0</v>
      </c>
      <c r="N169" s="338">
        <f>SUM(N159:N168)</f>
        <v>0</v>
      </c>
      <c r="O169" s="314"/>
      <c r="P169" s="128"/>
      <c r="Q169" s="338">
        <f>SUM(Q159:Q168)</f>
        <v>0</v>
      </c>
      <c r="R169" s="362">
        <f>SUM(R159:R168)</f>
        <v>0</v>
      </c>
      <c r="S169" s="180"/>
      <c r="T169" s="180"/>
    </row>
    <row r="170" spans="1:20" hidden="1" outlineLevel="1" x14ac:dyDescent="0.25">
      <c r="A170" s="329" t="s">
        <v>1354</v>
      </c>
      <c r="B170" s="325" t="s">
        <v>1989</v>
      </c>
      <c r="C170" s="320">
        <v>4</v>
      </c>
      <c r="D170" s="327" t="s">
        <v>1975</v>
      </c>
      <c r="E170" s="319"/>
      <c r="F170" s="317"/>
      <c r="G170" s="317"/>
      <c r="H170" s="366">
        <f t="shared" ref="H170:H183" si="66">+SUM(F170:G170)</f>
        <v>0</v>
      </c>
      <c r="I170" s="318"/>
      <c r="J170" s="375">
        <f t="shared" ref="J170:J183" si="67">+ROUND(I170*H170,2)</f>
        <v>0</v>
      </c>
      <c r="K170" s="336">
        <f t="shared" ref="K170:K183" si="68">J170</f>
        <v>0</v>
      </c>
      <c r="L170" s="318"/>
      <c r="M170" s="375">
        <f t="shared" ref="M170:M183" si="69">+ROUND(L170*H170,2)</f>
        <v>0</v>
      </c>
      <c r="N170" s="349">
        <f t="shared" ref="N170:N183" si="70">M170</f>
        <v>0</v>
      </c>
      <c r="O170" s="319"/>
      <c r="P170" s="128" t="s">
        <v>1004</v>
      </c>
      <c r="Q170" s="361">
        <f t="shared" ref="Q170:Q183" si="71">+ROUND((K170)*(1+SUMIF($Q$2:$Q$4,P170,$R$2:$R$4)),0)</f>
        <v>0</v>
      </c>
      <c r="R170" s="361">
        <f t="shared" ref="R170:R183" si="72">+ROUND((N170)*(1+SUMIF($Q$2:$Q$4,P170,$R$2:$R$4)),0)</f>
        <v>0</v>
      </c>
      <c r="S170" s="166"/>
      <c r="T170" s="166"/>
    </row>
    <row r="171" spans="1:20" hidden="1" outlineLevel="1" x14ac:dyDescent="0.25">
      <c r="A171" s="329" t="s">
        <v>1354</v>
      </c>
      <c r="B171" s="325" t="s">
        <v>1989</v>
      </c>
      <c r="C171" s="320">
        <v>4.0999999999999996</v>
      </c>
      <c r="D171" s="327" t="s">
        <v>1976</v>
      </c>
      <c r="E171" s="320"/>
      <c r="F171" s="317"/>
      <c r="G171" s="317"/>
      <c r="H171" s="366">
        <f t="shared" si="66"/>
        <v>0</v>
      </c>
      <c r="I171" s="318"/>
      <c r="J171" s="375">
        <f t="shared" si="67"/>
        <v>0</v>
      </c>
      <c r="K171" s="336">
        <f t="shared" si="68"/>
        <v>0</v>
      </c>
      <c r="L171" s="318"/>
      <c r="M171" s="375">
        <f t="shared" si="69"/>
        <v>0</v>
      </c>
      <c r="N171" s="349">
        <f t="shared" si="70"/>
        <v>0</v>
      </c>
      <c r="O171" s="319"/>
      <c r="P171" s="128" t="s">
        <v>1004</v>
      </c>
      <c r="Q171" s="361">
        <f t="shared" si="71"/>
        <v>0</v>
      </c>
      <c r="R171" s="361">
        <f t="shared" si="72"/>
        <v>0</v>
      </c>
      <c r="S171" s="166"/>
      <c r="T171" s="166"/>
    </row>
    <row r="172" spans="1:20" hidden="1" outlineLevel="1" x14ac:dyDescent="0.25">
      <c r="A172" s="329" t="s">
        <v>1354</v>
      </c>
      <c r="B172" s="325" t="s">
        <v>1989</v>
      </c>
      <c r="C172" s="320" t="s">
        <v>1506</v>
      </c>
      <c r="D172" s="324" t="s">
        <v>1666</v>
      </c>
      <c r="E172" s="320" t="s">
        <v>1384</v>
      </c>
      <c r="F172" s="312"/>
      <c r="G172" s="312"/>
      <c r="H172" s="366">
        <f t="shared" si="66"/>
        <v>0</v>
      </c>
      <c r="I172" s="312"/>
      <c r="J172" s="375">
        <f t="shared" si="67"/>
        <v>0</v>
      </c>
      <c r="K172" s="336">
        <f t="shared" si="68"/>
        <v>0</v>
      </c>
      <c r="L172" s="312"/>
      <c r="M172" s="375">
        <f t="shared" si="69"/>
        <v>0</v>
      </c>
      <c r="N172" s="349">
        <f t="shared" si="70"/>
        <v>0</v>
      </c>
      <c r="O172" s="310"/>
      <c r="P172" s="128" t="s">
        <v>1004</v>
      </c>
      <c r="Q172" s="361">
        <f t="shared" si="71"/>
        <v>0</v>
      </c>
      <c r="R172" s="361">
        <f t="shared" si="72"/>
        <v>0</v>
      </c>
      <c r="S172" s="166"/>
      <c r="T172" s="166"/>
    </row>
    <row r="173" spans="1:20" ht="24" hidden="1" outlineLevel="1" x14ac:dyDescent="0.25">
      <c r="A173" s="329" t="s">
        <v>1354</v>
      </c>
      <c r="B173" s="325" t="s">
        <v>1989</v>
      </c>
      <c r="C173" s="320" t="s">
        <v>1508</v>
      </c>
      <c r="D173" s="324" t="s">
        <v>1667</v>
      </c>
      <c r="E173" s="320" t="s">
        <v>1384</v>
      </c>
      <c r="F173" s="312"/>
      <c r="G173" s="312"/>
      <c r="H173" s="366">
        <f t="shared" si="66"/>
        <v>0</v>
      </c>
      <c r="I173" s="312"/>
      <c r="J173" s="375">
        <f t="shared" si="67"/>
        <v>0</v>
      </c>
      <c r="K173" s="336">
        <f t="shared" si="68"/>
        <v>0</v>
      </c>
      <c r="L173" s="312"/>
      <c r="M173" s="375">
        <f t="shared" si="69"/>
        <v>0</v>
      </c>
      <c r="N173" s="349">
        <f t="shared" si="70"/>
        <v>0</v>
      </c>
      <c r="O173" s="310"/>
      <c r="P173" s="128" t="s">
        <v>1004</v>
      </c>
      <c r="Q173" s="361">
        <f t="shared" si="71"/>
        <v>0</v>
      </c>
      <c r="R173" s="361">
        <f t="shared" si="72"/>
        <v>0</v>
      </c>
      <c r="S173" s="166"/>
      <c r="T173" s="166"/>
    </row>
    <row r="174" spans="1:20" hidden="1" outlineLevel="1" x14ac:dyDescent="0.25">
      <c r="A174" s="329" t="s">
        <v>1354</v>
      </c>
      <c r="B174" s="325" t="s">
        <v>1989</v>
      </c>
      <c r="C174" s="320">
        <v>4.2</v>
      </c>
      <c r="D174" s="327" t="s">
        <v>1668</v>
      </c>
      <c r="E174" s="320" t="s">
        <v>1384</v>
      </c>
      <c r="F174" s="312"/>
      <c r="G174" s="312"/>
      <c r="H174" s="366">
        <f t="shared" si="66"/>
        <v>0</v>
      </c>
      <c r="I174" s="312"/>
      <c r="J174" s="375">
        <f t="shared" si="67"/>
        <v>0</v>
      </c>
      <c r="K174" s="336">
        <f t="shared" si="68"/>
        <v>0</v>
      </c>
      <c r="L174" s="312"/>
      <c r="M174" s="375">
        <f t="shared" si="69"/>
        <v>0</v>
      </c>
      <c r="N174" s="349">
        <f t="shared" si="70"/>
        <v>0</v>
      </c>
      <c r="O174" s="310"/>
      <c r="P174" s="128" t="s">
        <v>1004</v>
      </c>
      <c r="Q174" s="361">
        <f t="shared" si="71"/>
        <v>0</v>
      </c>
      <c r="R174" s="361">
        <f t="shared" si="72"/>
        <v>0</v>
      </c>
      <c r="S174" s="166"/>
      <c r="T174" s="166"/>
    </row>
    <row r="175" spans="1:20" hidden="1" outlineLevel="1" x14ac:dyDescent="0.25">
      <c r="A175" s="329" t="s">
        <v>1354</v>
      </c>
      <c r="B175" s="325" t="s">
        <v>1989</v>
      </c>
      <c r="C175" s="320">
        <v>4.3</v>
      </c>
      <c r="D175" s="327" t="s">
        <v>1977</v>
      </c>
      <c r="E175" s="320"/>
      <c r="F175" s="317"/>
      <c r="G175" s="317"/>
      <c r="H175" s="366">
        <f t="shared" si="66"/>
        <v>0</v>
      </c>
      <c r="I175" s="318"/>
      <c r="J175" s="375">
        <f t="shared" si="67"/>
        <v>0</v>
      </c>
      <c r="K175" s="336">
        <f t="shared" si="68"/>
        <v>0</v>
      </c>
      <c r="L175" s="318"/>
      <c r="M175" s="375">
        <f t="shared" si="69"/>
        <v>0</v>
      </c>
      <c r="N175" s="349">
        <f t="shared" si="70"/>
        <v>0</v>
      </c>
      <c r="O175" s="319"/>
      <c r="P175" s="128" t="s">
        <v>1004</v>
      </c>
      <c r="Q175" s="361">
        <f t="shared" si="71"/>
        <v>0</v>
      </c>
      <c r="R175" s="361">
        <f t="shared" si="72"/>
        <v>0</v>
      </c>
      <c r="S175" s="166"/>
      <c r="T175" s="166"/>
    </row>
    <row r="176" spans="1:20" hidden="1" outlineLevel="1" x14ac:dyDescent="0.25">
      <c r="A176" s="329" t="s">
        <v>1354</v>
      </c>
      <c r="B176" s="325" t="s">
        <v>1989</v>
      </c>
      <c r="C176" s="320" t="s">
        <v>1516</v>
      </c>
      <c r="D176" s="324" t="s">
        <v>1990</v>
      </c>
      <c r="E176" s="320" t="s">
        <v>1384</v>
      </c>
      <c r="F176" s="312"/>
      <c r="G176" s="312"/>
      <c r="H176" s="366">
        <f t="shared" si="66"/>
        <v>0</v>
      </c>
      <c r="I176" s="312"/>
      <c r="J176" s="375">
        <f t="shared" si="67"/>
        <v>0</v>
      </c>
      <c r="K176" s="336">
        <f t="shared" si="68"/>
        <v>0</v>
      </c>
      <c r="L176" s="312"/>
      <c r="M176" s="375">
        <f t="shared" si="69"/>
        <v>0</v>
      </c>
      <c r="N176" s="349">
        <f t="shared" si="70"/>
        <v>0</v>
      </c>
      <c r="O176" s="310"/>
      <c r="P176" s="128" t="s">
        <v>1004</v>
      </c>
      <c r="Q176" s="361">
        <f t="shared" si="71"/>
        <v>0</v>
      </c>
      <c r="R176" s="361">
        <f t="shared" si="72"/>
        <v>0</v>
      </c>
      <c r="S176" s="166"/>
      <c r="T176" s="166"/>
    </row>
    <row r="177" spans="1:20" hidden="1" outlineLevel="1" x14ac:dyDescent="0.25">
      <c r="A177" s="329" t="s">
        <v>1354</v>
      </c>
      <c r="B177" s="325" t="s">
        <v>1989</v>
      </c>
      <c r="C177" s="320" t="s">
        <v>1518</v>
      </c>
      <c r="D177" s="324" t="s">
        <v>1979</v>
      </c>
      <c r="E177" s="320" t="s">
        <v>1384</v>
      </c>
      <c r="F177" s="312"/>
      <c r="G177" s="312"/>
      <c r="H177" s="366">
        <f t="shared" si="66"/>
        <v>0</v>
      </c>
      <c r="I177" s="312"/>
      <c r="J177" s="375">
        <f t="shared" si="67"/>
        <v>0</v>
      </c>
      <c r="K177" s="336">
        <f t="shared" si="68"/>
        <v>0</v>
      </c>
      <c r="L177" s="312"/>
      <c r="M177" s="375">
        <f t="shared" si="69"/>
        <v>0</v>
      </c>
      <c r="N177" s="349">
        <f t="shared" si="70"/>
        <v>0</v>
      </c>
      <c r="O177" s="310"/>
      <c r="P177" s="128" t="s">
        <v>1004</v>
      </c>
      <c r="Q177" s="361">
        <f t="shared" si="71"/>
        <v>0</v>
      </c>
      <c r="R177" s="361">
        <f t="shared" si="72"/>
        <v>0</v>
      </c>
      <c r="S177" s="166"/>
      <c r="T177" s="166"/>
    </row>
    <row r="178" spans="1:20" hidden="1" outlineLevel="1" x14ac:dyDescent="0.25">
      <c r="A178" s="329" t="s">
        <v>1354</v>
      </c>
      <c r="B178" s="325" t="s">
        <v>1989</v>
      </c>
      <c r="C178" s="320" t="s">
        <v>1520</v>
      </c>
      <c r="D178" s="324" t="s">
        <v>1980</v>
      </c>
      <c r="E178" s="320" t="s">
        <v>1384</v>
      </c>
      <c r="F178" s="312"/>
      <c r="G178" s="312"/>
      <c r="H178" s="366">
        <f t="shared" si="66"/>
        <v>0</v>
      </c>
      <c r="I178" s="312"/>
      <c r="J178" s="375">
        <f t="shared" si="67"/>
        <v>0</v>
      </c>
      <c r="K178" s="336">
        <f t="shared" si="68"/>
        <v>0</v>
      </c>
      <c r="L178" s="312"/>
      <c r="M178" s="375">
        <f t="shared" si="69"/>
        <v>0</v>
      </c>
      <c r="N178" s="349">
        <f t="shared" si="70"/>
        <v>0</v>
      </c>
      <c r="O178" s="310"/>
      <c r="P178" s="128" t="s">
        <v>1004</v>
      </c>
      <c r="Q178" s="361">
        <f t="shared" si="71"/>
        <v>0</v>
      </c>
      <c r="R178" s="361">
        <f t="shared" si="72"/>
        <v>0</v>
      </c>
      <c r="S178" s="166"/>
      <c r="T178" s="166"/>
    </row>
    <row r="179" spans="1:20" hidden="1" outlineLevel="1" x14ac:dyDescent="0.25">
      <c r="A179" s="329" t="s">
        <v>1354</v>
      </c>
      <c r="B179" s="325" t="s">
        <v>1989</v>
      </c>
      <c r="C179" s="320" t="s">
        <v>1522</v>
      </c>
      <c r="D179" s="324" t="s">
        <v>1969</v>
      </c>
      <c r="E179" s="320" t="s">
        <v>1384</v>
      </c>
      <c r="F179" s="312"/>
      <c r="G179" s="312"/>
      <c r="H179" s="366">
        <f t="shared" si="66"/>
        <v>0</v>
      </c>
      <c r="I179" s="312"/>
      <c r="J179" s="375">
        <f t="shared" si="67"/>
        <v>0</v>
      </c>
      <c r="K179" s="336">
        <f t="shared" si="68"/>
        <v>0</v>
      </c>
      <c r="L179" s="312"/>
      <c r="M179" s="375">
        <f t="shared" si="69"/>
        <v>0</v>
      </c>
      <c r="N179" s="349">
        <f t="shared" si="70"/>
        <v>0</v>
      </c>
      <c r="O179" s="310"/>
      <c r="P179" s="128" t="s">
        <v>1004</v>
      </c>
      <c r="Q179" s="361">
        <f t="shared" si="71"/>
        <v>0</v>
      </c>
      <c r="R179" s="361">
        <f t="shared" si="72"/>
        <v>0</v>
      </c>
      <c r="S179" s="166"/>
      <c r="T179" s="166"/>
    </row>
    <row r="180" spans="1:20" hidden="1" outlineLevel="1" x14ac:dyDescent="0.25">
      <c r="A180" s="329" t="s">
        <v>1354</v>
      </c>
      <c r="B180" s="325" t="s">
        <v>1989</v>
      </c>
      <c r="C180" s="320">
        <v>4.4000000000000004</v>
      </c>
      <c r="D180" s="327" t="s">
        <v>1946</v>
      </c>
      <c r="E180" s="320"/>
      <c r="F180" s="317"/>
      <c r="G180" s="317"/>
      <c r="H180" s="366">
        <f t="shared" si="66"/>
        <v>0</v>
      </c>
      <c r="I180" s="318"/>
      <c r="J180" s="375">
        <f t="shared" si="67"/>
        <v>0</v>
      </c>
      <c r="K180" s="336">
        <f t="shared" si="68"/>
        <v>0</v>
      </c>
      <c r="L180" s="318"/>
      <c r="M180" s="375">
        <f t="shared" si="69"/>
        <v>0</v>
      </c>
      <c r="N180" s="349">
        <f t="shared" si="70"/>
        <v>0</v>
      </c>
      <c r="O180" s="319"/>
      <c r="P180" s="128" t="s">
        <v>1004</v>
      </c>
      <c r="Q180" s="361">
        <f t="shared" si="71"/>
        <v>0</v>
      </c>
      <c r="R180" s="361">
        <f t="shared" si="72"/>
        <v>0</v>
      </c>
      <c r="S180" s="166"/>
      <c r="T180" s="166"/>
    </row>
    <row r="181" spans="1:20" hidden="1" outlineLevel="1" x14ac:dyDescent="0.25">
      <c r="A181" s="329" t="s">
        <v>1354</v>
      </c>
      <c r="B181" s="325" t="s">
        <v>1989</v>
      </c>
      <c r="C181" s="320" t="s">
        <v>1627</v>
      </c>
      <c r="D181" s="324" t="s">
        <v>1947</v>
      </c>
      <c r="E181" s="320" t="s">
        <v>1384</v>
      </c>
      <c r="F181" s="312"/>
      <c r="G181" s="312"/>
      <c r="H181" s="366">
        <f t="shared" si="66"/>
        <v>0</v>
      </c>
      <c r="I181" s="312"/>
      <c r="J181" s="375">
        <f t="shared" si="67"/>
        <v>0</v>
      </c>
      <c r="K181" s="336">
        <f t="shared" si="68"/>
        <v>0</v>
      </c>
      <c r="L181" s="312"/>
      <c r="M181" s="375">
        <f t="shared" si="69"/>
        <v>0</v>
      </c>
      <c r="N181" s="349">
        <f t="shared" si="70"/>
        <v>0</v>
      </c>
      <c r="O181" s="310"/>
      <c r="P181" s="128" t="s">
        <v>1004</v>
      </c>
      <c r="Q181" s="361">
        <f t="shared" si="71"/>
        <v>0</v>
      </c>
      <c r="R181" s="361">
        <f t="shared" si="72"/>
        <v>0</v>
      </c>
      <c r="S181" s="166"/>
      <c r="T181" s="166"/>
    </row>
    <row r="182" spans="1:20" hidden="1" outlineLevel="1" x14ac:dyDescent="0.25">
      <c r="A182" s="329" t="s">
        <v>1354</v>
      </c>
      <c r="B182" s="325" t="s">
        <v>1989</v>
      </c>
      <c r="C182" s="320" t="s">
        <v>1948</v>
      </c>
      <c r="D182" s="324" t="s">
        <v>1947</v>
      </c>
      <c r="E182" s="320" t="s">
        <v>1384</v>
      </c>
      <c r="F182" s="312"/>
      <c r="G182" s="312"/>
      <c r="H182" s="366">
        <f t="shared" si="66"/>
        <v>0</v>
      </c>
      <c r="I182" s="312"/>
      <c r="J182" s="375">
        <f t="shared" si="67"/>
        <v>0</v>
      </c>
      <c r="K182" s="336">
        <f t="shared" si="68"/>
        <v>0</v>
      </c>
      <c r="L182" s="312"/>
      <c r="M182" s="375">
        <f t="shared" si="69"/>
        <v>0</v>
      </c>
      <c r="N182" s="349">
        <f t="shared" si="70"/>
        <v>0</v>
      </c>
      <c r="O182" s="310"/>
      <c r="P182" s="128" t="s">
        <v>1004</v>
      </c>
      <c r="Q182" s="361">
        <f t="shared" si="71"/>
        <v>0</v>
      </c>
      <c r="R182" s="361">
        <f t="shared" si="72"/>
        <v>0</v>
      </c>
      <c r="S182" s="166"/>
      <c r="T182" s="166"/>
    </row>
    <row r="183" spans="1:20" hidden="1" outlineLevel="1" x14ac:dyDescent="0.25">
      <c r="A183" s="329" t="s">
        <v>1354</v>
      </c>
      <c r="B183" s="325" t="s">
        <v>1989</v>
      </c>
      <c r="C183" s="320" t="s">
        <v>1949</v>
      </c>
      <c r="D183" s="324" t="s">
        <v>1947</v>
      </c>
      <c r="E183" s="320" t="s">
        <v>1384</v>
      </c>
      <c r="F183" s="312"/>
      <c r="G183" s="312"/>
      <c r="H183" s="366">
        <f t="shared" si="66"/>
        <v>0</v>
      </c>
      <c r="I183" s="312"/>
      <c r="J183" s="375">
        <f t="shared" si="67"/>
        <v>0</v>
      </c>
      <c r="K183" s="336">
        <f t="shared" si="68"/>
        <v>0</v>
      </c>
      <c r="L183" s="312"/>
      <c r="M183" s="375">
        <f t="shared" si="69"/>
        <v>0</v>
      </c>
      <c r="N183" s="349">
        <f t="shared" si="70"/>
        <v>0</v>
      </c>
      <c r="O183" s="310"/>
      <c r="P183" s="128" t="s">
        <v>1004</v>
      </c>
      <c r="Q183" s="361">
        <f t="shared" si="71"/>
        <v>0</v>
      </c>
      <c r="R183" s="361">
        <f t="shared" si="72"/>
        <v>0</v>
      </c>
      <c r="S183" s="166"/>
      <c r="T183" s="166"/>
    </row>
    <row r="184" spans="1:20" hidden="1" outlineLevel="1" x14ac:dyDescent="0.25">
      <c r="A184" s="331" t="s">
        <v>1022</v>
      </c>
      <c r="B184" s="314" t="s">
        <v>1989</v>
      </c>
      <c r="C184" s="315"/>
      <c r="D184" s="326" t="s">
        <v>1950</v>
      </c>
      <c r="E184" s="315"/>
      <c r="F184" s="313"/>
      <c r="G184" s="313"/>
      <c r="H184" s="367"/>
      <c r="I184" s="313"/>
      <c r="J184" s="362">
        <f>SUM(J170:J183)</f>
        <v>0</v>
      </c>
      <c r="K184" s="338">
        <f>SUM(K170:K183)</f>
        <v>0</v>
      </c>
      <c r="L184" s="313"/>
      <c r="M184" s="362">
        <f>SUM(M170:M183)</f>
        <v>0</v>
      </c>
      <c r="N184" s="338">
        <f>SUM(N170:N183)</f>
        <v>0</v>
      </c>
      <c r="O184" s="314"/>
      <c r="P184" s="128"/>
      <c r="Q184" s="362">
        <f>SUM(Q170:Q183)</f>
        <v>0</v>
      </c>
      <c r="R184" s="362">
        <f>SUM(R170:R183)</f>
        <v>0</v>
      </c>
      <c r="S184" s="166"/>
      <c r="T184" s="166"/>
    </row>
    <row r="185" spans="1:20" hidden="1" outlineLevel="1" x14ac:dyDescent="0.25">
      <c r="A185" s="331" t="s">
        <v>1022</v>
      </c>
      <c r="B185" s="314" t="s">
        <v>1991</v>
      </c>
      <c r="C185" s="315"/>
      <c r="D185" s="326" t="s">
        <v>1992</v>
      </c>
      <c r="E185" s="315"/>
      <c r="F185" s="313"/>
      <c r="G185" s="313"/>
      <c r="H185" s="367"/>
      <c r="I185" s="313"/>
      <c r="J185" s="362"/>
      <c r="K185" s="338"/>
      <c r="L185" s="313"/>
      <c r="M185" s="362"/>
      <c r="N185" s="338"/>
      <c r="O185" s="314"/>
      <c r="P185" s="128"/>
      <c r="Q185" s="362"/>
      <c r="R185" s="362"/>
      <c r="S185" s="166"/>
      <c r="T185" s="166"/>
    </row>
    <row r="186" spans="1:20" hidden="1" outlineLevel="1" x14ac:dyDescent="0.25">
      <c r="A186" s="383" t="s">
        <v>1022</v>
      </c>
      <c r="B186" s="384" t="s">
        <v>1991</v>
      </c>
      <c r="C186" s="385"/>
      <c r="D186" s="392" t="s">
        <v>2027</v>
      </c>
      <c r="E186" s="384"/>
      <c r="F186" s="387"/>
      <c r="G186" s="387"/>
      <c r="H186" s="388"/>
      <c r="I186" s="387"/>
      <c r="J186" s="389">
        <f>J105</f>
        <v>0</v>
      </c>
      <c r="K186" s="390">
        <f>K105</f>
        <v>0</v>
      </c>
      <c r="L186" s="387"/>
      <c r="M186" s="389">
        <f>M105</f>
        <v>0</v>
      </c>
      <c r="N186" s="390">
        <f>N105</f>
        <v>0</v>
      </c>
      <c r="O186" s="384"/>
      <c r="P186" s="121"/>
      <c r="Q186" s="390">
        <f>Q105</f>
        <v>0</v>
      </c>
      <c r="R186" s="389">
        <f>R105</f>
        <v>0</v>
      </c>
      <c r="S186" s="166"/>
      <c r="T186" s="166"/>
    </row>
    <row r="187" spans="1:20" hidden="1" outlineLevel="1" x14ac:dyDescent="0.25">
      <c r="A187" s="383" t="s">
        <v>1022</v>
      </c>
      <c r="B187" s="384" t="s">
        <v>1991</v>
      </c>
      <c r="C187" s="385"/>
      <c r="D187" s="386" t="s">
        <v>2028</v>
      </c>
      <c r="E187" s="384"/>
      <c r="F187" s="387"/>
      <c r="G187" s="387"/>
      <c r="H187" s="388"/>
      <c r="I187" s="387"/>
      <c r="J187" s="389">
        <f>J113</f>
        <v>0</v>
      </c>
      <c r="K187" s="390">
        <f>K113</f>
        <v>0</v>
      </c>
      <c r="L187" s="387"/>
      <c r="M187" s="389">
        <f>M113</f>
        <v>0</v>
      </c>
      <c r="N187" s="390">
        <f>N113</f>
        <v>0</v>
      </c>
      <c r="O187" s="384"/>
      <c r="P187" s="121"/>
      <c r="Q187" s="389">
        <f>Q113</f>
        <v>0</v>
      </c>
      <c r="R187" s="389">
        <f>R113</f>
        <v>0</v>
      </c>
      <c r="S187" s="166"/>
      <c r="T187" s="166"/>
    </row>
    <row r="188" spans="1:20" hidden="1" outlineLevel="1" x14ac:dyDescent="0.25">
      <c r="A188" s="383" t="s">
        <v>1022</v>
      </c>
      <c r="B188" s="384" t="s">
        <v>1991</v>
      </c>
      <c r="C188" s="385"/>
      <c r="D188" s="386" t="s">
        <v>2029</v>
      </c>
      <c r="E188" s="385"/>
      <c r="F188" s="387"/>
      <c r="G188" s="387"/>
      <c r="H188" s="388"/>
      <c r="I188" s="387"/>
      <c r="J188" s="389">
        <f>J158</f>
        <v>0</v>
      </c>
      <c r="K188" s="390">
        <f>K158</f>
        <v>0</v>
      </c>
      <c r="L188" s="387"/>
      <c r="M188" s="389">
        <f>M158</f>
        <v>0</v>
      </c>
      <c r="N188" s="390">
        <f>N158</f>
        <v>0</v>
      </c>
      <c r="O188" s="384"/>
      <c r="P188" s="121"/>
      <c r="Q188" s="389">
        <f>Q158</f>
        <v>0</v>
      </c>
      <c r="R188" s="389">
        <f>R158</f>
        <v>0</v>
      </c>
      <c r="S188" s="166"/>
      <c r="T188" s="166"/>
    </row>
    <row r="189" spans="1:20" hidden="1" outlineLevel="1" x14ac:dyDescent="0.25">
      <c r="A189" s="383" t="s">
        <v>1022</v>
      </c>
      <c r="B189" s="384" t="s">
        <v>1991</v>
      </c>
      <c r="C189" s="385"/>
      <c r="D189" s="386" t="s">
        <v>2030</v>
      </c>
      <c r="E189" s="385"/>
      <c r="F189" s="387"/>
      <c r="G189" s="387"/>
      <c r="H189" s="388"/>
      <c r="I189" s="387"/>
      <c r="J189" s="389">
        <f>J169</f>
        <v>0</v>
      </c>
      <c r="K189" s="390">
        <f>K169</f>
        <v>0</v>
      </c>
      <c r="L189" s="387"/>
      <c r="M189" s="389">
        <f>M169</f>
        <v>0</v>
      </c>
      <c r="N189" s="390">
        <f>N169</f>
        <v>0</v>
      </c>
      <c r="O189" s="384"/>
      <c r="P189" s="121"/>
      <c r="Q189" s="389">
        <f>Q169</f>
        <v>0</v>
      </c>
      <c r="R189" s="389">
        <f>R169</f>
        <v>0</v>
      </c>
      <c r="S189" s="166"/>
      <c r="T189" s="166"/>
    </row>
    <row r="190" spans="1:20" hidden="1" outlineLevel="1" x14ac:dyDescent="0.25">
      <c r="A190" s="383" t="s">
        <v>1022</v>
      </c>
      <c r="B190" s="384" t="s">
        <v>1991</v>
      </c>
      <c r="C190" s="385"/>
      <c r="D190" s="386" t="s">
        <v>2031</v>
      </c>
      <c r="E190" s="385"/>
      <c r="F190" s="387"/>
      <c r="G190" s="387"/>
      <c r="H190" s="388"/>
      <c r="I190" s="387"/>
      <c r="J190" s="389">
        <f>J184</f>
        <v>0</v>
      </c>
      <c r="K190" s="390">
        <f>K184</f>
        <v>0</v>
      </c>
      <c r="L190" s="387"/>
      <c r="M190" s="389">
        <f>M184</f>
        <v>0</v>
      </c>
      <c r="N190" s="390">
        <f>N184</f>
        <v>0</v>
      </c>
      <c r="O190" s="384"/>
      <c r="P190" s="121"/>
      <c r="Q190" s="389">
        <f>Q184</f>
        <v>0</v>
      </c>
      <c r="R190" s="389">
        <f>R184</f>
        <v>0</v>
      </c>
      <c r="S190" s="166"/>
      <c r="T190" s="166"/>
    </row>
    <row r="191" spans="1:20" collapsed="1" x14ac:dyDescent="0.25">
      <c r="A191" s="331" t="s">
        <v>1022</v>
      </c>
      <c r="B191" s="314" t="s">
        <v>1991</v>
      </c>
      <c r="C191" s="315"/>
      <c r="D191" s="326" t="s">
        <v>1950</v>
      </c>
      <c r="E191" s="315"/>
      <c r="F191" s="313"/>
      <c r="G191" s="313"/>
      <c r="H191" s="367"/>
      <c r="I191" s="313"/>
      <c r="J191" s="362">
        <f>SUM(J186:J190)</f>
        <v>0</v>
      </c>
      <c r="K191" s="338">
        <f>SUM(K186:K190)</f>
        <v>0</v>
      </c>
      <c r="L191" s="313"/>
      <c r="M191" s="362">
        <f>SUM(M186:M190)</f>
        <v>0</v>
      </c>
      <c r="N191" s="338">
        <f>SUM(N186:N190)</f>
        <v>0</v>
      </c>
      <c r="O191" s="314"/>
      <c r="P191" s="128"/>
      <c r="Q191" s="362">
        <f>SUM(Q186:Q190)</f>
        <v>0</v>
      </c>
      <c r="R191" s="362">
        <f>SUM(R186:R190)</f>
        <v>0</v>
      </c>
      <c r="S191" s="166"/>
      <c r="T191" s="166"/>
    </row>
    <row r="192" spans="1:20" x14ac:dyDescent="0.25">
      <c r="A192" s="329" t="s">
        <v>1352</v>
      </c>
      <c r="B192" s="325" t="s">
        <v>1993</v>
      </c>
      <c r="C192" s="316"/>
      <c r="D192" s="328" t="s">
        <v>1742</v>
      </c>
      <c r="E192" s="316"/>
      <c r="F192" s="311"/>
      <c r="G192" s="311"/>
      <c r="H192" s="368">
        <f t="shared" ref="H192:H204" si="73">+SUM(F192:G192)</f>
        <v>0</v>
      </c>
      <c r="I192" s="309"/>
      <c r="J192" s="376">
        <f t="shared" ref="J192:J204" si="74">+ROUND(I192*H192,2)</f>
        <v>0</v>
      </c>
      <c r="K192" s="339">
        <f t="shared" ref="K192:K204" si="75">J192</f>
        <v>0</v>
      </c>
      <c r="L192" s="312"/>
      <c r="M192" s="376">
        <f t="shared" ref="M192:M204" si="76">+ROUND(L192*H192,2)</f>
        <v>0</v>
      </c>
      <c r="N192" s="351">
        <f t="shared" ref="N192:N204" si="77">M192</f>
        <v>0</v>
      </c>
      <c r="O192" s="310"/>
      <c r="P192" s="128" t="s">
        <v>1004</v>
      </c>
      <c r="Q192" s="361">
        <f t="shared" ref="Q192:Q204" si="78">+ROUND((K192)*(1+SUMIF($Q$2:$Q$4,P192,$R$2:$R$4)),0)</f>
        <v>0</v>
      </c>
      <c r="R192" s="361">
        <f t="shared" ref="R192:R204" si="79">+ROUND((N192)*(1+SUMIF($Q$2:$Q$4,P192,$R$2:$R$4)),0)</f>
        <v>0</v>
      </c>
      <c r="S192" s="166"/>
      <c r="T192" s="166"/>
    </row>
    <row r="193" spans="1:20" hidden="1" outlineLevel="1" x14ac:dyDescent="0.25">
      <c r="A193" s="329" t="s">
        <v>1352</v>
      </c>
      <c r="B193" s="325" t="str">
        <f>+B192</f>
        <v>SECT5.4/18</v>
      </c>
      <c r="C193" s="320">
        <v>1</v>
      </c>
      <c r="D193" s="327" t="s">
        <v>1940</v>
      </c>
      <c r="E193" s="320"/>
      <c r="F193" s="317"/>
      <c r="G193" s="317"/>
      <c r="H193" s="366">
        <f t="shared" si="73"/>
        <v>0</v>
      </c>
      <c r="I193" s="318"/>
      <c r="J193" s="375">
        <f t="shared" si="74"/>
        <v>0</v>
      </c>
      <c r="K193" s="336">
        <f t="shared" si="75"/>
        <v>0</v>
      </c>
      <c r="L193" s="318"/>
      <c r="M193" s="375">
        <f t="shared" si="76"/>
        <v>0</v>
      </c>
      <c r="N193" s="349">
        <f t="shared" si="77"/>
        <v>0</v>
      </c>
      <c r="O193" s="319"/>
      <c r="P193" s="128" t="s">
        <v>1004</v>
      </c>
      <c r="Q193" s="361">
        <f t="shared" si="78"/>
        <v>0</v>
      </c>
      <c r="R193" s="361">
        <f t="shared" si="79"/>
        <v>0</v>
      </c>
      <c r="S193" s="166"/>
      <c r="T193" s="166"/>
    </row>
    <row r="194" spans="1:20" hidden="1" outlineLevel="1" x14ac:dyDescent="0.25">
      <c r="A194" s="329" t="s">
        <v>1352</v>
      </c>
      <c r="B194" s="325" t="s">
        <v>1993</v>
      </c>
      <c r="C194" s="320">
        <v>1.1000000000000001</v>
      </c>
      <c r="D194" s="327" t="s">
        <v>1941</v>
      </c>
      <c r="E194" s="320"/>
      <c r="F194" s="317"/>
      <c r="G194" s="317"/>
      <c r="H194" s="366">
        <f t="shared" si="73"/>
        <v>0</v>
      </c>
      <c r="I194" s="318"/>
      <c r="J194" s="375">
        <f t="shared" si="74"/>
        <v>0</v>
      </c>
      <c r="K194" s="336">
        <f t="shared" si="75"/>
        <v>0</v>
      </c>
      <c r="L194" s="318"/>
      <c r="M194" s="375">
        <f t="shared" si="76"/>
        <v>0</v>
      </c>
      <c r="N194" s="349">
        <f t="shared" si="77"/>
        <v>0</v>
      </c>
      <c r="O194" s="319"/>
      <c r="P194" s="128" t="s">
        <v>1004</v>
      </c>
      <c r="Q194" s="361">
        <f t="shared" si="78"/>
        <v>0</v>
      </c>
      <c r="R194" s="361">
        <f t="shared" si="79"/>
        <v>0</v>
      </c>
      <c r="S194" s="166"/>
      <c r="T194" s="166"/>
    </row>
    <row r="195" spans="1:20" ht="24" hidden="1" outlineLevel="1" x14ac:dyDescent="0.25">
      <c r="A195" s="329" t="s">
        <v>1352</v>
      </c>
      <c r="B195" s="325" t="s">
        <v>1993</v>
      </c>
      <c r="C195" s="320" t="s">
        <v>1382</v>
      </c>
      <c r="D195" s="324" t="s">
        <v>1702</v>
      </c>
      <c r="E195" s="320" t="s">
        <v>1384</v>
      </c>
      <c r="F195" s="312"/>
      <c r="G195" s="312"/>
      <c r="H195" s="366">
        <f t="shared" si="73"/>
        <v>0</v>
      </c>
      <c r="I195" s="312"/>
      <c r="J195" s="375">
        <f t="shared" si="74"/>
        <v>0</v>
      </c>
      <c r="K195" s="336">
        <f t="shared" si="75"/>
        <v>0</v>
      </c>
      <c r="L195" s="312"/>
      <c r="M195" s="375">
        <f t="shared" si="76"/>
        <v>0</v>
      </c>
      <c r="N195" s="349">
        <f t="shared" si="77"/>
        <v>0</v>
      </c>
      <c r="O195" s="310"/>
      <c r="P195" s="128" t="s">
        <v>1004</v>
      </c>
      <c r="Q195" s="361">
        <f t="shared" si="78"/>
        <v>0</v>
      </c>
      <c r="R195" s="361">
        <f t="shared" si="79"/>
        <v>0</v>
      </c>
      <c r="S195" s="166"/>
      <c r="T195" s="166"/>
    </row>
    <row r="196" spans="1:20" hidden="1" outlineLevel="1" x14ac:dyDescent="0.25">
      <c r="A196" s="329" t="s">
        <v>1352</v>
      </c>
      <c r="B196" s="325" t="s">
        <v>1993</v>
      </c>
      <c r="C196" s="320" t="s">
        <v>1385</v>
      </c>
      <c r="D196" s="324" t="s">
        <v>1623</v>
      </c>
      <c r="E196" s="320" t="s">
        <v>1384</v>
      </c>
      <c r="F196" s="312"/>
      <c r="G196" s="312"/>
      <c r="H196" s="366">
        <f t="shared" si="73"/>
        <v>0</v>
      </c>
      <c r="I196" s="312"/>
      <c r="J196" s="375">
        <f t="shared" si="74"/>
        <v>0</v>
      </c>
      <c r="K196" s="336">
        <f t="shared" si="75"/>
        <v>0</v>
      </c>
      <c r="L196" s="312"/>
      <c r="M196" s="375">
        <f t="shared" si="76"/>
        <v>0</v>
      </c>
      <c r="N196" s="349">
        <f t="shared" si="77"/>
        <v>0</v>
      </c>
      <c r="O196" s="310"/>
      <c r="P196" s="128" t="s">
        <v>1004</v>
      </c>
      <c r="Q196" s="361">
        <f t="shared" si="78"/>
        <v>0</v>
      </c>
      <c r="R196" s="361">
        <f t="shared" si="79"/>
        <v>0</v>
      </c>
      <c r="S196" s="166"/>
      <c r="T196" s="166"/>
    </row>
    <row r="197" spans="1:20" hidden="1" outlineLevel="1" x14ac:dyDescent="0.25">
      <c r="A197" s="329" t="s">
        <v>1352</v>
      </c>
      <c r="B197" s="325" t="s">
        <v>1993</v>
      </c>
      <c r="C197" s="320">
        <v>1.2</v>
      </c>
      <c r="D197" s="327" t="s">
        <v>1942</v>
      </c>
      <c r="E197" s="320"/>
      <c r="F197" s="317"/>
      <c r="G197" s="317"/>
      <c r="H197" s="366">
        <f t="shared" si="73"/>
        <v>0</v>
      </c>
      <c r="I197" s="318"/>
      <c r="J197" s="375">
        <f t="shared" si="74"/>
        <v>0</v>
      </c>
      <c r="K197" s="336">
        <f t="shared" si="75"/>
        <v>0</v>
      </c>
      <c r="L197" s="318"/>
      <c r="M197" s="375">
        <f t="shared" si="76"/>
        <v>0</v>
      </c>
      <c r="N197" s="349">
        <f t="shared" si="77"/>
        <v>0</v>
      </c>
      <c r="O197" s="319"/>
      <c r="P197" s="128" t="s">
        <v>1004</v>
      </c>
      <c r="Q197" s="361">
        <f t="shared" si="78"/>
        <v>0</v>
      </c>
      <c r="R197" s="361">
        <f t="shared" si="79"/>
        <v>0</v>
      </c>
      <c r="S197" s="166"/>
      <c r="T197" s="166"/>
    </row>
    <row r="198" spans="1:20" ht="24" hidden="1" outlineLevel="1" x14ac:dyDescent="0.25">
      <c r="A198" s="329" t="s">
        <v>1352</v>
      </c>
      <c r="B198" s="325" t="s">
        <v>1993</v>
      </c>
      <c r="C198" s="320" t="s">
        <v>1390</v>
      </c>
      <c r="D198" s="324" t="s">
        <v>1943</v>
      </c>
      <c r="E198" s="320" t="s">
        <v>1384</v>
      </c>
      <c r="F198" s="312"/>
      <c r="G198" s="312"/>
      <c r="H198" s="366">
        <f t="shared" si="73"/>
        <v>0</v>
      </c>
      <c r="I198" s="312"/>
      <c r="J198" s="375">
        <f t="shared" si="74"/>
        <v>0</v>
      </c>
      <c r="K198" s="336">
        <f t="shared" si="75"/>
        <v>0</v>
      </c>
      <c r="L198" s="312"/>
      <c r="M198" s="375">
        <f t="shared" si="76"/>
        <v>0</v>
      </c>
      <c r="N198" s="349">
        <f t="shared" si="77"/>
        <v>0</v>
      </c>
      <c r="O198" s="310"/>
      <c r="P198" s="128" t="s">
        <v>1004</v>
      </c>
      <c r="Q198" s="361">
        <f t="shared" si="78"/>
        <v>0</v>
      </c>
      <c r="R198" s="361">
        <f t="shared" si="79"/>
        <v>0</v>
      </c>
      <c r="S198" s="166"/>
      <c r="T198" s="166"/>
    </row>
    <row r="199" spans="1:20" hidden="1" outlineLevel="1" x14ac:dyDescent="0.25">
      <c r="A199" s="329" t="s">
        <v>1352</v>
      </c>
      <c r="B199" s="325" t="s">
        <v>1993</v>
      </c>
      <c r="C199" s="320">
        <v>1.3</v>
      </c>
      <c r="D199" s="327" t="s">
        <v>1944</v>
      </c>
      <c r="E199" s="320"/>
      <c r="F199" s="317"/>
      <c r="G199" s="317"/>
      <c r="H199" s="366">
        <f t="shared" si="73"/>
        <v>0</v>
      </c>
      <c r="I199" s="318"/>
      <c r="J199" s="375">
        <f t="shared" si="74"/>
        <v>0</v>
      </c>
      <c r="K199" s="336">
        <f t="shared" si="75"/>
        <v>0</v>
      </c>
      <c r="L199" s="318"/>
      <c r="M199" s="375">
        <f t="shared" si="76"/>
        <v>0</v>
      </c>
      <c r="N199" s="349">
        <f t="shared" si="77"/>
        <v>0</v>
      </c>
      <c r="O199" s="319"/>
      <c r="P199" s="128" t="s">
        <v>1004</v>
      </c>
      <c r="Q199" s="361">
        <f t="shared" si="78"/>
        <v>0</v>
      </c>
      <c r="R199" s="361">
        <f t="shared" si="79"/>
        <v>0</v>
      </c>
      <c r="S199" s="166"/>
      <c r="T199" s="166"/>
    </row>
    <row r="200" spans="1:20" ht="24" hidden="1" outlineLevel="1" x14ac:dyDescent="0.25">
      <c r="A200" s="329" t="s">
        <v>1352</v>
      </c>
      <c r="B200" s="325" t="s">
        <v>1993</v>
      </c>
      <c r="C200" s="320" t="s">
        <v>1624</v>
      </c>
      <c r="D200" s="324" t="s">
        <v>1945</v>
      </c>
      <c r="E200" s="320" t="s">
        <v>1384</v>
      </c>
      <c r="F200" s="312"/>
      <c r="G200" s="312"/>
      <c r="H200" s="366">
        <f t="shared" si="73"/>
        <v>0</v>
      </c>
      <c r="I200" s="312"/>
      <c r="J200" s="375">
        <f t="shared" si="74"/>
        <v>0</v>
      </c>
      <c r="K200" s="336">
        <f t="shared" si="75"/>
        <v>0</v>
      </c>
      <c r="L200" s="312"/>
      <c r="M200" s="375">
        <f t="shared" si="76"/>
        <v>0</v>
      </c>
      <c r="N200" s="349">
        <f t="shared" si="77"/>
        <v>0</v>
      </c>
      <c r="O200" s="310"/>
      <c r="P200" s="128" t="s">
        <v>1004</v>
      </c>
      <c r="Q200" s="361">
        <f t="shared" si="78"/>
        <v>0</v>
      </c>
      <c r="R200" s="361">
        <f t="shared" si="79"/>
        <v>0</v>
      </c>
      <c r="S200" s="166"/>
      <c r="T200" s="166"/>
    </row>
    <row r="201" spans="1:20" hidden="1" outlineLevel="1" x14ac:dyDescent="0.25">
      <c r="A201" s="329" t="s">
        <v>1352</v>
      </c>
      <c r="B201" s="325" t="s">
        <v>1993</v>
      </c>
      <c r="C201" s="320">
        <v>1.4</v>
      </c>
      <c r="D201" s="327" t="s">
        <v>1946</v>
      </c>
      <c r="E201" s="320"/>
      <c r="F201" s="317"/>
      <c r="G201" s="317"/>
      <c r="H201" s="366">
        <f t="shared" si="73"/>
        <v>0</v>
      </c>
      <c r="I201" s="318"/>
      <c r="J201" s="375">
        <f t="shared" si="74"/>
        <v>0</v>
      </c>
      <c r="K201" s="336">
        <f t="shared" si="75"/>
        <v>0</v>
      </c>
      <c r="L201" s="318"/>
      <c r="M201" s="375">
        <f t="shared" si="76"/>
        <v>0</v>
      </c>
      <c r="N201" s="349">
        <f t="shared" si="77"/>
        <v>0</v>
      </c>
      <c r="O201" s="319"/>
      <c r="P201" s="128" t="s">
        <v>1004</v>
      </c>
      <c r="Q201" s="361">
        <f t="shared" si="78"/>
        <v>0</v>
      </c>
      <c r="R201" s="361">
        <f t="shared" si="79"/>
        <v>0</v>
      </c>
      <c r="S201" s="166"/>
      <c r="T201" s="166"/>
    </row>
    <row r="202" spans="1:20" hidden="1" outlineLevel="1" x14ac:dyDescent="0.25">
      <c r="A202" s="329" t="s">
        <v>1352</v>
      </c>
      <c r="B202" s="325" t="s">
        <v>1993</v>
      </c>
      <c r="C202" s="320" t="s">
        <v>1627</v>
      </c>
      <c r="D202" s="324" t="s">
        <v>1947</v>
      </c>
      <c r="E202" s="320" t="s">
        <v>1384</v>
      </c>
      <c r="F202" s="312"/>
      <c r="G202" s="312"/>
      <c r="H202" s="366">
        <f t="shared" si="73"/>
        <v>0</v>
      </c>
      <c r="I202" s="312"/>
      <c r="J202" s="375">
        <f t="shared" si="74"/>
        <v>0</v>
      </c>
      <c r="K202" s="336">
        <f t="shared" si="75"/>
        <v>0</v>
      </c>
      <c r="L202" s="312"/>
      <c r="M202" s="375">
        <f t="shared" si="76"/>
        <v>0</v>
      </c>
      <c r="N202" s="349">
        <f t="shared" si="77"/>
        <v>0</v>
      </c>
      <c r="O202" s="310"/>
      <c r="P202" s="128" t="s">
        <v>1004</v>
      </c>
      <c r="Q202" s="361">
        <f t="shared" si="78"/>
        <v>0</v>
      </c>
      <c r="R202" s="361">
        <f t="shared" si="79"/>
        <v>0</v>
      </c>
      <c r="S202" s="166"/>
      <c r="T202" s="166"/>
    </row>
    <row r="203" spans="1:20" hidden="1" outlineLevel="1" x14ac:dyDescent="0.25">
      <c r="A203" s="329" t="s">
        <v>1352</v>
      </c>
      <c r="B203" s="325" t="s">
        <v>1993</v>
      </c>
      <c r="C203" s="320" t="s">
        <v>1948</v>
      </c>
      <c r="D203" s="324" t="s">
        <v>1947</v>
      </c>
      <c r="E203" s="320" t="s">
        <v>1384</v>
      </c>
      <c r="F203" s="312"/>
      <c r="G203" s="312"/>
      <c r="H203" s="366">
        <f t="shared" si="73"/>
        <v>0</v>
      </c>
      <c r="I203" s="312"/>
      <c r="J203" s="375">
        <f t="shared" si="74"/>
        <v>0</v>
      </c>
      <c r="K203" s="336">
        <f t="shared" si="75"/>
        <v>0</v>
      </c>
      <c r="L203" s="312"/>
      <c r="M203" s="375">
        <f t="shared" si="76"/>
        <v>0</v>
      </c>
      <c r="N203" s="349">
        <f t="shared" si="77"/>
        <v>0</v>
      </c>
      <c r="O203" s="310"/>
      <c r="P203" s="128" t="s">
        <v>1004</v>
      </c>
      <c r="Q203" s="361">
        <f t="shared" si="78"/>
        <v>0</v>
      </c>
      <c r="R203" s="361">
        <f t="shared" si="79"/>
        <v>0</v>
      </c>
      <c r="S203" s="166"/>
      <c r="T203" s="166"/>
    </row>
    <row r="204" spans="1:20" hidden="1" outlineLevel="1" x14ac:dyDescent="0.25">
      <c r="A204" s="329" t="s">
        <v>1352</v>
      </c>
      <c r="B204" s="325" t="s">
        <v>1993</v>
      </c>
      <c r="C204" s="320" t="s">
        <v>1949</v>
      </c>
      <c r="D204" s="324" t="s">
        <v>1947</v>
      </c>
      <c r="E204" s="320" t="s">
        <v>1384</v>
      </c>
      <c r="F204" s="312"/>
      <c r="G204" s="312"/>
      <c r="H204" s="366">
        <f t="shared" si="73"/>
        <v>0</v>
      </c>
      <c r="I204" s="312"/>
      <c r="J204" s="375">
        <f t="shared" si="74"/>
        <v>0</v>
      </c>
      <c r="K204" s="336">
        <f t="shared" si="75"/>
        <v>0</v>
      </c>
      <c r="L204" s="312"/>
      <c r="M204" s="375">
        <f t="shared" si="76"/>
        <v>0</v>
      </c>
      <c r="N204" s="349">
        <f t="shared" si="77"/>
        <v>0</v>
      </c>
      <c r="O204" s="310"/>
      <c r="P204" s="128" t="s">
        <v>1004</v>
      </c>
      <c r="Q204" s="361">
        <f t="shared" si="78"/>
        <v>0</v>
      </c>
      <c r="R204" s="361">
        <f t="shared" si="79"/>
        <v>0</v>
      </c>
      <c r="S204" s="166"/>
      <c r="T204" s="166"/>
    </row>
    <row r="205" spans="1:20" hidden="1" outlineLevel="1" x14ac:dyDescent="0.25">
      <c r="A205" s="331" t="s">
        <v>1022</v>
      </c>
      <c r="B205" s="314" t="s">
        <v>1993</v>
      </c>
      <c r="C205" s="315"/>
      <c r="D205" s="326" t="s">
        <v>1950</v>
      </c>
      <c r="E205" s="315"/>
      <c r="F205" s="313"/>
      <c r="G205" s="313"/>
      <c r="H205" s="367"/>
      <c r="I205" s="313"/>
      <c r="J205" s="362">
        <f>SUM(J192:J204)</f>
        <v>0</v>
      </c>
      <c r="K205" s="338">
        <f>SUM(K192:K204)</f>
        <v>0</v>
      </c>
      <c r="L205" s="313"/>
      <c r="M205" s="362">
        <f>SUM(M192:M204)</f>
        <v>0</v>
      </c>
      <c r="N205" s="338">
        <f>SUM(N192:N204)</f>
        <v>0</v>
      </c>
      <c r="O205" s="314"/>
      <c r="P205" s="128"/>
      <c r="Q205" s="362">
        <f>SUM(Q192:Q204)</f>
        <v>0</v>
      </c>
      <c r="R205" s="362">
        <f>SUM(R192:R204)</f>
        <v>0</v>
      </c>
      <c r="S205" s="166"/>
      <c r="T205" s="166"/>
    </row>
    <row r="206" spans="1:20" hidden="1" outlineLevel="1" x14ac:dyDescent="0.25">
      <c r="A206" s="329" t="s">
        <v>1340</v>
      </c>
      <c r="B206" s="325" t="s">
        <v>1994</v>
      </c>
      <c r="C206" s="320">
        <v>2</v>
      </c>
      <c r="D206" s="327" t="s">
        <v>1952</v>
      </c>
      <c r="E206" s="319"/>
      <c r="F206" s="317"/>
      <c r="G206" s="317"/>
      <c r="H206" s="366">
        <f t="shared" ref="H206:H212" si="80">+SUM(F206:G206)</f>
        <v>0</v>
      </c>
      <c r="I206" s="318"/>
      <c r="J206" s="375">
        <f t="shared" ref="J206:J212" si="81">+ROUND(I206*H206,2)</f>
        <v>0</v>
      </c>
      <c r="K206" s="337">
        <f t="shared" ref="K206:K212" si="82">J206</f>
        <v>0</v>
      </c>
      <c r="L206" s="318"/>
      <c r="M206" s="375">
        <f t="shared" ref="M206:M212" si="83">+ROUND(L206*H206,2)</f>
        <v>0</v>
      </c>
      <c r="N206" s="350">
        <f t="shared" ref="N206:N212" si="84">M206</f>
        <v>0</v>
      </c>
      <c r="O206" s="319"/>
      <c r="P206" s="128" t="s">
        <v>1004</v>
      </c>
      <c r="Q206" s="361">
        <f t="shared" ref="Q206:Q212" si="85">+ROUND((K206)*(1+SUMIF($Q$2:$Q$4,P206,$R$2:$R$4)),0)</f>
        <v>0</v>
      </c>
      <c r="R206" s="361">
        <f t="shared" ref="R206:R212" si="86">+ROUND((N206)*(1+SUMIF($Q$2:$Q$4,P206,$R$2:$R$4)),0)</f>
        <v>0</v>
      </c>
      <c r="S206" s="166"/>
      <c r="T206" s="166"/>
    </row>
    <row r="207" spans="1:20" hidden="1" outlineLevel="1" x14ac:dyDescent="0.25">
      <c r="A207" s="329" t="s">
        <v>1340</v>
      </c>
      <c r="B207" s="325" t="s">
        <v>1994</v>
      </c>
      <c r="C207" s="320">
        <v>2.1</v>
      </c>
      <c r="D207" s="327" t="s">
        <v>1669</v>
      </c>
      <c r="E207" s="320" t="s">
        <v>1384</v>
      </c>
      <c r="F207" s="312"/>
      <c r="G207" s="312"/>
      <c r="H207" s="366">
        <f t="shared" si="80"/>
        <v>0</v>
      </c>
      <c r="I207" s="312"/>
      <c r="J207" s="375">
        <f t="shared" si="81"/>
        <v>0</v>
      </c>
      <c r="K207" s="336">
        <f t="shared" si="82"/>
        <v>0</v>
      </c>
      <c r="L207" s="312"/>
      <c r="M207" s="375">
        <f t="shared" si="83"/>
        <v>0</v>
      </c>
      <c r="N207" s="349">
        <f t="shared" si="84"/>
        <v>0</v>
      </c>
      <c r="O207" s="310"/>
      <c r="P207" s="128" t="s">
        <v>1004</v>
      </c>
      <c r="Q207" s="361">
        <f t="shared" si="85"/>
        <v>0</v>
      </c>
      <c r="R207" s="361">
        <f t="shared" si="86"/>
        <v>0</v>
      </c>
      <c r="S207" s="166"/>
      <c r="T207" s="166"/>
    </row>
    <row r="208" spans="1:20" hidden="1" outlineLevel="1" x14ac:dyDescent="0.25">
      <c r="A208" s="329" t="s">
        <v>1340</v>
      </c>
      <c r="B208" s="325" t="s">
        <v>1994</v>
      </c>
      <c r="C208" s="320">
        <v>2.2000000000000002</v>
      </c>
      <c r="D208" s="327" t="s">
        <v>1953</v>
      </c>
      <c r="E208" s="320" t="s">
        <v>1384</v>
      </c>
      <c r="F208" s="312"/>
      <c r="G208" s="312"/>
      <c r="H208" s="366">
        <f t="shared" si="80"/>
        <v>0</v>
      </c>
      <c r="I208" s="312"/>
      <c r="J208" s="375">
        <f t="shared" si="81"/>
        <v>0</v>
      </c>
      <c r="K208" s="336">
        <f t="shared" si="82"/>
        <v>0</v>
      </c>
      <c r="L208" s="312"/>
      <c r="M208" s="375">
        <f t="shared" si="83"/>
        <v>0</v>
      </c>
      <c r="N208" s="349">
        <f t="shared" si="84"/>
        <v>0</v>
      </c>
      <c r="O208" s="310"/>
      <c r="P208" s="128" t="s">
        <v>1004</v>
      </c>
      <c r="Q208" s="361">
        <f t="shared" si="85"/>
        <v>0</v>
      </c>
      <c r="R208" s="361">
        <f t="shared" si="86"/>
        <v>0</v>
      </c>
      <c r="S208" s="166"/>
      <c r="T208" s="166"/>
    </row>
    <row r="209" spans="1:20" hidden="1" outlineLevel="1" x14ac:dyDescent="0.25">
      <c r="A209" s="329" t="s">
        <v>1340</v>
      </c>
      <c r="B209" s="325" t="s">
        <v>1994</v>
      </c>
      <c r="C209" s="320">
        <v>2.2999999999999998</v>
      </c>
      <c r="D209" s="327" t="s">
        <v>1946</v>
      </c>
      <c r="E209" s="320"/>
      <c r="F209" s="317"/>
      <c r="G209" s="317"/>
      <c r="H209" s="366">
        <f t="shared" si="80"/>
        <v>0</v>
      </c>
      <c r="I209" s="318"/>
      <c r="J209" s="375">
        <f t="shared" si="81"/>
        <v>0</v>
      </c>
      <c r="K209" s="336">
        <f t="shared" si="82"/>
        <v>0</v>
      </c>
      <c r="L209" s="318"/>
      <c r="M209" s="375">
        <f t="shared" si="83"/>
        <v>0</v>
      </c>
      <c r="N209" s="349">
        <f t="shared" si="84"/>
        <v>0</v>
      </c>
      <c r="O209" s="319"/>
      <c r="P209" s="128" t="s">
        <v>1004</v>
      </c>
      <c r="Q209" s="361">
        <f t="shared" si="85"/>
        <v>0</v>
      </c>
      <c r="R209" s="361">
        <f t="shared" si="86"/>
        <v>0</v>
      </c>
      <c r="S209" s="166"/>
      <c r="T209" s="166"/>
    </row>
    <row r="210" spans="1:20" hidden="1" outlineLevel="1" x14ac:dyDescent="0.25">
      <c r="A210" s="329" t="s">
        <v>1340</v>
      </c>
      <c r="B210" s="325" t="s">
        <v>1994</v>
      </c>
      <c r="C210" s="320" t="s">
        <v>1627</v>
      </c>
      <c r="D210" s="324" t="s">
        <v>1947</v>
      </c>
      <c r="E210" s="320" t="s">
        <v>1384</v>
      </c>
      <c r="F210" s="312"/>
      <c r="G210" s="312"/>
      <c r="H210" s="366">
        <f t="shared" si="80"/>
        <v>0</v>
      </c>
      <c r="I210" s="312"/>
      <c r="J210" s="375">
        <f t="shared" si="81"/>
        <v>0</v>
      </c>
      <c r="K210" s="336">
        <f t="shared" si="82"/>
        <v>0</v>
      </c>
      <c r="L210" s="312"/>
      <c r="M210" s="375">
        <f t="shared" si="83"/>
        <v>0</v>
      </c>
      <c r="N210" s="349">
        <f t="shared" si="84"/>
        <v>0</v>
      </c>
      <c r="O210" s="310"/>
      <c r="P210" s="128" t="s">
        <v>1004</v>
      </c>
      <c r="Q210" s="361">
        <f t="shared" si="85"/>
        <v>0</v>
      </c>
      <c r="R210" s="361">
        <f t="shared" si="86"/>
        <v>0</v>
      </c>
      <c r="S210" s="166"/>
      <c r="T210" s="166"/>
    </row>
    <row r="211" spans="1:20" hidden="1" outlineLevel="1" x14ac:dyDescent="0.25">
      <c r="A211" s="329" t="s">
        <v>1340</v>
      </c>
      <c r="B211" s="325" t="s">
        <v>1994</v>
      </c>
      <c r="C211" s="320" t="s">
        <v>1948</v>
      </c>
      <c r="D211" s="324" t="s">
        <v>1947</v>
      </c>
      <c r="E211" s="320" t="s">
        <v>1384</v>
      </c>
      <c r="F211" s="312"/>
      <c r="G211" s="312"/>
      <c r="H211" s="366">
        <f t="shared" si="80"/>
        <v>0</v>
      </c>
      <c r="I211" s="312"/>
      <c r="J211" s="375">
        <f t="shared" si="81"/>
        <v>0</v>
      </c>
      <c r="K211" s="336">
        <f t="shared" si="82"/>
        <v>0</v>
      </c>
      <c r="L211" s="312"/>
      <c r="M211" s="375">
        <f t="shared" si="83"/>
        <v>0</v>
      </c>
      <c r="N211" s="349">
        <f t="shared" si="84"/>
        <v>0</v>
      </c>
      <c r="O211" s="310"/>
      <c r="P211" s="128" t="s">
        <v>1004</v>
      </c>
      <c r="Q211" s="361">
        <f t="shared" si="85"/>
        <v>0</v>
      </c>
      <c r="R211" s="361">
        <f t="shared" si="86"/>
        <v>0</v>
      </c>
      <c r="S211" s="166"/>
      <c r="T211" s="166"/>
    </row>
    <row r="212" spans="1:20" hidden="1" outlineLevel="1" x14ac:dyDescent="0.25">
      <c r="A212" s="329" t="s">
        <v>1340</v>
      </c>
      <c r="B212" s="325" t="s">
        <v>1994</v>
      </c>
      <c r="C212" s="320" t="s">
        <v>1949</v>
      </c>
      <c r="D212" s="324" t="s">
        <v>1947</v>
      </c>
      <c r="E212" s="320" t="s">
        <v>1384</v>
      </c>
      <c r="F212" s="312"/>
      <c r="G212" s="312"/>
      <c r="H212" s="366">
        <f t="shared" si="80"/>
        <v>0</v>
      </c>
      <c r="I212" s="312"/>
      <c r="J212" s="375">
        <f t="shared" si="81"/>
        <v>0</v>
      </c>
      <c r="K212" s="336">
        <f t="shared" si="82"/>
        <v>0</v>
      </c>
      <c r="L212" s="312"/>
      <c r="M212" s="375">
        <f t="shared" si="83"/>
        <v>0</v>
      </c>
      <c r="N212" s="349">
        <f t="shared" si="84"/>
        <v>0</v>
      </c>
      <c r="O212" s="310"/>
      <c r="P212" s="128" t="s">
        <v>1004</v>
      </c>
      <c r="Q212" s="361">
        <f t="shared" si="85"/>
        <v>0</v>
      </c>
      <c r="R212" s="361">
        <f t="shared" si="86"/>
        <v>0</v>
      </c>
      <c r="S212" s="166"/>
      <c r="T212" s="166"/>
    </row>
    <row r="213" spans="1:20" hidden="1" outlineLevel="1" x14ac:dyDescent="0.25">
      <c r="A213" s="331" t="s">
        <v>1022</v>
      </c>
      <c r="B213" s="314" t="s">
        <v>1994</v>
      </c>
      <c r="C213" s="315"/>
      <c r="D213" s="326" t="s">
        <v>1950</v>
      </c>
      <c r="E213" s="314"/>
      <c r="F213" s="313"/>
      <c r="G213" s="313"/>
      <c r="H213" s="367"/>
      <c r="I213" s="313"/>
      <c r="J213" s="362">
        <f>SUM(J206:J212)</f>
        <v>0</v>
      </c>
      <c r="K213" s="338">
        <f>SUM(K206:K212)</f>
        <v>0</v>
      </c>
      <c r="L213" s="313"/>
      <c r="M213" s="362">
        <f>SUM(M206:M212)</f>
        <v>0</v>
      </c>
      <c r="N213" s="338">
        <f>SUM(N206:N212)</f>
        <v>0</v>
      </c>
      <c r="O213" s="314"/>
      <c r="P213" s="128"/>
      <c r="Q213" s="362">
        <f>SUM(Q206:Q212)</f>
        <v>0</v>
      </c>
      <c r="R213" s="362">
        <f>SUM(R206:R212)</f>
        <v>0</v>
      </c>
      <c r="S213" s="166"/>
      <c r="T213" s="166"/>
    </row>
    <row r="214" spans="1:20" hidden="1" outlineLevel="1" x14ac:dyDescent="0.25">
      <c r="A214" s="329" t="s">
        <v>1326</v>
      </c>
      <c r="B214" s="325" t="s">
        <v>1995</v>
      </c>
      <c r="C214" s="320">
        <v>3</v>
      </c>
      <c r="D214" s="327" t="s">
        <v>1955</v>
      </c>
      <c r="E214" s="320"/>
      <c r="F214" s="317"/>
      <c r="G214" s="317"/>
      <c r="H214" s="366">
        <f t="shared" ref="H214:H256" si="87">+SUM(F214:G214)</f>
        <v>0</v>
      </c>
      <c r="I214" s="318"/>
      <c r="J214" s="375">
        <f t="shared" ref="J214:J256" si="88">+ROUND(I214*H214,2)</f>
        <v>0</v>
      </c>
      <c r="K214" s="336">
        <f t="shared" ref="K214:K256" si="89">J214</f>
        <v>0</v>
      </c>
      <c r="L214" s="318"/>
      <c r="M214" s="375">
        <f t="shared" ref="M214:M256" si="90">+ROUND(L214*H214,2)</f>
        <v>0</v>
      </c>
      <c r="N214" s="349">
        <f t="shared" ref="N214:N256" si="91">M214</f>
        <v>0</v>
      </c>
      <c r="O214" s="319"/>
      <c r="P214" s="128" t="s">
        <v>1004</v>
      </c>
      <c r="Q214" s="361">
        <f t="shared" ref="Q214:Q256" si="92">+ROUND((K214)*(1+SUMIF($Q$2:$Q$4,P214,$R$2:$R$4)),0)</f>
        <v>0</v>
      </c>
      <c r="R214" s="361">
        <f t="shared" ref="R214:R256" si="93">+ROUND((N214)*(1+SUMIF($Q$2:$Q$4,P214,$R$2:$R$4)),0)</f>
        <v>0</v>
      </c>
      <c r="S214" s="166"/>
      <c r="T214" s="166"/>
    </row>
    <row r="215" spans="1:20" hidden="1" outlineLevel="1" x14ac:dyDescent="0.25">
      <c r="A215" s="329" t="s">
        <v>1326</v>
      </c>
      <c r="B215" s="325" t="s">
        <v>1995</v>
      </c>
      <c r="C215" s="320">
        <v>3.1</v>
      </c>
      <c r="D215" s="327" t="s">
        <v>1956</v>
      </c>
      <c r="E215" s="320"/>
      <c r="F215" s="317"/>
      <c r="G215" s="317"/>
      <c r="H215" s="366">
        <f t="shared" si="87"/>
        <v>0</v>
      </c>
      <c r="I215" s="318"/>
      <c r="J215" s="375">
        <f t="shared" si="88"/>
        <v>0</v>
      </c>
      <c r="K215" s="336">
        <f t="shared" si="89"/>
        <v>0</v>
      </c>
      <c r="L215" s="318"/>
      <c r="M215" s="375">
        <f t="shared" si="90"/>
        <v>0</v>
      </c>
      <c r="N215" s="349">
        <f t="shared" si="91"/>
        <v>0</v>
      </c>
      <c r="O215" s="319"/>
      <c r="P215" s="128" t="s">
        <v>1004</v>
      </c>
      <c r="Q215" s="361">
        <f t="shared" si="92"/>
        <v>0</v>
      </c>
      <c r="R215" s="361">
        <f t="shared" si="93"/>
        <v>0</v>
      </c>
      <c r="S215" s="166"/>
      <c r="T215" s="166"/>
    </row>
    <row r="216" spans="1:20" hidden="1" outlineLevel="1" x14ac:dyDescent="0.25">
      <c r="A216" s="329" t="s">
        <v>1326</v>
      </c>
      <c r="B216" s="325" t="s">
        <v>1995</v>
      </c>
      <c r="C216" s="320" t="s">
        <v>1483</v>
      </c>
      <c r="D216" s="327" t="s">
        <v>1957</v>
      </c>
      <c r="E216" s="320"/>
      <c r="F216" s="317"/>
      <c r="G216" s="317"/>
      <c r="H216" s="366">
        <f t="shared" si="87"/>
        <v>0</v>
      </c>
      <c r="I216" s="318"/>
      <c r="J216" s="375">
        <f t="shared" si="88"/>
        <v>0</v>
      </c>
      <c r="K216" s="336">
        <f t="shared" si="89"/>
        <v>0</v>
      </c>
      <c r="L216" s="318"/>
      <c r="M216" s="375">
        <f t="shared" si="90"/>
        <v>0</v>
      </c>
      <c r="N216" s="349">
        <f t="shared" si="91"/>
        <v>0</v>
      </c>
      <c r="O216" s="319"/>
      <c r="P216" s="128" t="s">
        <v>1004</v>
      </c>
      <c r="Q216" s="361">
        <f t="shared" si="92"/>
        <v>0</v>
      </c>
      <c r="R216" s="361">
        <f t="shared" si="93"/>
        <v>0</v>
      </c>
      <c r="S216" s="166"/>
      <c r="T216" s="166"/>
    </row>
    <row r="217" spans="1:20" hidden="1" outlineLevel="1" x14ac:dyDescent="0.25">
      <c r="A217" s="329" t="s">
        <v>1326</v>
      </c>
      <c r="B217" s="325" t="s">
        <v>1995</v>
      </c>
      <c r="C217" s="320" t="s">
        <v>1628</v>
      </c>
      <c r="D217" s="324" t="s">
        <v>1958</v>
      </c>
      <c r="E217" s="320" t="s">
        <v>1384</v>
      </c>
      <c r="F217" s="312"/>
      <c r="G217" s="312"/>
      <c r="H217" s="366">
        <f t="shared" si="87"/>
        <v>0</v>
      </c>
      <c r="I217" s="312"/>
      <c r="J217" s="375">
        <f t="shared" si="88"/>
        <v>0</v>
      </c>
      <c r="K217" s="336">
        <f t="shared" si="89"/>
        <v>0</v>
      </c>
      <c r="L217" s="312"/>
      <c r="M217" s="375">
        <f t="shared" si="90"/>
        <v>0</v>
      </c>
      <c r="N217" s="349">
        <f t="shared" si="91"/>
        <v>0</v>
      </c>
      <c r="O217" s="310"/>
      <c r="P217" s="128" t="s">
        <v>1004</v>
      </c>
      <c r="Q217" s="361">
        <f t="shared" si="92"/>
        <v>0</v>
      </c>
      <c r="R217" s="361">
        <f t="shared" si="93"/>
        <v>0</v>
      </c>
      <c r="S217" s="166"/>
      <c r="T217" s="166"/>
    </row>
    <row r="218" spans="1:20" hidden="1" outlineLevel="1" x14ac:dyDescent="0.25">
      <c r="A218" s="329" t="s">
        <v>1326</v>
      </c>
      <c r="B218" s="325" t="s">
        <v>1995</v>
      </c>
      <c r="C218" s="320" t="s">
        <v>1485</v>
      </c>
      <c r="D218" s="327" t="s">
        <v>1959</v>
      </c>
      <c r="E218" s="320"/>
      <c r="F218" s="317"/>
      <c r="G218" s="317"/>
      <c r="H218" s="366">
        <f t="shared" si="87"/>
        <v>0</v>
      </c>
      <c r="I218" s="318"/>
      <c r="J218" s="375">
        <f t="shared" si="88"/>
        <v>0</v>
      </c>
      <c r="K218" s="336">
        <f t="shared" si="89"/>
        <v>0</v>
      </c>
      <c r="L218" s="318"/>
      <c r="M218" s="375">
        <f t="shared" si="90"/>
        <v>0</v>
      </c>
      <c r="N218" s="349">
        <f t="shared" si="91"/>
        <v>0</v>
      </c>
      <c r="O218" s="319"/>
      <c r="P218" s="128" t="s">
        <v>1004</v>
      </c>
      <c r="Q218" s="361">
        <f t="shared" si="92"/>
        <v>0</v>
      </c>
      <c r="R218" s="361">
        <f t="shared" si="93"/>
        <v>0</v>
      </c>
      <c r="S218" s="166"/>
      <c r="T218" s="166"/>
    </row>
    <row r="219" spans="1:20" hidden="1" outlineLevel="1" x14ac:dyDescent="0.25">
      <c r="A219" s="329" t="s">
        <v>1326</v>
      </c>
      <c r="B219" s="325" t="s">
        <v>1995</v>
      </c>
      <c r="C219" s="320" t="s">
        <v>1629</v>
      </c>
      <c r="D219" s="324" t="s">
        <v>1709</v>
      </c>
      <c r="E219" s="320" t="s">
        <v>1384</v>
      </c>
      <c r="F219" s="312"/>
      <c r="G219" s="312"/>
      <c r="H219" s="366">
        <f t="shared" si="87"/>
        <v>0</v>
      </c>
      <c r="I219" s="312"/>
      <c r="J219" s="375">
        <f t="shared" si="88"/>
        <v>0</v>
      </c>
      <c r="K219" s="336">
        <f t="shared" si="89"/>
        <v>0</v>
      </c>
      <c r="L219" s="312"/>
      <c r="M219" s="375">
        <f t="shared" si="90"/>
        <v>0</v>
      </c>
      <c r="N219" s="349">
        <f t="shared" si="91"/>
        <v>0</v>
      </c>
      <c r="O219" s="310"/>
      <c r="P219" s="128" t="s">
        <v>1004</v>
      </c>
      <c r="Q219" s="361">
        <f t="shared" si="92"/>
        <v>0</v>
      </c>
      <c r="R219" s="361">
        <f t="shared" si="93"/>
        <v>0</v>
      </c>
      <c r="S219" s="166"/>
      <c r="T219" s="166"/>
    </row>
    <row r="220" spans="1:20" hidden="1" outlineLevel="1" x14ac:dyDescent="0.25">
      <c r="A220" s="329" t="s">
        <v>1326</v>
      </c>
      <c r="B220" s="325" t="s">
        <v>1995</v>
      </c>
      <c r="C220" s="320" t="s">
        <v>1630</v>
      </c>
      <c r="D220" s="324" t="s">
        <v>1631</v>
      </c>
      <c r="E220" s="320" t="s">
        <v>1384</v>
      </c>
      <c r="F220" s="312"/>
      <c r="G220" s="312"/>
      <c r="H220" s="366">
        <f t="shared" si="87"/>
        <v>0</v>
      </c>
      <c r="I220" s="312"/>
      <c r="J220" s="375">
        <f t="shared" si="88"/>
        <v>0</v>
      </c>
      <c r="K220" s="336">
        <f t="shared" si="89"/>
        <v>0</v>
      </c>
      <c r="L220" s="312"/>
      <c r="M220" s="375">
        <f t="shared" si="90"/>
        <v>0</v>
      </c>
      <c r="N220" s="349">
        <f t="shared" si="91"/>
        <v>0</v>
      </c>
      <c r="O220" s="310"/>
      <c r="P220" s="128" t="s">
        <v>1004</v>
      </c>
      <c r="Q220" s="361">
        <f t="shared" si="92"/>
        <v>0</v>
      </c>
      <c r="R220" s="361">
        <f t="shared" si="93"/>
        <v>0</v>
      </c>
      <c r="S220" s="166"/>
      <c r="T220" s="166"/>
    </row>
    <row r="221" spans="1:20" hidden="1" outlineLevel="1" x14ac:dyDescent="0.25">
      <c r="A221" s="329" t="s">
        <v>1326</v>
      </c>
      <c r="B221" s="325" t="s">
        <v>1995</v>
      </c>
      <c r="C221" s="320" t="s">
        <v>1632</v>
      </c>
      <c r="D221" s="324" t="s">
        <v>1712</v>
      </c>
      <c r="E221" s="320" t="s">
        <v>1384</v>
      </c>
      <c r="F221" s="312"/>
      <c r="G221" s="312"/>
      <c r="H221" s="366">
        <f t="shared" si="87"/>
        <v>0</v>
      </c>
      <c r="I221" s="312"/>
      <c r="J221" s="375">
        <f t="shared" si="88"/>
        <v>0</v>
      </c>
      <c r="K221" s="336">
        <f t="shared" si="89"/>
        <v>0</v>
      </c>
      <c r="L221" s="312"/>
      <c r="M221" s="375">
        <f t="shared" si="90"/>
        <v>0</v>
      </c>
      <c r="N221" s="349">
        <f t="shared" si="91"/>
        <v>0</v>
      </c>
      <c r="O221" s="310"/>
      <c r="P221" s="128" t="s">
        <v>1004</v>
      </c>
      <c r="Q221" s="361">
        <f t="shared" si="92"/>
        <v>0</v>
      </c>
      <c r="R221" s="361">
        <f t="shared" si="93"/>
        <v>0</v>
      </c>
      <c r="S221" s="166"/>
      <c r="T221" s="166"/>
    </row>
    <row r="222" spans="1:20" hidden="1" outlineLevel="1" x14ac:dyDescent="0.25">
      <c r="A222" s="329" t="s">
        <v>1330</v>
      </c>
      <c r="B222" s="325" t="s">
        <v>1995</v>
      </c>
      <c r="C222" s="320" t="s">
        <v>1487</v>
      </c>
      <c r="D222" s="327" t="s">
        <v>1960</v>
      </c>
      <c r="E222" s="319"/>
      <c r="F222" s="317"/>
      <c r="G222" s="317"/>
      <c r="H222" s="366">
        <f t="shared" si="87"/>
        <v>0</v>
      </c>
      <c r="I222" s="318"/>
      <c r="J222" s="375">
        <f t="shared" si="88"/>
        <v>0</v>
      </c>
      <c r="K222" s="337">
        <f t="shared" si="89"/>
        <v>0</v>
      </c>
      <c r="L222" s="318"/>
      <c r="M222" s="375">
        <f t="shared" si="90"/>
        <v>0</v>
      </c>
      <c r="N222" s="350">
        <f t="shared" si="91"/>
        <v>0</v>
      </c>
      <c r="O222" s="319"/>
      <c r="P222" s="128" t="s">
        <v>1004</v>
      </c>
      <c r="Q222" s="361">
        <f t="shared" si="92"/>
        <v>0</v>
      </c>
      <c r="R222" s="361">
        <f t="shared" si="93"/>
        <v>0</v>
      </c>
      <c r="S222" s="166"/>
      <c r="T222" s="166"/>
    </row>
    <row r="223" spans="1:20" hidden="1" outlineLevel="1" x14ac:dyDescent="0.25">
      <c r="A223" s="329" t="s">
        <v>1330</v>
      </c>
      <c r="B223" s="325" t="s">
        <v>1995</v>
      </c>
      <c r="C223" s="320" t="s">
        <v>1633</v>
      </c>
      <c r="D223" s="324" t="s">
        <v>1634</v>
      </c>
      <c r="E223" s="320" t="s">
        <v>1384</v>
      </c>
      <c r="F223" s="312"/>
      <c r="G223" s="312"/>
      <c r="H223" s="366">
        <f t="shared" si="87"/>
        <v>0</v>
      </c>
      <c r="I223" s="312"/>
      <c r="J223" s="375">
        <f t="shared" si="88"/>
        <v>0</v>
      </c>
      <c r="K223" s="336">
        <f t="shared" si="89"/>
        <v>0</v>
      </c>
      <c r="L223" s="312"/>
      <c r="M223" s="375">
        <f t="shared" si="90"/>
        <v>0</v>
      </c>
      <c r="N223" s="349">
        <f t="shared" si="91"/>
        <v>0</v>
      </c>
      <c r="O223" s="310"/>
      <c r="P223" s="128" t="s">
        <v>1004</v>
      </c>
      <c r="Q223" s="361">
        <f t="shared" si="92"/>
        <v>0</v>
      </c>
      <c r="R223" s="361">
        <f t="shared" si="93"/>
        <v>0</v>
      </c>
      <c r="S223" s="166"/>
      <c r="T223" s="166"/>
    </row>
    <row r="224" spans="1:20" hidden="1" outlineLevel="1" x14ac:dyDescent="0.25">
      <c r="A224" s="329" t="s">
        <v>1336</v>
      </c>
      <c r="B224" s="325" t="s">
        <v>1995</v>
      </c>
      <c r="C224" s="320" t="s">
        <v>1636</v>
      </c>
      <c r="D224" s="324" t="s">
        <v>1961</v>
      </c>
      <c r="E224" s="320" t="s">
        <v>1384</v>
      </c>
      <c r="F224" s="312"/>
      <c r="G224" s="312"/>
      <c r="H224" s="366">
        <f t="shared" si="87"/>
        <v>0</v>
      </c>
      <c r="I224" s="312"/>
      <c r="J224" s="375">
        <f t="shared" si="88"/>
        <v>0</v>
      </c>
      <c r="K224" s="336">
        <f t="shared" si="89"/>
        <v>0</v>
      </c>
      <c r="L224" s="312"/>
      <c r="M224" s="375">
        <f t="shared" si="90"/>
        <v>0</v>
      </c>
      <c r="N224" s="349">
        <f t="shared" si="91"/>
        <v>0</v>
      </c>
      <c r="O224" s="310"/>
      <c r="P224" s="128" t="s">
        <v>1004</v>
      </c>
      <c r="Q224" s="361">
        <f t="shared" si="92"/>
        <v>0</v>
      </c>
      <c r="R224" s="361">
        <f t="shared" si="93"/>
        <v>0</v>
      </c>
      <c r="S224" s="166"/>
      <c r="T224" s="166"/>
    </row>
    <row r="225" spans="1:20" hidden="1" outlineLevel="1" x14ac:dyDescent="0.25">
      <c r="A225" s="329" t="s">
        <v>1330</v>
      </c>
      <c r="B225" s="325" t="s">
        <v>1995</v>
      </c>
      <c r="C225" s="320" t="s">
        <v>1996</v>
      </c>
      <c r="D225" s="324" t="s">
        <v>1718</v>
      </c>
      <c r="E225" s="320" t="s">
        <v>1384</v>
      </c>
      <c r="F225" s="312"/>
      <c r="G225" s="312"/>
      <c r="H225" s="366">
        <f t="shared" si="87"/>
        <v>0</v>
      </c>
      <c r="I225" s="312"/>
      <c r="J225" s="375">
        <f t="shared" si="88"/>
        <v>0</v>
      </c>
      <c r="K225" s="336">
        <f t="shared" si="89"/>
        <v>0</v>
      </c>
      <c r="L225" s="312"/>
      <c r="M225" s="375">
        <f t="shared" si="90"/>
        <v>0</v>
      </c>
      <c r="N225" s="349">
        <f t="shared" si="91"/>
        <v>0</v>
      </c>
      <c r="O225" s="310"/>
      <c r="P225" s="128" t="s">
        <v>1004</v>
      </c>
      <c r="Q225" s="361">
        <f t="shared" si="92"/>
        <v>0</v>
      </c>
      <c r="R225" s="361">
        <f t="shared" si="93"/>
        <v>0</v>
      </c>
      <c r="S225" s="166"/>
      <c r="T225" s="166"/>
    </row>
    <row r="226" spans="1:20" hidden="1" outlineLevel="1" x14ac:dyDescent="0.25">
      <c r="A226" s="329" t="s">
        <v>1326</v>
      </c>
      <c r="B226" s="325" t="s">
        <v>1995</v>
      </c>
      <c r="C226" s="320" t="s">
        <v>1489</v>
      </c>
      <c r="D226" s="327" t="s">
        <v>1962</v>
      </c>
      <c r="E226" s="319"/>
      <c r="F226" s="317"/>
      <c r="G226" s="317"/>
      <c r="H226" s="366">
        <f t="shared" si="87"/>
        <v>0</v>
      </c>
      <c r="I226" s="318"/>
      <c r="J226" s="375">
        <f t="shared" si="88"/>
        <v>0</v>
      </c>
      <c r="K226" s="337">
        <f t="shared" si="89"/>
        <v>0</v>
      </c>
      <c r="L226" s="318"/>
      <c r="M226" s="375">
        <f t="shared" si="90"/>
        <v>0</v>
      </c>
      <c r="N226" s="350">
        <f t="shared" si="91"/>
        <v>0</v>
      </c>
      <c r="O226" s="319"/>
      <c r="P226" s="128" t="s">
        <v>1004</v>
      </c>
      <c r="Q226" s="361">
        <f t="shared" si="92"/>
        <v>0</v>
      </c>
      <c r="R226" s="361">
        <f t="shared" si="93"/>
        <v>0</v>
      </c>
      <c r="S226" s="166"/>
      <c r="T226" s="166"/>
    </row>
    <row r="227" spans="1:20" hidden="1" outlineLevel="1" x14ac:dyDescent="0.25">
      <c r="A227" s="329" t="s">
        <v>1326</v>
      </c>
      <c r="B227" s="325" t="s">
        <v>1995</v>
      </c>
      <c r="C227" s="320" t="s">
        <v>1637</v>
      </c>
      <c r="D227" s="324" t="s">
        <v>1640</v>
      </c>
      <c r="E227" s="320" t="s">
        <v>1384</v>
      </c>
      <c r="F227" s="312"/>
      <c r="G227" s="312"/>
      <c r="H227" s="366">
        <f t="shared" si="87"/>
        <v>0</v>
      </c>
      <c r="I227" s="312"/>
      <c r="J227" s="375">
        <f t="shared" si="88"/>
        <v>0</v>
      </c>
      <c r="K227" s="336">
        <f t="shared" si="89"/>
        <v>0</v>
      </c>
      <c r="L227" s="312"/>
      <c r="M227" s="375">
        <f t="shared" si="90"/>
        <v>0</v>
      </c>
      <c r="N227" s="349">
        <f t="shared" si="91"/>
        <v>0</v>
      </c>
      <c r="O227" s="310"/>
      <c r="P227" s="128" t="s">
        <v>1004</v>
      </c>
      <c r="Q227" s="361">
        <f t="shared" si="92"/>
        <v>0</v>
      </c>
      <c r="R227" s="361">
        <f t="shared" si="93"/>
        <v>0</v>
      </c>
      <c r="S227" s="166"/>
      <c r="T227" s="166"/>
    </row>
    <row r="228" spans="1:20" hidden="1" outlineLevel="1" x14ac:dyDescent="0.25">
      <c r="A228" s="329" t="s">
        <v>1326</v>
      </c>
      <c r="B228" s="325" t="s">
        <v>1995</v>
      </c>
      <c r="C228" s="320" t="s">
        <v>1639</v>
      </c>
      <c r="D228" s="324" t="s">
        <v>1963</v>
      </c>
      <c r="E228" s="320" t="s">
        <v>1384</v>
      </c>
      <c r="F228" s="312"/>
      <c r="G228" s="312"/>
      <c r="H228" s="366">
        <f t="shared" si="87"/>
        <v>0</v>
      </c>
      <c r="I228" s="312"/>
      <c r="J228" s="375">
        <f t="shared" si="88"/>
        <v>0</v>
      </c>
      <c r="K228" s="336">
        <f t="shared" si="89"/>
        <v>0</v>
      </c>
      <c r="L228" s="312"/>
      <c r="M228" s="375">
        <f t="shared" si="90"/>
        <v>0</v>
      </c>
      <c r="N228" s="349">
        <f t="shared" si="91"/>
        <v>0</v>
      </c>
      <c r="O228" s="310"/>
      <c r="P228" s="128" t="s">
        <v>1004</v>
      </c>
      <c r="Q228" s="361">
        <f t="shared" si="92"/>
        <v>0</v>
      </c>
      <c r="R228" s="361">
        <f t="shared" si="93"/>
        <v>0</v>
      </c>
      <c r="S228" s="166"/>
      <c r="T228" s="166"/>
    </row>
    <row r="229" spans="1:20" hidden="1" outlineLevel="1" x14ac:dyDescent="0.25">
      <c r="A229" s="329" t="s">
        <v>1326</v>
      </c>
      <c r="B229" s="325" t="s">
        <v>1995</v>
      </c>
      <c r="C229" s="320" t="s">
        <v>1964</v>
      </c>
      <c r="D229" s="327" t="s">
        <v>1965</v>
      </c>
      <c r="E229" s="319"/>
      <c r="F229" s="317"/>
      <c r="G229" s="317"/>
      <c r="H229" s="366">
        <f t="shared" si="87"/>
        <v>0</v>
      </c>
      <c r="I229" s="318"/>
      <c r="J229" s="375">
        <f t="shared" si="88"/>
        <v>0</v>
      </c>
      <c r="K229" s="337">
        <f t="shared" si="89"/>
        <v>0</v>
      </c>
      <c r="L229" s="318"/>
      <c r="M229" s="375">
        <f t="shared" si="90"/>
        <v>0</v>
      </c>
      <c r="N229" s="350">
        <f t="shared" si="91"/>
        <v>0</v>
      </c>
      <c r="O229" s="319"/>
      <c r="P229" s="128" t="s">
        <v>1004</v>
      </c>
      <c r="Q229" s="361">
        <f t="shared" si="92"/>
        <v>0</v>
      </c>
      <c r="R229" s="361">
        <f t="shared" si="93"/>
        <v>0</v>
      </c>
      <c r="S229" s="166"/>
      <c r="T229" s="166"/>
    </row>
    <row r="230" spans="1:20" hidden="1" outlineLevel="1" x14ac:dyDescent="0.25">
      <c r="A230" s="329" t="s">
        <v>1326</v>
      </c>
      <c r="B230" s="325" t="s">
        <v>1995</v>
      </c>
      <c r="C230" s="320" t="s">
        <v>1642</v>
      </c>
      <c r="D230" s="324" t="s">
        <v>1720</v>
      </c>
      <c r="E230" s="320" t="s">
        <v>1384</v>
      </c>
      <c r="F230" s="312"/>
      <c r="G230" s="312"/>
      <c r="H230" s="366">
        <f t="shared" si="87"/>
        <v>0</v>
      </c>
      <c r="I230" s="312"/>
      <c r="J230" s="375">
        <f t="shared" si="88"/>
        <v>0</v>
      </c>
      <c r="K230" s="336">
        <f t="shared" si="89"/>
        <v>0</v>
      </c>
      <c r="L230" s="312"/>
      <c r="M230" s="375">
        <f t="shared" si="90"/>
        <v>0</v>
      </c>
      <c r="N230" s="349">
        <f t="shared" si="91"/>
        <v>0</v>
      </c>
      <c r="O230" s="310"/>
      <c r="P230" s="128" t="s">
        <v>1004</v>
      </c>
      <c r="Q230" s="361">
        <f t="shared" si="92"/>
        <v>0</v>
      </c>
      <c r="R230" s="361">
        <f t="shared" si="93"/>
        <v>0</v>
      </c>
      <c r="S230" s="166"/>
      <c r="T230" s="166"/>
    </row>
    <row r="231" spans="1:20" hidden="1" outlineLevel="1" x14ac:dyDescent="0.25">
      <c r="A231" s="329" t="s">
        <v>1326</v>
      </c>
      <c r="B231" s="325" t="s">
        <v>1995</v>
      </c>
      <c r="C231" s="320" t="s">
        <v>1643</v>
      </c>
      <c r="D231" s="324" t="s">
        <v>1644</v>
      </c>
      <c r="E231" s="320" t="s">
        <v>1384</v>
      </c>
      <c r="F231" s="312"/>
      <c r="G231" s="312"/>
      <c r="H231" s="366">
        <f t="shared" si="87"/>
        <v>0</v>
      </c>
      <c r="I231" s="312"/>
      <c r="J231" s="375">
        <f t="shared" si="88"/>
        <v>0</v>
      </c>
      <c r="K231" s="336">
        <f t="shared" si="89"/>
        <v>0</v>
      </c>
      <c r="L231" s="312"/>
      <c r="M231" s="375">
        <f t="shared" si="90"/>
        <v>0</v>
      </c>
      <c r="N231" s="349">
        <f t="shared" si="91"/>
        <v>0</v>
      </c>
      <c r="O231" s="310"/>
      <c r="P231" s="128" t="s">
        <v>1004</v>
      </c>
      <c r="Q231" s="361">
        <f t="shared" si="92"/>
        <v>0</v>
      </c>
      <c r="R231" s="361">
        <f t="shared" si="93"/>
        <v>0</v>
      </c>
      <c r="S231" s="166"/>
      <c r="T231" s="166"/>
    </row>
    <row r="232" spans="1:20" hidden="1" outlineLevel="1" x14ac:dyDescent="0.25">
      <c r="A232" s="329" t="s">
        <v>1326</v>
      </c>
      <c r="B232" s="325" t="s">
        <v>1995</v>
      </c>
      <c r="C232" s="320" t="s">
        <v>1645</v>
      </c>
      <c r="D232" s="324" t="s">
        <v>1966</v>
      </c>
      <c r="E232" s="320" t="s">
        <v>1384</v>
      </c>
      <c r="F232" s="312"/>
      <c r="G232" s="312"/>
      <c r="H232" s="366">
        <f t="shared" si="87"/>
        <v>0</v>
      </c>
      <c r="I232" s="312"/>
      <c r="J232" s="375">
        <f t="shared" si="88"/>
        <v>0</v>
      </c>
      <c r="K232" s="336">
        <f t="shared" si="89"/>
        <v>0</v>
      </c>
      <c r="L232" s="312"/>
      <c r="M232" s="375">
        <f t="shared" si="90"/>
        <v>0</v>
      </c>
      <c r="N232" s="349">
        <f t="shared" si="91"/>
        <v>0</v>
      </c>
      <c r="O232" s="310"/>
      <c r="P232" s="128" t="s">
        <v>1004</v>
      </c>
      <c r="Q232" s="361">
        <f t="shared" si="92"/>
        <v>0</v>
      </c>
      <c r="R232" s="361">
        <f t="shared" si="93"/>
        <v>0</v>
      </c>
      <c r="S232" s="166"/>
      <c r="T232" s="166"/>
    </row>
    <row r="233" spans="1:20" hidden="1" outlineLevel="1" x14ac:dyDescent="0.25">
      <c r="A233" s="329" t="s">
        <v>1326</v>
      </c>
      <c r="B233" s="325" t="s">
        <v>1995</v>
      </c>
      <c r="C233" s="320" t="s">
        <v>1967</v>
      </c>
      <c r="D233" s="327" t="s">
        <v>1968</v>
      </c>
      <c r="E233" s="319"/>
      <c r="F233" s="317"/>
      <c r="G233" s="317"/>
      <c r="H233" s="366">
        <f t="shared" si="87"/>
        <v>0</v>
      </c>
      <c r="I233" s="318"/>
      <c r="J233" s="375">
        <f t="shared" si="88"/>
        <v>0</v>
      </c>
      <c r="K233" s="336">
        <f t="shared" si="89"/>
        <v>0</v>
      </c>
      <c r="L233" s="318"/>
      <c r="M233" s="375">
        <f t="shared" si="90"/>
        <v>0</v>
      </c>
      <c r="N233" s="349">
        <f t="shared" si="91"/>
        <v>0</v>
      </c>
      <c r="O233" s="319"/>
      <c r="P233" s="128" t="s">
        <v>1004</v>
      </c>
      <c r="Q233" s="361">
        <f t="shared" si="92"/>
        <v>0</v>
      </c>
      <c r="R233" s="361">
        <f t="shared" si="93"/>
        <v>0</v>
      </c>
      <c r="S233" s="166"/>
      <c r="T233" s="166"/>
    </row>
    <row r="234" spans="1:20" hidden="1" outlineLevel="1" x14ac:dyDescent="0.25">
      <c r="A234" s="329" t="s">
        <v>1326</v>
      </c>
      <c r="B234" s="325" t="s">
        <v>1995</v>
      </c>
      <c r="C234" s="320" t="s">
        <v>1646</v>
      </c>
      <c r="D234" s="324" t="s">
        <v>1647</v>
      </c>
      <c r="E234" s="320" t="s">
        <v>1384</v>
      </c>
      <c r="F234" s="312"/>
      <c r="G234" s="312"/>
      <c r="H234" s="366">
        <f t="shared" si="87"/>
        <v>0</v>
      </c>
      <c r="I234" s="312"/>
      <c r="J234" s="375">
        <f t="shared" si="88"/>
        <v>0</v>
      </c>
      <c r="K234" s="336">
        <f t="shared" si="89"/>
        <v>0</v>
      </c>
      <c r="L234" s="312"/>
      <c r="M234" s="375">
        <f t="shared" si="90"/>
        <v>0</v>
      </c>
      <c r="N234" s="349">
        <f t="shared" si="91"/>
        <v>0</v>
      </c>
      <c r="O234" s="310"/>
      <c r="P234" s="128" t="s">
        <v>1004</v>
      </c>
      <c r="Q234" s="361">
        <f t="shared" si="92"/>
        <v>0</v>
      </c>
      <c r="R234" s="361">
        <f t="shared" si="93"/>
        <v>0</v>
      </c>
      <c r="S234" s="166"/>
      <c r="T234" s="166"/>
    </row>
    <row r="235" spans="1:20" hidden="1" outlineLevel="1" x14ac:dyDescent="0.25">
      <c r="A235" s="329" t="s">
        <v>1326</v>
      </c>
      <c r="B235" s="325" t="s">
        <v>1995</v>
      </c>
      <c r="C235" s="320" t="s">
        <v>1648</v>
      </c>
      <c r="D235" s="327" t="s">
        <v>1969</v>
      </c>
      <c r="E235" s="320" t="s">
        <v>1384</v>
      </c>
      <c r="F235" s="312"/>
      <c r="G235" s="312"/>
      <c r="H235" s="366">
        <f t="shared" si="87"/>
        <v>0</v>
      </c>
      <c r="I235" s="312"/>
      <c r="J235" s="375">
        <f t="shared" si="88"/>
        <v>0</v>
      </c>
      <c r="K235" s="336">
        <f t="shared" si="89"/>
        <v>0</v>
      </c>
      <c r="L235" s="312"/>
      <c r="M235" s="375">
        <f t="shared" si="90"/>
        <v>0</v>
      </c>
      <c r="N235" s="349">
        <f t="shared" si="91"/>
        <v>0</v>
      </c>
      <c r="O235" s="310"/>
      <c r="P235" s="128" t="s">
        <v>1004</v>
      </c>
      <c r="Q235" s="361">
        <f t="shared" si="92"/>
        <v>0</v>
      </c>
      <c r="R235" s="361">
        <f t="shared" si="93"/>
        <v>0</v>
      </c>
      <c r="S235" s="166"/>
      <c r="T235" s="166"/>
    </row>
    <row r="236" spans="1:20" hidden="1" outlineLevel="1" x14ac:dyDescent="0.25">
      <c r="A236" s="329" t="s">
        <v>1326</v>
      </c>
      <c r="B236" s="325" t="s">
        <v>1995</v>
      </c>
      <c r="C236" s="320">
        <v>3.2</v>
      </c>
      <c r="D236" s="327" t="s">
        <v>1970</v>
      </c>
      <c r="E236" s="320"/>
      <c r="F236" s="317"/>
      <c r="G236" s="317"/>
      <c r="H236" s="366">
        <f t="shared" si="87"/>
        <v>0</v>
      </c>
      <c r="I236" s="318"/>
      <c r="J236" s="375">
        <f t="shared" si="88"/>
        <v>0</v>
      </c>
      <c r="K236" s="336">
        <f t="shared" si="89"/>
        <v>0</v>
      </c>
      <c r="L236" s="318"/>
      <c r="M236" s="375">
        <f t="shared" si="90"/>
        <v>0</v>
      </c>
      <c r="N236" s="349">
        <f t="shared" si="91"/>
        <v>0</v>
      </c>
      <c r="O236" s="319"/>
      <c r="P236" s="128" t="s">
        <v>1004</v>
      </c>
      <c r="Q236" s="361">
        <f t="shared" si="92"/>
        <v>0</v>
      </c>
      <c r="R236" s="361">
        <f t="shared" si="93"/>
        <v>0</v>
      </c>
      <c r="S236" s="166"/>
      <c r="T236" s="166"/>
    </row>
    <row r="237" spans="1:20" hidden="1" outlineLevel="1" x14ac:dyDescent="0.25">
      <c r="A237" s="329" t="s">
        <v>1338</v>
      </c>
      <c r="B237" s="325" t="s">
        <v>1995</v>
      </c>
      <c r="C237" s="320" t="s">
        <v>1491</v>
      </c>
      <c r="D237" s="327" t="s">
        <v>1971</v>
      </c>
      <c r="E237" s="320"/>
      <c r="F237" s="317"/>
      <c r="G237" s="317"/>
      <c r="H237" s="366">
        <f t="shared" si="87"/>
        <v>0</v>
      </c>
      <c r="I237" s="318"/>
      <c r="J237" s="375">
        <f t="shared" si="88"/>
        <v>0</v>
      </c>
      <c r="K237" s="336">
        <f t="shared" si="89"/>
        <v>0</v>
      </c>
      <c r="L237" s="318"/>
      <c r="M237" s="375">
        <f t="shared" si="90"/>
        <v>0</v>
      </c>
      <c r="N237" s="349">
        <f t="shared" si="91"/>
        <v>0</v>
      </c>
      <c r="O237" s="319"/>
      <c r="P237" s="128" t="s">
        <v>1004</v>
      </c>
      <c r="Q237" s="361">
        <f t="shared" si="92"/>
        <v>0</v>
      </c>
      <c r="R237" s="361">
        <f t="shared" si="93"/>
        <v>0</v>
      </c>
      <c r="S237" s="166"/>
      <c r="T237" s="166"/>
    </row>
    <row r="238" spans="1:20" hidden="1" outlineLevel="1" x14ac:dyDescent="0.25">
      <c r="A238" s="329" t="s">
        <v>1338</v>
      </c>
      <c r="B238" s="325" t="s">
        <v>1995</v>
      </c>
      <c r="C238" s="320" t="s">
        <v>1649</v>
      </c>
      <c r="D238" s="324" t="s">
        <v>1672</v>
      </c>
      <c r="E238" s="320" t="s">
        <v>1384</v>
      </c>
      <c r="F238" s="312"/>
      <c r="G238" s="312"/>
      <c r="H238" s="366">
        <f t="shared" si="87"/>
        <v>0</v>
      </c>
      <c r="I238" s="312"/>
      <c r="J238" s="375">
        <f t="shared" si="88"/>
        <v>0</v>
      </c>
      <c r="K238" s="336">
        <f t="shared" si="89"/>
        <v>0</v>
      </c>
      <c r="L238" s="312"/>
      <c r="M238" s="375">
        <f t="shared" si="90"/>
        <v>0</v>
      </c>
      <c r="N238" s="349">
        <f t="shared" si="91"/>
        <v>0</v>
      </c>
      <c r="O238" s="310"/>
      <c r="P238" s="128" t="s">
        <v>1004</v>
      </c>
      <c r="Q238" s="361">
        <f t="shared" si="92"/>
        <v>0</v>
      </c>
      <c r="R238" s="361">
        <f t="shared" si="93"/>
        <v>0</v>
      </c>
      <c r="S238" s="166"/>
      <c r="T238" s="166"/>
    </row>
    <row r="239" spans="1:20" hidden="1" outlineLevel="1" x14ac:dyDescent="0.25">
      <c r="A239" s="329" t="s">
        <v>1338</v>
      </c>
      <c r="B239" s="325" t="s">
        <v>1995</v>
      </c>
      <c r="C239" s="320" t="s">
        <v>1651</v>
      </c>
      <c r="D239" s="324" t="s">
        <v>1673</v>
      </c>
      <c r="E239" s="320" t="s">
        <v>1384</v>
      </c>
      <c r="F239" s="312"/>
      <c r="G239" s="312"/>
      <c r="H239" s="366">
        <f t="shared" si="87"/>
        <v>0</v>
      </c>
      <c r="I239" s="312"/>
      <c r="J239" s="375">
        <f t="shared" si="88"/>
        <v>0</v>
      </c>
      <c r="K239" s="336">
        <f t="shared" si="89"/>
        <v>0</v>
      </c>
      <c r="L239" s="312"/>
      <c r="M239" s="375">
        <f t="shared" si="90"/>
        <v>0</v>
      </c>
      <c r="N239" s="349">
        <f t="shared" si="91"/>
        <v>0</v>
      </c>
      <c r="O239" s="310"/>
      <c r="P239" s="128" t="s">
        <v>1004</v>
      </c>
      <c r="Q239" s="361">
        <f t="shared" si="92"/>
        <v>0</v>
      </c>
      <c r="R239" s="361">
        <f t="shared" si="93"/>
        <v>0</v>
      </c>
      <c r="S239" s="166"/>
      <c r="T239" s="166"/>
    </row>
    <row r="240" spans="1:20" hidden="1" outlineLevel="1" x14ac:dyDescent="0.25">
      <c r="A240" s="329" t="s">
        <v>1338</v>
      </c>
      <c r="B240" s="325" t="s">
        <v>1995</v>
      </c>
      <c r="C240" s="320" t="s">
        <v>1653</v>
      </c>
      <c r="D240" s="324" t="s">
        <v>1674</v>
      </c>
      <c r="E240" s="320" t="s">
        <v>1384</v>
      </c>
      <c r="F240" s="312"/>
      <c r="G240" s="312"/>
      <c r="H240" s="366">
        <f t="shared" si="87"/>
        <v>0</v>
      </c>
      <c r="I240" s="312"/>
      <c r="J240" s="375">
        <f t="shared" si="88"/>
        <v>0</v>
      </c>
      <c r="K240" s="336">
        <f t="shared" si="89"/>
        <v>0</v>
      </c>
      <c r="L240" s="312"/>
      <c r="M240" s="375">
        <f t="shared" si="90"/>
        <v>0</v>
      </c>
      <c r="N240" s="349">
        <f t="shared" si="91"/>
        <v>0</v>
      </c>
      <c r="O240" s="310"/>
      <c r="P240" s="128" t="s">
        <v>1004</v>
      </c>
      <c r="Q240" s="361">
        <f t="shared" si="92"/>
        <v>0</v>
      </c>
      <c r="R240" s="361">
        <f t="shared" si="93"/>
        <v>0</v>
      </c>
      <c r="S240" s="166"/>
      <c r="T240" s="166"/>
    </row>
    <row r="241" spans="1:20" hidden="1" outlineLevel="1" x14ac:dyDescent="0.25">
      <c r="A241" s="329" t="s">
        <v>1338</v>
      </c>
      <c r="B241" s="325" t="s">
        <v>1995</v>
      </c>
      <c r="C241" s="320" t="s">
        <v>1654</v>
      </c>
      <c r="D241" s="324" t="s">
        <v>1675</v>
      </c>
      <c r="E241" s="320" t="s">
        <v>1384</v>
      </c>
      <c r="F241" s="312"/>
      <c r="G241" s="312"/>
      <c r="H241" s="366">
        <f t="shared" si="87"/>
        <v>0</v>
      </c>
      <c r="I241" s="312"/>
      <c r="J241" s="375">
        <f t="shared" si="88"/>
        <v>0</v>
      </c>
      <c r="K241" s="336">
        <f t="shared" si="89"/>
        <v>0</v>
      </c>
      <c r="L241" s="312"/>
      <c r="M241" s="375">
        <f t="shared" si="90"/>
        <v>0</v>
      </c>
      <c r="N241" s="349">
        <f t="shared" si="91"/>
        <v>0</v>
      </c>
      <c r="O241" s="310"/>
      <c r="P241" s="128" t="s">
        <v>1004</v>
      </c>
      <c r="Q241" s="361">
        <f t="shared" si="92"/>
        <v>0</v>
      </c>
      <c r="R241" s="361">
        <f t="shared" si="93"/>
        <v>0</v>
      </c>
      <c r="S241" s="166"/>
      <c r="T241" s="166"/>
    </row>
    <row r="242" spans="1:20" hidden="1" outlineLevel="1" x14ac:dyDescent="0.25">
      <c r="A242" s="329" t="s">
        <v>1338</v>
      </c>
      <c r="B242" s="325" t="s">
        <v>1995</v>
      </c>
      <c r="C242" s="320" t="s">
        <v>1676</v>
      </c>
      <c r="D242" s="324" t="s">
        <v>1677</v>
      </c>
      <c r="E242" s="320" t="s">
        <v>1384</v>
      </c>
      <c r="F242" s="312"/>
      <c r="G242" s="312"/>
      <c r="H242" s="366">
        <f t="shared" si="87"/>
        <v>0</v>
      </c>
      <c r="I242" s="312"/>
      <c r="J242" s="375">
        <f t="shared" si="88"/>
        <v>0</v>
      </c>
      <c r="K242" s="336">
        <f t="shared" si="89"/>
        <v>0</v>
      </c>
      <c r="L242" s="312"/>
      <c r="M242" s="375">
        <f t="shared" si="90"/>
        <v>0</v>
      </c>
      <c r="N242" s="349">
        <f t="shared" si="91"/>
        <v>0</v>
      </c>
      <c r="O242" s="310"/>
      <c r="P242" s="128" t="s">
        <v>1004</v>
      </c>
      <c r="Q242" s="361">
        <f t="shared" si="92"/>
        <v>0</v>
      </c>
      <c r="R242" s="361">
        <f t="shared" si="93"/>
        <v>0</v>
      </c>
      <c r="S242" s="166"/>
      <c r="T242" s="166"/>
    </row>
    <row r="243" spans="1:20" hidden="1" outlineLevel="1" x14ac:dyDescent="0.25">
      <c r="A243" s="329" t="s">
        <v>1338</v>
      </c>
      <c r="B243" s="325" t="s">
        <v>1995</v>
      </c>
      <c r="C243" s="320" t="s">
        <v>1678</v>
      </c>
      <c r="D243" s="324" t="s">
        <v>1655</v>
      </c>
      <c r="E243" s="320" t="s">
        <v>1384</v>
      </c>
      <c r="F243" s="312"/>
      <c r="G243" s="312"/>
      <c r="H243" s="366">
        <f t="shared" si="87"/>
        <v>0</v>
      </c>
      <c r="I243" s="312"/>
      <c r="J243" s="375">
        <f t="shared" si="88"/>
        <v>0</v>
      </c>
      <c r="K243" s="336">
        <f t="shared" si="89"/>
        <v>0</v>
      </c>
      <c r="L243" s="312"/>
      <c r="M243" s="375">
        <f t="shared" si="90"/>
        <v>0</v>
      </c>
      <c r="N243" s="349">
        <f t="shared" si="91"/>
        <v>0</v>
      </c>
      <c r="O243" s="310"/>
      <c r="P243" s="128" t="s">
        <v>1004</v>
      </c>
      <c r="Q243" s="361">
        <f t="shared" si="92"/>
        <v>0</v>
      </c>
      <c r="R243" s="361">
        <f t="shared" si="93"/>
        <v>0</v>
      </c>
      <c r="S243" s="166"/>
      <c r="T243" s="166"/>
    </row>
    <row r="244" spans="1:20" hidden="1" outlineLevel="1" x14ac:dyDescent="0.25">
      <c r="A244" s="329" t="s">
        <v>1338</v>
      </c>
      <c r="B244" s="325" t="s">
        <v>1995</v>
      </c>
      <c r="C244" s="320" t="s">
        <v>1679</v>
      </c>
      <c r="D244" s="324" t="s">
        <v>1650</v>
      </c>
      <c r="E244" s="320" t="s">
        <v>1384</v>
      </c>
      <c r="F244" s="312"/>
      <c r="G244" s="312"/>
      <c r="H244" s="366">
        <f t="shared" si="87"/>
        <v>0</v>
      </c>
      <c r="I244" s="312"/>
      <c r="J244" s="375">
        <f t="shared" si="88"/>
        <v>0</v>
      </c>
      <c r="K244" s="336">
        <f t="shared" si="89"/>
        <v>0</v>
      </c>
      <c r="L244" s="312"/>
      <c r="M244" s="375">
        <f t="shared" si="90"/>
        <v>0</v>
      </c>
      <c r="N244" s="349">
        <f t="shared" si="91"/>
        <v>0</v>
      </c>
      <c r="O244" s="310"/>
      <c r="P244" s="128" t="s">
        <v>1004</v>
      </c>
      <c r="Q244" s="361">
        <f t="shared" si="92"/>
        <v>0</v>
      </c>
      <c r="R244" s="361">
        <f t="shared" si="93"/>
        <v>0</v>
      </c>
      <c r="S244" s="166"/>
      <c r="T244" s="166"/>
    </row>
    <row r="245" spans="1:20" hidden="1" outlineLevel="1" x14ac:dyDescent="0.25">
      <c r="A245" s="329" t="s">
        <v>1338</v>
      </c>
      <c r="B245" s="325" t="s">
        <v>1995</v>
      </c>
      <c r="C245" s="320" t="s">
        <v>1680</v>
      </c>
      <c r="D245" s="324" t="s">
        <v>1652</v>
      </c>
      <c r="E245" s="320" t="s">
        <v>1384</v>
      </c>
      <c r="F245" s="312"/>
      <c r="G245" s="312"/>
      <c r="H245" s="366">
        <f t="shared" si="87"/>
        <v>0</v>
      </c>
      <c r="I245" s="312"/>
      <c r="J245" s="375">
        <f t="shared" si="88"/>
        <v>0</v>
      </c>
      <c r="K245" s="336">
        <f t="shared" si="89"/>
        <v>0</v>
      </c>
      <c r="L245" s="312"/>
      <c r="M245" s="375">
        <f t="shared" si="90"/>
        <v>0</v>
      </c>
      <c r="N245" s="349">
        <f t="shared" si="91"/>
        <v>0</v>
      </c>
      <c r="O245" s="310"/>
      <c r="P245" s="128" t="s">
        <v>1004</v>
      </c>
      <c r="Q245" s="361">
        <f t="shared" si="92"/>
        <v>0</v>
      </c>
      <c r="R245" s="361">
        <f t="shared" si="93"/>
        <v>0</v>
      </c>
      <c r="S245" s="166"/>
      <c r="T245" s="166"/>
    </row>
    <row r="246" spans="1:20" hidden="1" outlineLevel="1" x14ac:dyDescent="0.25">
      <c r="A246" s="329" t="s">
        <v>1328</v>
      </c>
      <c r="B246" s="325" t="s">
        <v>1995</v>
      </c>
      <c r="C246" s="320" t="s">
        <v>1493</v>
      </c>
      <c r="D246" s="327" t="s">
        <v>1972</v>
      </c>
      <c r="E246" s="320"/>
      <c r="F246" s="317"/>
      <c r="G246" s="317"/>
      <c r="H246" s="366">
        <f t="shared" si="87"/>
        <v>0</v>
      </c>
      <c r="I246" s="318"/>
      <c r="J246" s="375">
        <f t="shared" si="88"/>
        <v>0</v>
      </c>
      <c r="K246" s="336">
        <f t="shared" si="89"/>
        <v>0</v>
      </c>
      <c r="L246" s="318"/>
      <c r="M246" s="375">
        <f t="shared" si="90"/>
        <v>0</v>
      </c>
      <c r="N246" s="349">
        <f t="shared" si="91"/>
        <v>0</v>
      </c>
      <c r="O246" s="319"/>
      <c r="P246" s="128" t="s">
        <v>1004</v>
      </c>
      <c r="Q246" s="361">
        <f t="shared" si="92"/>
        <v>0</v>
      </c>
      <c r="R246" s="361">
        <f t="shared" si="93"/>
        <v>0</v>
      </c>
      <c r="S246" s="166"/>
      <c r="T246" s="166"/>
    </row>
    <row r="247" spans="1:20" hidden="1" outlineLevel="1" x14ac:dyDescent="0.25">
      <c r="A247" s="329" t="s">
        <v>1328</v>
      </c>
      <c r="B247" s="325" t="s">
        <v>1995</v>
      </c>
      <c r="C247" s="320" t="s">
        <v>1656</v>
      </c>
      <c r="D247" s="324" t="s">
        <v>1681</v>
      </c>
      <c r="E247" s="320" t="s">
        <v>1384</v>
      </c>
      <c r="F247" s="312"/>
      <c r="G247" s="312"/>
      <c r="H247" s="366">
        <f t="shared" si="87"/>
        <v>0</v>
      </c>
      <c r="I247" s="312"/>
      <c r="J247" s="375">
        <f t="shared" si="88"/>
        <v>0</v>
      </c>
      <c r="K247" s="336">
        <f t="shared" si="89"/>
        <v>0</v>
      </c>
      <c r="L247" s="312"/>
      <c r="M247" s="375">
        <f t="shared" si="90"/>
        <v>0</v>
      </c>
      <c r="N247" s="349">
        <f t="shared" si="91"/>
        <v>0</v>
      </c>
      <c r="O247" s="310"/>
      <c r="P247" s="128" t="s">
        <v>1004</v>
      </c>
      <c r="Q247" s="361">
        <f t="shared" si="92"/>
        <v>0</v>
      </c>
      <c r="R247" s="361">
        <f t="shared" si="93"/>
        <v>0</v>
      </c>
      <c r="S247" s="166"/>
      <c r="T247" s="166"/>
    </row>
    <row r="248" spans="1:20" hidden="1" outlineLevel="1" x14ac:dyDescent="0.25">
      <c r="A248" s="329" t="s">
        <v>1328</v>
      </c>
      <c r="B248" s="325" t="s">
        <v>1995</v>
      </c>
      <c r="C248" s="320" t="s">
        <v>1658</v>
      </c>
      <c r="D248" s="324" t="s">
        <v>1682</v>
      </c>
      <c r="E248" s="320" t="s">
        <v>1384</v>
      </c>
      <c r="F248" s="312"/>
      <c r="G248" s="312"/>
      <c r="H248" s="366">
        <f t="shared" si="87"/>
        <v>0</v>
      </c>
      <c r="I248" s="312"/>
      <c r="J248" s="375">
        <f t="shared" si="88"/>
        <v>0</v>
      </c>
      <c r="K248" s="336">
        <f t="shared" si="89"/>
        <v>0</v>
      </c>
      <c r="L248" s="312"/>
      <c r="M248" s="375">
        <f t="shared" si="90"/>
        <v>0</v>
      </c>
      <c r="N248" s="349">
        <f t="shared" si="91"/>
        <v>0</v>
      </c>
      <c r="O248" s="310"/>
      <c r="P248" s="128" t="s">
        <v>1004</v>
      </c>
      <c r="Q248" s="361">
        <f t="shared" si="92"/>
        <v>0</v>
      </c>
      <c r="R248" s="361">
        <f t="shared" si="93"/>
        <v>0</v>
      </c>
      <c r="S248" s="166"/>
      <c r="T248" s="166"/>
    </row>
    <row r="249" spans="1:20" hidden="1" outlineLevel="1" x14ac:dyDescent="0.25">
      <c r="A249" s="329" t="s">
        <v>1328</v>
      </c>
      <c r="B249" s="325" t="s">
        <v>1995</v>
      </c>
      <c r="C249" s="320" t="s">
        <v>1660</v>
      </c>
      <c r="D249" s="324" t="s">
        <v>1683</v>
      </c>
      <c r="E249" s="320" t="s">
        <v>1384</v>
      </c>
      <c r="F249" s="312"/>
      <c r="G249" s="312"/>
      <c r="H249" s="366">
        <f t="shared" si="87"/>
        <v>0</v>
      </c>
      <c r="I249" s="312"/>
      <c r="J249" s="375">
        <f t="shared" si="88"/>
        <v>0</v>
      </c>
      <c r="K249" s="336">
        <f t="shared" si="89"/>
        <v>0</v>
      </c>
      <c r="L249" s="312"/>
      <c r="M249" s="375">
        <f t="shared" si="90"/>
        <v>0</v>
      </c>
      <c r="N249" s="349">
        <f t="shared" si="91"/>
        <v>0</v>
      </c>
      <c r="O249" s="310"/>
      <c r="P249" s="128" t="s">
        <v>1004</v>
      </c>
      <c r="Q249" s="361">
        <f t="shared" si="92"/>
        <v>0</v>
      </c>
      <c r="R249" s="361">
        <f t="shared" si="93"/>
        <v>0</v>
      </c>
      <c r="S249" s="166"/>
      <c r="T249" s="166"/>
    </row>
    <row r="250" spans="1:20" hidden="1" outlineLevel="1" x14ac:dyDescent="0.25">
      <c r="A250" s="329" t="s">
        <v>1328</v>
      </c>
      <c r="B250" s="325" t="s">
        <v>1995</v>
      </c>
      <c r="C250" s="320" t="s">
        <v>1684</v>
      </c>
      <c r="D250" s="324" t="s">
        <v>1685</v>
      </c>
      <c r="E250" s="320" t="s">
        <v>1384</v>
      </c>
      <c r="F250" s="312"/>
      <c r="G250" s="312"/>
      <c r="H250" s="366">
        <f t="shared" si="87"/>
        <v>0</v>
      </c>
      <c r="I250" s="312"/>
      <c r="J250" s="375">
        <f t="shared" si="88"/>
        <v>0</v>
      </c>
      <c r="K250" s="336">
        <f t="shared" si="89"/>
        <v>0</v>
      </c>
      <c r="L250" s="312"/>
      <c r="M250" s="375">
        <f t="shared" si="90"/>
        <v>0</v>
      </c>
      <c r="N250" s="349">
        <f t="shared" si="91"/>
        <v>0</v>
      </c>
      <c r="O250" s="310"/>
      <c r="P250" s="128" t="s">
        <v>1004</v>
      </c>
      <c r="Q250" s="361">
        <f t="shared" si="92"/>
        <v>0</v>
      </c>
      <c r="R250" s="361">
        <f t="shared" si="93"/>
        <v>0</v>
      </c>
      <c r="S250" s="166"/>
      <c r="T250" s="166"/>
    </row>
    <row r="251" spans="1:20" hidden="1" outlineLevel="1" x14ac:dyDescent="0.25">
      <c r="A251" s="329" t="s">
        <v>1328</v>
      </c>
      <c r="B251" s="325" t="s">
        <v>1995</v>
      </c>
      <c r="C251" s="320" t="s">
        <v>1686</v>
      </c>
      <c r="D251" s="324" t="s">
        <v>1655</v>
      </c>
      <c r="E251" s="320" t="s">
        <v>1384</v>
      </c>
      <c r="F251" s="312"/>
      <c r="G251" s="312"/>
      <c r="H251" s="366">
        <f t="shared" si="87"/>
        <v>0</v>
      </c>
      <c r="I251" s="312"/>
      <c r="J251" s="375">
        <f t="shared" si="88"/>
        <v>0</v>
      </c>
      <c r="K251" s="336">
        <f t="shared" si="89"/>
        <v>0</v>
      </c>
      <c r="L251" s="312"/>
      <c r="M251" s="375">
        <f t="shared" si="90"/>
        <v>0</v>
      </c>
      <c r="N251" s="349">
        <f t="shared" si="91"/>
        <v>0</v>
      </c>
      <c r="O251" s="310"/>
      <c r="P251" s="128" t="s">
        <v>1004</v>
      </c>
      <c r="Q251" s="361">
        <f t="shared" si="92"/>
        <v>0</v>
      </c>
      <c r="R251" s="361">
        <f t="shared" si="93"/>
        <v>0</v>
      </c>
      <c r="S251" s="166"/>
      <c r="T251" s="166"/>
    </row>
    <row r="252" spans="1:20" hidden="1" outlineLevel="1" x14ac:dyDescent="0.25">
      <c r="A252" s="329" t="s">
        <v>1328</v>
      </c>
      <c r="B252" s="325" t="s">
        <v>1995</v>
      </c>
      <c r="C252" s="320" t="s">
        <v>1687</v>
      </c>
      <c r="D252" s="324" t="s">
        <v>1674</v>
      </c>
      <c r="E252" s="320" t="s">
        <v>1384</v>
      </c>
      <c r="F252" s="312"/>
      <c r="G252" s="312"/>
      <c r="H252" s="366">
        <f t="shared" si="87"/>
        <v>0</v>
      </c>
      <c r="I252" s="312"/>
      <c r="J252" s="375">
        <f t="shared" si="88"/>
        <v>0</v>
      </c>
      <c r="K252" s="336">
        <f t="shared" si="89"/>
        <v>0</v>
      </c>
      <c r="L252" s="312"/>
      <c r="M252" s="375">
        <f t="shared" si="90"/>
        <v>0</v>
      </c>
      <c r="N252" s="349">
        <f t="shared" si="91"/>
        <v>0</v>
      </c>
      <c r="O252" s="310"/>
      <c r="P252" s="128" t="s">
        <v>1004</v>
      </c>
      <c r="Q252" s="361">
        <f t="shared" si="92"/>
        <v>0</v>
      </c>
      <c r="R252" s="361">
        <f t="shared" si="93"/>
        <v>0</v>
      </c>
      <c r="S252" s="166"/>
      <c r="T252" s="166"/>
    </row>
    <row r="253" spans="1:20" hidden="1" outlineLevel="1" x14ac:dyDescent="0.25">
      <c r="A253" s="329" t="s">
        <v>1328</v>
      </c>
      <c r="B253" s="325" t="s">
        <v>1995</v>
      </c>
      <c r="C253" s="320" t="s">
        <v>1688</v>
      </c>
      <c r="D253" s="324" t="s">
        <v>1675</v>
      </c>
      <c r="E253" s="320" t="s">
        <v>1384</v>
      </c>
      <c r="F253" s="312"/>
      <c r="G253" s="312"/>
      <c r="H253" s="366">
        <f t="shared" si="87"/>
        <v>0</v>
      </c>
      <c r="I253" s="312"/>
      <c r="J253" s="375">
        <f t="shared" si="88"/>
        <v>0</v>
      </c>
      <c r="K253" s="336">
        <f t="shared" si="89"/>
        <v>0</v>
      </c>
      <c r="L253" s="312"/>
      <c r="M253" s="375">
        <f t="shared" si="90"/>
        <v>0</v>
      </c>
      <c r="N253" s="349">
        <f t="shared" si="91"/>
        <v>0</v>
      </c>
      <c r="O253" s="310"/>
      <c r="P253" s="128" t="s">
        <v>1004</v>
      </c>
      <c r="Q253" s="361">
        <f t="shared" si="92"/>
        <v>0</v>
      </c>
      <c r="R253" s="361">
        <f t="shared" si="93"/>
        <v>0</v>
      </c>
      <c r="S253" s="166"/>
      <c r="T253" s="166"/>
    </row>
    <row r="254" spans="1:20" hidden="1" outlineLevel="1" x14ac:dyDescent="0.25">
      <c r="A254" s="329" t="s">
        <v>1328</v>
      </c>
      <c r="B254" s="325" t="s">
        <v>1995</v>
      </c>
      <c r="C254" s="320" t="s">
        <v>1689</v>
      </c>
      <c r="D254" s="324" t="s">
        <v>1690</v>
      </c>
      <c r="E254" s="320" t="s">
        <v>1384</v>
      </c>
      <c r="F254" s="312"/>
      <c r="G254" s="312"/>
      <c r="H254" s="366">
        <f t="shared" si="87"/>
        <v>0</v>
      </c>
      <c r="I254" s="312"/>
      <c r="J254" s="375">
        <f t="shared" si="88"/>
        <v>0</v>
      </c>
      <c r="K254" s="336">
        <f t="shared" si="89"/>
        <v>0</v>
      </c>
      <c r="L254" s="312"/>
      <c r="M254" s="375">
        <f t="shared" si="90"/>
        <v>0</v>
      </c>
      <c r="N254" s="349">
        <f t="shared" si="91"/>
        <v>0</v>
      </c>
      <c r="O254" s="310"/>
      <c r="P254" s="128" t="s">
        <v>1004</v>
      </c>
      <c r="Q254" s="361">
        <f t="shared" si="92"/>
        <v>0</v>
      </c>
      <c r="R254" s="361">
        <f t="shared" si="93"/>
        <v>0</v>
      </c>
      <c r="S254" s="166"/>
      <c r="T254" s="166"/>
    </row>
    <row r="255" spans="1:20" hidden="1" outlineLevel="1" x14ac:dyDescent="0.25">
      <c r="A255" s="329" t="s">
        <v>1328</v>
      </c>
      <c r="B255" s="325" t="s">
        <v>1995</v>
      </c>
      <c r="C255" s="320" t="s">
        <v>1691</v>
      </c>
      <c r="D255" s="324" t="s">
        <v>1657</v>
      </c>
      <c r="E255" s="320" t="s">
        <v>1384</v>
      </c>
      <c r="F255" s="312"/>
      <c r="G255" s="312"/>
      <c r="H255" s="366">
        <f t="shared" si="87"/>
        <v>0</v>
      </c>
      <c r="I255" s="312"/>
      <c r="J255" s="375">
        <f t="shared" si="88"/>
        <v>0</v>
      </c>
      <c r="K255" s="336">
        <f t="shared" si="89"/>
        <v>0</v>
      </c>
      <c r="L255" s="312"/>
      <c r="M255" s="375">
        <f t="shared" si="90"/>
        <v>0</v>
      </c>
      <c r="N255" s="349">
        <f t="shared" si="91"/>
        <v>0</v>
      </c>
      <c r="O255" s="310"/>
      <c r="P255" s="128" t="s">
        <v>1004</v>
      </c>
      <c r="Q255" s="361">
        <f t="shared" si="92"/>
        <v>0</v>
      </c>
      <c r="R255" s="361">
        <f t="shared" si="93"/>
        <v>0</v>
      </c>
      <c r="S255" s="166"/>
      <c r="T255" s="166"/>
    </row>
    <row r="256" spans="1:20" hidden="1" outlineLevel="1" x14ac:dyDescent="0.25">
      <c r="A256" s="329" t="s">
        <v>1328</v>
      </c>
      <c r="B256" s="325" t="s">
        <v>1995</v>
      </c>
      <c r="C256" s="320" t="s">
        <v>1692</v>
      </c>
      <c r="D256" s="324" t="s">
        <v>1659</v>
      </c>
      <c r="E256" s="320" t="s">
        <v>1384</v>
      </c>
      <c r="F256" s="312"/>
      <c r="G256" s="312"/>
      <c r="H256" s="366">
        <f t="shared" si="87"/>
        <v>0</v>
      </c>
      <c r="I256" s="312"/>
      <c r="J256" s="375">
        <f t="shared" si="88"/>
        <v>0</v>
      </c>
      <c r="K256" s="336">
        <f t="shared" si="89"/>
        <v>0</v>
      </c>
      <c r="L256" s="312"/>
      <c r="M256" s="375">
        <f t="shared" si="90"/>
        <v>0</v>
      </c>
      <c r="N256" s="349">
        <f t="shared" si="91"/>
        <v>0</v>
      </c>
      <c r="O256" s="310"/>
      <c r="P256" s="128" t="s">
        <v>1004</v>
      </c>
      <c r="Q256" s="361">
        <f t="shared" si="92"/>
        <v>0</v>
      </c>
      <c r="R256" s="361">
        <f t="shared" si="93"/>
        <v>0</v>
      </c>
      <c r="S256" s="166"/>
      <c r="T256" s="166"/>
    </row>
    <row r="257" spans="1:20" hidden="1" outlineLevel="1" x14ac:dyDescent="0.25">
      <c r="A257" s="331" t="s">
        <v>1022</v>
      </c>
      <c r="B257" s="314" t="s">
        <v>1995</v>
      </c>
      <c r="C257" s="315"/>
      <c r="D257" s="326" t="s">
        <v>1950</v>
      </c>
      <c r="E257" s="315"/>
      <c r="F257" s="313"/>
      <c r="G257" s="313"/>
      <c r="H257" s="367"/>
      <c r="I257" s="313"/>
      <c r="J257" s="362">
        <f>SUM(J214:J256)</f>
        <v>0</v>
      </c>
      <c r="K257" s="338">
        <f>SUM(K214:K256)</f>
        <v>0</v>
      </c>
      <c r="L257" s="313"/>
      <c r="M257" s="362">
        <f>SUM(M214:M256)</f>
        <v>0</v>
      </c>
      <c r="N257" s="338">
        <f>SUM(N214:N256)</f>
        <v>0</v>
      </c>
      <c r="O257" s="314"/>
      <c r="P257" s="128"/>
      <c r="Q257" s="362">
        <f>SUM(Q214:Q256)</f>
        <v>0</v>
      </c>
      <c r="R257" s="362">
        <f>SUM(R214:R256)</f>
        <v>0</v>
      </c>
      <c r="S257" s="166"/>
      <c r="T257" s="166"/>
    </row>
    <row r="258" spans="1:20" hidden="1" outlineLevel="1" x14ac:dyDescent="0.25">
      <c r="A258" s="329" t="s">
        <v>1328</v>
      </c>
      <c r="B258" s="325" t="s">
        <v>1997</v>
      </c>
      <c r="C258" s="320" t="s">
        <v>1495</v>
      </c>
      <c r="D258" s="327" t="s">
        <v>1973</v>
      </c>
      <c r="E258" s="319"/>
      <c r="F258" s="317"/>
      <c r="G258" s="317"/>
      <c r="H258" s="366">
        <f t="shared" ref="H258:H266" si="94">+SUM(F258:G258)</f>
        <v>0</v>
      </c>
      <c r="I258" s="318"/>
      <c r="J258" s="375">
        <f t="shared" ref="J258:J266" si="95">+ROUND(I258*H258,2)</f>
        <v>0</v>
      </c>
      <c r="K258" s="337">
        <f t="shared" ref="K258:K266" si="96">J258</f>
        <v>0</v>
      </c>
      <c r="L258" s="318"/>
      <c r="M258" s="375">
        <f t="shared" ref="M258:M266" si="97">+ROUND(L258*H258,2)</f>
        <v>0</v>
      </c>
      <c r="N258" s="350">
        <f t="shared" ref="N258:N266" si="98">M258</f>
        <v>0</v>
      </c>
      <c r="O258" s="319"/>
      <c r="P258" s="128" t="s">
        <v>1004</v>
      </c>
      <c r="Q258" s="361">
        <f t="shared" ref="Q258:Q266" si="99">+ROUND((K258)*(1+SUMIF($Q$2:$Q$4,P258,$R$2:$R$4)),0)</f>
        <v>0</v>
      </c>
      <c r="R258" s="361">
        <f t="shared" ref="R258:R266" si="100">+ROUND((N258)*(1+SUMIF($Q$2:$Q$4,P258,$R$2:$R$4)),0)</f>
        <v>0</v>
      </c>
      <c r="S258" s="166"/>
      <c r="T258" s="166"/>
    </row>
    <row r="259" spans="1:20" hidden="1" outlineLevel="1" x14ac:dyDescent="0.25">
      <c r="A259" s="329" t="s">
        <v>1328</v>
      </c>
      <c r="B259" s="325" t="s">
        <v>1997</v>
      </c>
      <c r="C259" s="320" t="s">
        <v>1661</v>
      </c>
      <c r="D259" s="324" t="s">
        <v>1662</v>
      </c>
      <c r="E259" s="320" t="s">
        <v>1384</v>
      </c>
      <c r="F259" s="312"/>
      <c r="G259" s="312"/>
      <c r="H259" s="366">
        <f t="shared" si="94"/>
        <v>0</v>
      </c>
      <c r="I259" s="312"/>
      <c r="J259" s="375">
        <f t="shared" si="95"/>
        <v>0</v>
      </c>
      <c r="K259" s="336">
        <f t="shared" si="96"/>
        <v>0</v>
      </c>
      <c r="L259" s="312"/>
      <c r="M259" s="375">
        <f t="shared" si="97"/>
        <v>0</v>
      </c>
      <c r="N259" s="349">
        <f t="shared" si="98"/>
        <v>0</v>
      </c>
      <c r="O259" s="310"/>
      <c r="P259" s="128" t="s">
        <v>1004</v>
      </c>
      <c r="Q259" s="361">
        <f t="shared" si="99"/>
        <v>0</v>
      </c>
      <c r="R259" s="361">
        <f t="shared" si="100"/>
        <v>0</v>
      </c>
      <c r="S259" s="166"/>
      <c r="T259" s="166"/>
    </row>
    <row r="260" spans="1:20" hidden="1" outlineLevel="1" x14ac:dyDescent="0.25">
      <c r="A260" s="329" t="s">
        <v>1328</v>
      </c>
      <c r="B260" s="325" t="s">
        <v>1997</v>
      </c>
      <c r="C260" s="320" t="s">
        <v>1663</v>
      </c>
      <c r="D260" s="324" t="s">
        <v>1987</v>
      </c>
      <c r="E260" s="320" t="s">
        <v>1384</v>
      </c>
      <c r="F260" s="312"/>
      <c r="G260" s="312"/>
      <c r="H260" s="366">
        <f t="shared" si="94"/>
        <v>0</v>
      </c>
      <c r="I260" s="312"/>
      <c r="J260" s="375">
        <f t="shared" si="95"/>
        <v>0</v>
      </c>
      <c r="K260" s="336">
        <f t="shared" si="96"/>
        <v>0</v>
      </c>
      <c r="L260" s="312"/>
      <c r="M260" s="375">
        <f t="shared" si="97"/>
        <v>0</v>
      </c>
      <c r="N260" s="349">
        <f t="shared" si="98"/>
        <v>0</v>
      </c>
      <c r="O260" s="310"/>
      <c r="P260" s="128" t="s">
        <v>1004</v>
      </c>
      <c r="Q260" s="361">
        <f t="shared" si="99"/>
        <v>0</v>
      </c>
      <c r="R260" s="361">
        <f t="shared" si="100"/>
        <v>0</v>
      </c>
      <c r="S260" s="166"/>
      <c r="T260" s="166"/>
    </row>
    <row r="261" spans="1:20" hidden="1" outlineLevel="1" x14ac:dyDescent="0.25">
      <c r="A261" s="329" t="s">
        <v>1328</v>
      </c>
      <c r="B261" s="325" t="s">
        <v>1997</v>
      </c>
      <c r="C261" s="320" t="s">
        <v>1665</v>
      </c>
      <c r="D261" s="327" t="s">
        <v>1693</v>
      </c>
      <c r="E261" s="320" t="s">
        <v>1384</v>
      </c>
      <c r="F261" s="312"/>
      <c r="G261" s="312"/>
      <c r="H261" s="366">
        <f t="shared" si="94"/>
        <v>0</v>
      </c>
      <c r="I261" s="312"/>
      <c r="J261" s="375">
        <f t="shared" si="95"/>
        <v>0</v>
      </c>
      <c r="K261" s="336">
        <f t="shared" si="96"/>
        <v>0</v>
      </c>
      <c r="L261" s="312"/>
      <c r="M261" s="375">
        <f t="shared" si="97"/>
        <v>0</v>
      </c>
      <c r="N261" s="349">
        <f t="shared" si="98"/>
        <v>0</v>
      </c>
      <c r="O261" s="310"/>
      <c r="P261" s="128" t="s">
        <v>1004</v>
      </c>
      <c r="Q261" s="361">
        <f t="shared" si="99"/>
        <v>0</v>
      </c>
      <c r="R261" s="361">
        <f t="shared" si="100"/>
        <v>0</v>
      </c>
      <c r="S261" s="166"/>
      <c r="T261" s="166"/>
    </row>
    <row r="262" spans="1:20" hidden="1" outlineLevel="1" x14ac:dyDescent="0.25">
      <c r="A262" s="329" t="s">
        <v>1328</v>
      </c>
      <c r="B262" s="325" t="s">
        <v>1997</v>
      </c>
      <c r="C262" s="320" t="s">
        <v>1694</v>
      </c>
      <c r="D262" s="327" t="s">
        <v>1969</v>
      </c>
      <c r="E262" s="320" t="s">
        <v>1384</v>
      </c>
      <c r="F262" s="312"/>
      <c r="G262" s="312"/>
      <c r="H262" s="366">
        <f t="shared" si="94"/>
        <v>0</v>
      </c>
      <c r="I262" s="312"/>
      <c r="J262" s="375">
        <f t="shared" si="95"/>
        <v>0</v>
      </c>
      <c r="K262" s="336">
        <f t="shared" si="96"/>
        <v>0</v>
      </c>
      <c r="L262" s="312"/>
      <c r="M262" s="375">
        <f t="shared" si="97"/>
        <v>0</v>
      </c>
      <c r="N262" s="349">
        <f t="shared" si="98"/>
        <v>0</v>
      </c>
      <c r="O262" s="310"/>
      <c r="P262" s="128" t="s">
        <v>1004</v>
      </c>
      <c r="Q262" s="361">
        <f t="shared" si="99"/>
        <v>0</v>
      </c>
      <c r="R262" s="361">
        <f t="shared" si="100"/>
        <v>0</v>
      </c>
      <c r="S262" s="166"/>
      <c r="T262" s="166"/>
    </row>
    <row r="263" spans="1:20" hidden="1" outlineLevel="1" x14ac:dyDescent="0.25">
      <c r="A263" s="329" t="s">
        <v>1328</v>
      </c>
      <c r="B263" s="325" t="s">
        <v>1997</v>
      </c>
      <c r="C263" s="320" t="s">
        <v>1696</v>
      </c>
      <c r="D263" s="327" t="s">
        <v>1946</v>
      </c>
      <c r="E263" s="320"/>
      <c r="F263" s="317"/>
      <c r="G263" s="317"/>
      <c r="H263" s="366">
        <f t="shared" si="94"/>
        <v>0</v>
      </c>
      <c r="I263" s="318"/>
      <c r="J263" s="375">
        <f t="shared" si="95"/>
        <v>0</v>
      </c>
      <c r="K263" s="336">
        <f t="shared" si="96"/>
        <v>0</v>
      </c>
      <c r="L263" s="318"/>
      <c r="M263" s="375">
        <f t="shared" si="97"/>
        <v>0</v>
      </c>
      <c r="N263" s="349">
        <f t="shared" si="98"/>
        <v>0</v>
      </c>
      <c r="O263" s="319"/>
      <c r="P263" s="128" t="s">
        <v>1004</v>
      </c>
      <c r="Q263" s="361">
        <f t="shared" si="99"/>
        <v>0</v>
      </c>
      <c r="R263" s="361">
        <f t="shared" si="100"/>
        <v>0</v>
      </c>
      <c r="S263" s="166"/>
      <c r="T263" s="166"/>
    </row>
    <row r="264" spans="1:20" hidden="1" outlineLevel="1" x14ac:dyDescent="0.25">
      <c r="A264" s="329" t="s">
        <v>1328</v>
      </c>
      <c r="B264" s="325" t="s">
        <v>1997</v>
      </c>
      <c r="C264" s="320" t="s">
        <v>1627</v>
      </c>
      <c r="D264" s="324" t="s">
        <v>1947</v>
      </c>
      <c r="E264" s="320" t="s">
        <v>1384</v>
      </c>
      <c r="F264" s="312"/>
      <c r="G264" s="312"/>
      <c r="H264" s="366">
        <f t="shared" si="94"/>
        <v>0</v>
      </c>
      <c r="I264" s="312"/>
      <c r="J264" s="375">
        <f t="shared" si="95"/>
        <v>0</v>
      </c>
      <c r="K264" s="336">
        <f t="shared" si="96"/>
        <v>0</v>
      </c>
      <c r="L264" s="312"/>
      <c r="M264" s="375">
        <f t="shared" si="97"/>
        <v>0</v>
      </c>
      <c r="N264" s="349">
        <f t="shared" si="98"/>
        <v>0</v>
      </c>
      <c r="O264" s="310"/>
      <c r="P264" s="128" t="s">
        <v>1004</v>
      </c>
      <c r="Q264" s="361">
        <f t="shared" si="99"/>
        <v>0</v>
      </c>
      <c r="R264" s="361">
        <f t="shared" si="100"/>
        <v>0</v>
      </c>
      <c r="S264" s="166"/>
      <c r="T264" s="166"/>
    </row>
    <row r="265" spans="1:20" hidden="1" outlineLevel="1" x14ac:dyDescent="0.25">
      <c r="A265" s="329" t="s">
        <v>1328</v>
      </c>
      <c r="B265" s="325" t="s">
        <v>1997</v>
      </c>
      <c r="C265" s="320" t="s">
        <v>1948</v>
      </c>
      <c r="D265" s="324" t="s">
        <v>1947</v>
      </c>
      <c r="E265" s="320" t="s">
        <v>1384</v>
      </c>
      <c r="F265" s="312"/>
      <c r="G265" s="312"/>
      <c r="H265" s="366">
        <f t="shared" si="94"/>
        <v>0</v>
      </c>
      <c r="I265" s="312"/>
      <c r="J265" s="375">
        <f t="shared" si="95"/>
        <v>0</v>
      </c>
      <c r="K265" s="336">
        <f t="shared" si="96"/>
        <v>0</v>
      </c>
      <c r="L265" s="312"/>
      <c r="M265" s="375">
        <f t="shared" si="97"/>
        <v>0</v>
      </c>
      <c r="N265" s="349">
        <f t="shared" si="98"/>
        <v>0</v>
      </c>
      <c r="O265" s="310"/>
      <c r="P265" s="128" t="s">
        <v>1004</v>
      </c>
      <c r="Q265" s="361">
        <f t="shared" si="99"/>
        <v>0</v>
      </c>
      <c r="R265" s="361">
        <f t="shared" si="100"/>
        <v>0</v>
      </c>
      <c r="S265" s="166"/>
      <c r="T265" s="166"/>
    </row>
    <row r="266" spans="1:20" hidden="1" outlineLevel="1" x14ac:dyDescent="0.25">
      <c r="A266" s="329" t="s">
        <v>1328</v>
      </c>
      <c r="B266" s="325" t="s">
        <v>1997</v>
      </c>
      <c r="C266" s="320" t="s">
        <v>1949</v>
      </c>
      <c r="D266" s="324" t="s">
        <v>1947</v>
      </c>
      <c r="E266" s="320" t="s">
        <v>1384</v>
      </c>
      <c r="F266" s="312"/>
      <c r="G266" s="312"/>
      <c r="H266" s="366">
        <f t="shared" si="94"/>
        <v>0</v>
      </c>
      <c r="I266" s="312"/>
      <c r="J266" s="375">
        <f t="shared" si="95"/>
        <v>0</v>
      </c>
      <c r="K266" s="336">
        <f t="shared" si="96"/>
        <v>0</v>
      </c>
      <c r="L266" s="312"/>
      <c r="M266" s="375">
        <f t="shared" si="97"/>
        <v>0</v>
      </c>
      <c r="N266" s="349">
        <f t="shared" si="98"/>
        <v>0</v>
      </c>
      <c r="O266" s="310"/>
      <c r="P266" s="128" t="s">
        <v>1004</v>
      </c>
      <c r="Q266" s="361">
        <f t="shared" si="99"/>
        <v>0</v>
      </c>
      <c r="R266" s="361">
        <f t="shared" si="100"/>
        <v>0</v>
      </c>
      <c r="S266" s="166"/>
      <c r="T266" s="166"/>
    </row>
    <row r="267" spans="1:20" hidden="1" outlineLevel="1" x14ac:dyDescent="0.25">
      <c r="A267" s="331" t="s">
        <v>1022</v>
      </c>
      <c r="B267" s="314" t="s">
        <v>1997</v>
      </c>
      <c r="C267" s="315"/>
      <c r="D267" s="326" t="s">
        <v>1950</v>
      </c>
      <c r="E267" s="315"/>
      <c r="F267" s="313"/>
      <c r="G267" s="313"/>
      <c r="H267" s="367"/>
      <c r="I267" s="313"/>
      <c r="J267" s="362">
        <f>SUM(J258:J266)</f>
        <v>0</v>
      </c>
      <c r="K267" s="338">
        <f>SUM(K258:K266)</f>
        <v>0</v>
      </c>
      <c r="L267" s="313"/>
      <c r="M267" s="362">
        <f>SUM(M258:M266)</f>
        <v>0</v>
      </c>
      <c r="N267" s="338">
        <f>SUM(N258:N266)</f>
        <v>0</v>
      </c>
      <c r="O267" s="314"/>
      <c r="P267" s="128"/>
      <c r="Q267" s="362">
        <f>SUM(Q258:Q266)</f>
        <v>0</v>
      </c>
      <c r="R267" s="362">
        <f>SUM(R258:R266)</f>
        <v>0</v>
      </c>
      <c r="S267" s="166"/>
      <c r="T267" s="166"/>
    </row>
    <row r="268" spans="1:20" hidden="1" outlineLevel="1" x14ac:dyDescent="0.25">
      <c r="A268" s="329" t="s">
        <v>1354</v>
      </c>
      <c r="B268" s="325" t="s">
        <v>1998</v>
      </c>
      <c r="C268" s="320">
        <v>4</v>
      </c>
      <c r="D268" s="327" t="s">
        <v>1975</v>
      </c>
      <c r="E268" s="320"/>
      <c r="F268" s="317"/>
      <c r="G268" s="317"/>
      <c r="H268" s="366">
        <f t="shared" ref="H268:H281" si="101">+SUM(F268:G268)</f>
        <v>0</v>
      </c>
      <c r="I268" s="318"/>
      <c r="J268" s="375">
        <f t="shared" ref="J268:J281" si="102">+ROUND(I268*H268,2)</f>
        <v>0</v>
      </c>
      <c r="K268" s="336">
        <f t="shared" ref="K268:K281" si="103">J268</f>
        <v>0</v>
      </c>
      <c r="L268" s="318"/>
      <c r="M268" s="375">
        <f t="shared" ref="M268:M281" si="104">+ROUND(L268*H268,2)</f>
        <v>0</v>
      </c>
      <c r="N268" s="349">
        <f t="shared" ref="N268:N281" si="105">M268</f>
        <v>0</v>
      </c>
      <c r="O268" s="319"/>
      <c r="P268" s="128" t="s">
        <v>1004</v>
      </c>
      <c r="Q268" s="361">
        <f t="shared" ref="Q268:Q281" si="106">+ROUND((K268)*(1+SUMIF($Q$2:$Q$4,P268,$R$2:$R$4)),0)</f>
        <v>0</v>
      </c>
      <c r="R268" s="361">
        <f t="shared" ref="R268:R281" si="107">+ROUND((N268)*(1+SUMIF($Q$2:$Q$4,P268,$R$2:$R$4)),0)</f>
        <v>0</v>
      </c>
      <c r="S268" s="166"/>
      <c r="T268" s="166"/>
    </row>
    <row r="269" spans="1:20" hidden="1" outlineLevel="1" x14ac:dyDescent="0.25">
      <c r="A269" s="329" t="s">
        <v>1354</v>
      </c>
      <c r="B269" s="325" t="s">
        <v>1998</v>
      </c>
      <c r="C269" s="320">
        <v>4.0999999999999996</v>
      </c>
      <c r="D269" s="327" t="s">
        <v>1976</v>
      </c>
      <c r="E269" s="320"/>
      <c r="F269" s="317"/>
      <c r="G269" s="317"/>
      <c r="H269" s="366">
        <f t="shared" si="101"/>
        <v>0</v>
      </c>
      <c r="I269" s="318"/>
      <c r="J269" s="375">
        <f t="shared" si="102"/>
        <v>0</v>
      </c>
      <c r="K269" s="336">
        <f t="shared" si="103"/>
        <v>0</v>
      </c>
      <c r="L269" s="318"/>
      <c r="M269" s="375">
        <f t="shared" si="104"/>
        <v>0</v>
      </c>
      <c r="N269" s="349">
        <f t="shared" si="105"/>
        <v>0</v>
      </c>
      <c r="O269" s="319"/>
      <c r="P269" s="128" t="s">
        <v>1004</v>
      </c>
      <c r="Q269" s="361">
        <f t="shared" si="106"/>
        <v>0</v>
      </c>
      <c r="R269" s="361">
        <f t="shared" si="107"/>
        <v>0</v>
      </c>
      <c r="S269" s="166"/>
      <c r="T269" s="166"/>
    </row>
    <row r="270" spans="1:20" hidden="1" outlineLevel="1" x14ac:dyDescent="0.25">
      <c r="A270" s="329" t="s">
        <v>1354</v>
      </c>
      <c r="B270" s="325" t="s">
        <v>1998</v>
      </c>
      <c r="C270" s="320" t="s">
        <v>1506</v>
      </c>
      <c r="D270" s="324" t="s">
        <v>1666</v>
      </c>
      <c r="E270" s="320" t="s">
        <v>1384</v>
      </c>
      <c r="F270" s="312"/>
      <c r="G270" s="312"/>
      <c r="H270" s="366">
        <f t="shared" si="101"/>
        <v>0</v>
      </c>
      <c r="I270" s="312"/>
      <c r="J270" s="375">
        <f t="shared" si="102"/>
        <v>0</v>
      </c>
      <c r="K270" s="336">
        <f t="shared" si="103"/>
        <v>0</v>
      </c>
      <c r="L270" s="312"/>
      <c r="M270" s="375">
        <f t="shared" si="104"/>
        <v>0</v>
      </c>
      <c r="N270" s="349">
        <f t="shared" si="105"/>
        <v>0</v>
      </c>
      <c r="O270" s="310"/>
      <c r="P270" s="128" t="s">
        <v>1004</v>
      </c>
      <c r="Q270" s="361">
        <f t="shared" si="106"/>
        <v>0</v>
      </c>
      <c r="R270" s="361">
        <f t="shared" si="107"/>
        <v>0</v>
      </c>
      <c r="S270" s="166"/>
      <c r="T270" s="166"/>
    </row>
    <row r="271" spans="1:20" ht="24" hidden="1" outlineLevel="1" x14ac:dyDescent="0.25">
      <c r="A271" s="329" t="s">
        <v>1354</v>
      </c>
      <c r="B271" s="325" t="s">
        <v>1998</v>
      </c>
      <c r="C271" s="320" t="s">
        <v>1508</v>
      </c>
      <c r="D271" s="324" t="s">
        <v>1667</v>
      </c>
      <c r="E271" s="320" t="s">
        <v>1384</v>
      </c>
      <c r="F271" s="312"/>
      <c r="G271" s="312"/>
      <c r="H271" s="366">
        <f t="shared" si="101"/>
        <v>0</v>
      </c>
      <c r="I271" s="312"/>
      <c r="J271" s="375">
        <f t="shared" si="102"/>
        <v>0</v>
      </c>
      <c r="K271" s="336">
        <f t="shared" si="103"/>
        <v>0</v>
      </c>
      <c r="L271" s="312"/>
      <c r="M271" s="375">
        <f t="shared" si="104"/>
        <v>0</v>
      </c>
      <c r="N271" s="349">
        <f t="shared" si="105"/>
        <v>0</v>
      </c>
      <c r="O271" s="310"/>
      <c r="P271" s="128" t="s">
        <v>1004</v>
      </c>
      <c r="Q271" s="361">
        <f t="shared" si="106"/>
        <v>0</v>
      </c>
      <c r="R271" s="361">
        <f t="shared" si="107"/>
        <v>0</v>
      </c>
      <c r="S271" s="166"/>
      <c r="T271" s="166"/>
    </row>
    <row r="272" spans="1:20" hidden="1" outlineLevel="1" x14ac:dyDescent="0.25">
      <c r="A272" s="329" t="s">
        <v>1354</v>
      </c>
      <c r="B272" s="325" t="s">
        <v>1998</v>
      </c>
      <c r="C272" s="320">
        <v>4.2</v>
      </c>
      <c r="D272" s="327" t="s">
        <v>1668</v>
      </c>
      <c r="E272" s="320" t="s">
        <v>1384</v>
      </c>
      <c r="F272" s="312"/>
      <c r="G272" s="312"/>
      <c r="H272" s="366">
        <f t="shared" si="101"/>
        <v>0</v>
      </c>
      <c r="I272" s="312"/>
      <c r="J272" s="375">
        <f t="shared" si="102"/>
        <v>0</v>
      </c>
      <c r="K272" s="336">
        <f t="shared" si="103"/>
        <v>0</v>
      </c>
      <c r="L272" s="312"/>
      <c r="M272" s="375">
        <f t="shared" si="104"/>
        <v>0</v>
      </c>
      <c r="N272" s="349">
        <f t="shared" si="105"/>
        <v>0</v>
      </c>
      <c r="O272" s="310"/>
      <c r="P272" s="128" t="s">
        <v>1004</v>
      </c>
      <c r="Q272" s="361">
        <f t="shared" si="106"/>
        <v>0</v>
      </c>
      <c r="R272" s="361">
        <f t="shared" si="107"/>
        <v>0</v>
      </c>
      <c r="S272" s="166"/>
      <c r="T272" s="166"/>
    </row>
    <row r="273" spans="1:20" hidden="1" outlineLevel="1" x14ac:dyDescent="0.25">
      <c r="A273" s="329" t="s">
        <v>1354</v>
      </c>
      <c r="B273" s="325" t="s">
        <v>1998</v>
      </c>
      <c r="C273" s="320">
        <v>4.3</v>
      </c>
      <c r="D273" s="327" t="s">
        <v>1977</v>
      </c>
      <c r="E273" s="320"/>
      <c r="F273" s="317"/>
      <c r="G273" s="317"/>
      <c r="H273" s="366">
        <f t="shared" si="101"/>
        <v>0</v>
      </c>
      <c r="I273" s="318"/>
      <c r="J273" s="375">
        <f t="shared" si="102"/>
        <v>0</v>
      </c>
      <c r="K273" s="336">
        <f t="shared" si="103"/>
        <v>0</v>
      </c>
      <c r="L273" s="318"/>
      <c r="M273" s="375">
        <f t="shared" si="104"/>
        <v>0</v>
      </c>
      <c r="N273" s="349">
        <f t="shared" si="105"/>
        <v>0</v>
      </c>
      <c r="O273" s="319"/>
      <c r="P273" s="128" t="s">
        <v>1004</v>
      </c>
      <c r="Q273" s="361">
        <f t="shared" si="106"/>
        <v>0</v>
      </c>
      <c r="R273" s="361">
        <f t="shared" si="107"/>
        <v>0</v>
      </c>
      <c r="S273" s="166"/>
      <c r="T273" s="166"/>
    </row>
    <row r="274" spans="1:20" hidden="1" outlineLevel="1" x14ac:dyDescent="0.25">
      <c r="A274" s="329" t="s">
        <v>1354</v>
      </c>
      <c r="B274" s="325" t="s">
        <v>1998</v>
      </c>
      <c r="C274" s="320" t="s">
        <v>1516</v>
      </c>
      <c r="D274" s="324" t="s">
        <v>1990</v>
      </c>
      <c r="E274" s="320" t="s">
        <v>1384</v>
      </c>
      <c r="F274" s="312"/>
      <c r="G274" s="312"/>
      <c r="H274" s="366">
        <f t="shared" si="101"/>
        <v>0</v>
      </c>
      <c r="I274" s="312"/>
      <c r="J274" s="375">
        <f t="shared" si="102"/>
        <v>0</v>
      </c>
      <c r="K274" s="336">
        <f t="shared" si="103"/>
        <v>0</v>
      </c>
      <c r="L274" s="312"/>
      <c r="M274" s="375">
        <f t="shared" si="104"/>
        <v>0</v>
      </c>
      <c r="N274" s="349">
        <f t="shared" si="105"/>
        <v>0</v>
      </c>
      <c r="O274" s="310"/>
      <c r="P274" s="128" t="s">
        <v>1004</v>
      </c>
      <c r="Q274" s="361">
        <f t="shared" si="106"/>
        <v>0</v>
      </c>
      <c r="R274" s="361">
        <f t="shared" si="107"/>
        <v>0</v>
      </c>
      <c r="S274" s="166"/>
      <c r="T274" s="166"/>
    </row>
    <row r="275" spans="1:20" hidden="1" outlineLevel="1" x14ac:dyDescent="0.25">
      <c r="A275" s="329" t="s">
        <v>1354</v>
      </c>
      <c r="B275" s="325" t="s">
        <v>1998</v>
      </c>
      <c r="C275" s="320" t="s">
        <v>1518</v>
      </c>
      <c r="D275" s="324" t="s">
        <v>1979</v>
      </c>
      <c r="E275" s="320" t="s">
        <v>1384</v>
      </c>
      <c r="F275" s="312"/>
      <c r="G275" s="312"/>
      <c r="H275" s="366">
        <f t="shared" si="101"/>
        <v>0</v>
      </c>
      <c r="I275" s="312"/>
      <c r="J275" s="375">
        <f t="shared" si="102"/>
        <v>0</v>
      </c>
      <c r="K275" s="336">
        <f t="shared" si="103"/>
        <v>0</v>
      </c>
      <c r="L275" s="312"/>
      <c r="M275" s="375">
        <f t="shared" si="104"/>
        <v>0</v>
      </c>
      <c r="N275" s="349">
        <f t="shared" si="105"/>
        <v>0</v>
      </c>
      <c r="O275" s="310"/>
      <c r="P275" s="128" t="s">
        <v>1004</v>
      </c>
      <c r="Q275" s="361">
        <f t="shared" si="106"/>
        <v>0</v>
      </c>
      <c r="R275" s="361">
        <f t="shared" si="107"/>
        <v>0</v>
      </c>
      <c r="S275" s="166"/>
      <c r="T275" s="166"/>
    </row>
    <row r="276" spans="1:20" hidden="1" outlineLevel="1" x14ac:dyDescent="0.25">
      <c r="A276" s="329" t="s">
        <v>1354</v>
      </c>
      <c r="B276" s="325" t="s">
        <v>1998</v>
      </c>
      <c r="C276" s="320" t="s">
        <v>1520</v>
      </c>
      <c r="D276" s="324" t="s">
        <v>1980</v>
      </c>
      <c r="E276" s="320" t="s">
        <v>1384</v>
      </c>
      <c r="F276" s="312"/>
      <c r="G276" s="312"/>
      <c r="H276" s="366">
        <f t="shared" si="101"/>
        <v>0</v>
      </c>
      <c r="I276" s="312"/>
      <c r="J276" s="375">
        <f t="shared" si="102"/>
        <v>0</v>
      </c>
      <c r="K276" s="336">
        <f t="shared" si="103"/>
        <v>0</v>
      </c>
      <c r="L276" s="312"/>
      <c r="M276" s="375">
        <f t="shared" si="104"/>
        <v>0</v>
      </c>
      <c r="N276" s="349">
        <f t="shared" si="105"/>
        <v>0</v>
      </c>
      <c r="O276" s="310"/>
      <c r="P276" s="128" t="s">
        <v>1004</v>
      </c>
      <c r="Q276" s="361">
        <f t="shared" si="106"/>
        <v>0</v>
      </c>
      <c r="R276" s="361">
        <f t="shared" si="107"/>
        <v>0</v>
      </c>
      <c r="S276" s="166"/>
      <c r="T276" s="166"/>
    </row>
    <row r="277" spans="1:20" hidden="1" outlineLevel="1" x14ac:dyDescent="0.25">
      <c r="A277" s="329" t="s">
        <v>1354</v>
      </c>
      <c r="B277" s="325" t="s">
        <v>1998</v>
      </c>
      <c r="C277" s="320" t="s">
        <v>1522</v>
      </c>
      <c r="D277" s="324" t="s">
        <v>1969</v>
      </c>
      <c r="E277" s="320" t="s">
        <v>1384</v>
      </c>
      <c r="F277" s="312"/>
      <c r="G277" s="312"/>
      <c r="H277" s="366">
        <f t="shared" si="101"/>
        <v>0</v>
      </c>
      <c r="I277" s="312"/>
      <c r="J277" s="375">
        <f t="shared" si="102"/>
        <v>0</v>
      </c>
      <c r="K277" s="336">
        <f t="shared" si="103"/>
        <v>0</v>
      </c>
      <c r="L277" s="312"/>
      <c r="M277" s="375">
        <f t="shared" si="104"/>
        <v>0</v>
      </c>
      <c r="N277" s="349">
        <f t="shared" si="105"/>
        <v>0</v>
      </c>
      <c r="O277" s="310"/>
      <c r="P277" s="128" t="s">
        <v>1004</v>
      </c>
      <c r="Q277" s="361">
        <f t="shared" si="106"/>
        <v>0</v>
      </c>
      <c r="R277" s="361">
        <f t="shared" si="107"/>
        <v>0</v>
      </c>
      <c r="S277" s="166"/>
      <c r="T277" s="166"/>
    </row>
    <row r="278" spans="1:20" hidden="1" outlineLevel="1" x14ac:dyDescent="0.25">
      <c r="A278" s="329" t="s">
        <v>1354</v>
      </c>
      <c r="B278" s="325" t="s">
        <v>1998</v>
      </c>
      <c r="C278" s="320">
        <v>4.4000000000000004</v>
      </c>
      <c r="D278" s="327" t="s">
        <v>1946</v>
      </c>
      <c r="E278" s="319"/>
      <c r="F278" s="317"/>
      <c r="G278" s="317"/>
      <c r="H278" s="366">
        <f t="shared" si="101"/>
        <v>0</v>
      </c>
      <c r="I278" s="318"/>
      <c r="J278" s="375">
        <f t="shared" si="102"/>
        <v>0</v>
      </c>
      <c r="K278" s="336">
        <f t="shared" si="103"/>
        <v>0</v>
      </c>
      <c r="L278" s="318"/>
      <c r="M278" s="375">
        <f t="shared" si="104"/>
        <v>0</v>
      </c>
      <c r="N278" s="349">
        <f t="shared" si="105"/>
        <v>0</v>
      </c>
      <c r="O278" s="319"/>
      <c r="P278" s="128" t="s">
        <v>1004</v>
      </c>
      <c r="Q278" s="361">
        <f t="shared" si="106"/>
        <v>0</v>
      </c>
      <c r="R278" s="361">
        <f t="shared" si="107"/>
        <v>0</v>
      </c>
      <c r="S278" s="166"/>
      <c r="T278" s="166"/>
    </row>
    <row r="279" spans="1:20" hidden="1" outlineLevel="1" x14ac:dyDescent="0.25">
      <c r="A279" s="329" t="s">
        <v>1354</v>
      </c>
      <c r="B279" s="325" t="s">
        <v>1998</v>
      </c>
      <c r="C279" s="320" t="s">
        <v>1627</v>
      </c>
      <c r="D279" s="324" t="s">
        <v>1947</v>
      </c>
      <c r="E279" s="320" t="s">
        <v>1384</v>
      </c>
      <c r="F279" s="312"/>
      <c r="G279" s="312"/>
      <c r="H279" s="366">
        <f t="shared" si="101"/>
        <v>0</v>
      </c>
      <c r="I279" s="312"/>
      <c r="J279" s="375">
        <f t="shared" si="102"/>
        <v>0</v>
      </c>
      <c r="K279" s="336">
        <f t="shared" si="103"/>
        <v>0</v>
      </c>
      <c r="L279" s="312"/>
      <c r="M279" s="375">
        <f t="shared" si="104"/>
        <v>0</v>
      </c>
      <c r="N279" s="349">
        <f t="shared" si="105"/>
        <v>0</v>
      </c>
      <c r="O279" s="310"/>
      <c r="P279" s="128" t="s">
        <v>1004</v>
      </c>
      <c r="Q279" s="361">
        <f t="shared" si="106"/>
        <v>0</v>
      </c>
      <c r="R279" s="361">
        <f t="shared" si="107"/>
        <v>0</v>
      </c>
      <c r="S279" s="166"/>
      <c r="T279" s="166"/>
    </row>
    <row r="280" spans="1:20" hidden="1" outlineLevel="1" x14ac:dyDescent="0.25">
      <c r="A280" s="329" t="s">
        <v>1354</v>
      </c>
      <c r="B280" s="325" t="s">
        <v>1998</v>
      </c>
      <c r="C280" s="320" t="s">
        <v>1948</v>
      </c>
      <c r="D280" s="324" t="s">
        <v>1947</v>
      </c>
      <c r="E280" s="320" t="s">
        <v>1384</v>
      </c>
      <c r="F280" s="312"/>
      <c r="G280" s="312"/>
      <c r="H280" s="366">
        <f t="shared" si="101"/>
        <v>0</v>
      </c>
      <c r="I280" s="312"/>
      <c r="J280" s="375">
        <f t="shared" si="102"/>
        <v>0</v>
      </c>
      <c r="K280" s="336">
        <f t="shared" si="103"/>
        <v>0</v>
      </c>
      <c r="L280" s="312"/>
      <c r="M280" s="375">
        <f t="shared" si="104"/>
        <v>0</v>
      </c>
      <c r="N280" s="349">
        <f t="shared" si="105"/>
        <v>0</v>
      </c>
      <c r="O280" s="310"/>
      <c r="P280" s="128" t="s">
        <v>1004</v>
      </c>
      <c r="Q280" s="361">
        <f t="shared" si="106"/>
        <v>0</v>
      </c>
      <c r="R280" s="361">
        <f t="shared" si="107"/>
        <v>0</v>
      </c>
      <c r="S280" s="166"/>
      <c r="T280" s="166"/>
    </row>
    <row r="281" spans="1:20" hidden="1" outlineLevel="1" x14ac:dyDescent="0.25">
      <c r="A281" s="329" t="s">
        <v>1354</v>
      </c>
      <c r="B281" s="325" t="s">
        <v>1998</v>
      </c>
      <c r="C281" s="320" t="s">
        <v>1949</v>
      </c>
      <c r="D281" s="324" t="s">
        <v>1947</v>
      </c>
      <c r="E281" s="320" t="s">
        <v>1384</v>
      </c>
      <c r="F281" s="312"/>
      <c r="G281" s="312"/>
      <c r="H281" s="366">
        <f t="shared" si="101"/>
        <v>0</v>
      </c>
      <c r="I281" s="312"/>
      <c r="J281" s="375">
        <f t="shared" si="102"/>
        <v>0</v>
      </c>
      <c r="K281" s="336">
        <f t="shared" si="103"/>
        <v>0</v>
      </c>
      <c r="L281" s="312"/>
      <c r="M281" s="375">
        <f t="shared" si="104"/>
        <v>0</v>
      </c>
      <c r="N281" s="349">
        <f t="shared" si="105"/>
        <v>0</v>
      </c>
      <c r="O281" s="310"/>
      <c r="P281" s="128" t="s">
        <v>1004</v>
      </c>
      <c r="Q281" s="361">
        <f t="shared" si="106"/>
        <v>0</v>
      </c>
      <c r="R281" s="361">
        <f t="shared" si="107"/>
        <v>0</v>
      </c>
      <c r="S281" s="166"/>
      <c r="T281" s="166"/>
    </row>
    <row r="282" spans="1:20" hidden="1" outlineLevel="1" x14ac:dyDescent="0.25">
      <c r="A282" s="331" t="s">
        <v>1022</v>
      </c>
      <c r="B282" s="314" t="s">
        <v>1998</v>
      </c>
      <c r="C282" s="315"/>
      <c r="D282" s="393" t="s">
        <v>1950</v>
      </c>
      <c r="E282" s="314"/>
      <c r="F282" s="313"/>
      <c r="G282" s="313"/>
      <c r="H282" s="367"/>
      <c r="I282" s="313"/>
      <c r="J282" s="362">
        <f>SUM(J268:J281)</f>
        <v>0</v>
      </c>
      <c r="K282" s="338">
        <f>SUM(K268:K281)</f>
        <v>0</v>
      </c>
      <c r="L282" s="313"/>
      <c r="M282" s="362">
        <f>SUM(M268:M281)</f>
        <v>0</v>
      </c>
      <c r="N282" s="338">
        <f>SUM(N268:N281)</f>
        <v>0</v>
      </c>
      <c r="O282" s="314"/>
      <c r="P282" s="128"/>
      <c r="Q282" s="362">
        <f>SUM(Q268:Q281)</f>
        <v>0</v>
      </c>
      <c r="R282" s="362">
        <f>SUM(R268:R281)</f>
        <v>0</v>
      </c>
      <c r="S282" s="166"/>
      <c r="T282" s="166"/>
    </row>
    <row r="283" spans="1:20" hidden="1" outlineLevel="1" x14ac:dyDescent="0.25">
      <c r="A283" s="331" t="s">
        <v>1022</v>
      </c>
      <c r="B283" s="314" t="s">
        <v>1999</v>
      </c>
      <c r="C283" s="315"/>
      <c r="D283" s="393" t="s">
        <v>2000</v>
      </c>
      <c r="E283" s="314"/>
      <c r="F283" s="313"/>
      <c r="G283" s="313"/>
      <c r="H283" s="367"/>
      <c r="I283" s="313"/>
      <c r="J283" s="362"/>
      <c r="K283" s="338"/>
      <c r="L283" s="313"/>
      <c r="M283" s="362"/>
      <c r="N283" s="338"/>
      <c r="O283" s="314"/>
      <c r="P283" s="128"/>
      <c r="Q283" s="362"/>
      <c r="R283" s="362"/>
      <c r="S283" s="166"/>
      <c r="T283" s="166"/>
    </row>
    <row r="284" spans="1:20" hidden="1" outlineLevel="1" x14ac:dyDescent="0.25">
      <c r="A284" s="331" t="s">
        <v>1022</v>
      </c>
      <c r="B284" s="314" t="s">
        <v>1999</v>
      </c>
      <c r="C284" s="315"/>
      <c r="D284" s="393" t="s">
        <v>2032</v>
      </c>
      <c r="E284" s="314"/>
      <c r="F284" s="313"/>
      <c r="G284" s="313"/>
      <c r="H284" s="367"/>
      <c r="I284" s="313"/>
      <c r="J284" s="362">
        <f>J205</f>
        <v>0</v>
      </c>
      <c r="K284" s="338">
        <f>K205</f>
        <v>0</v>
      </c>
      <c r="L284" s="313"/>
      <c r="M284" s="362">
        <f>M205</f>
        <v>0</v>
      </c>
      <c r="N284" s="338">
        <f>N205</f>
        <v>0</v>
      </c>
      <c r="O284" s="314"/>
      <c r="P284" s="128"/>
      <c r="Q284" s="362">
        <f>Q205</f>
        <v>0</v>
      </c>
      <c r="R284" s="362">
        <f>R205</f>
        <v>0</v>
      </c>
      <c r="S284" s="166"/>
      <c r="T284" s="166"/>
    </row>
    <row r="285" spans="1:20" hidden="1" outlineLevel="1" x14ac:dyDescent="0.25">
      <c r="A285" s="331" t="s">
        <v>1022</v>
      </c>
      <c r="B285" s="314" t="s">
        <v>1999</v>
      </c>
      <c r="C285" s="315"/>
      <c r="D285" s="393" t="s">
        <v>2033</v>
      </c>
      <c r="E285" s="314"/>
      <c r="F285" s="313"/>
      <c r="G285" s="313"/>
      <c r="H285" s="367"/>
      <c r="I285" s="313"/>
      <c r="J285" s="362">
        <f>J213</f>
        <v>0</v>
      </c>
      <c r="K285" s="338">
        <f>K213</f>
        <v>0</v>
      </c>
      <c r="L285" s="313"/>
      <c r="M285" s="362">
        <f>M213</f>
        <v>0</v>
      </c>
      <c r="N285" s="338">
        <f>N213</f>
        <v>0</v>
      </c>
      <c r="O285" s="314"/>
      <c r="P285" s="128"/>
      <c r="Q285" s="362">
        <f>Q213</f>
        <v>0</v>
      </c>
      <c r="R285" s="362">
        <f>R213</f>
        <v>0</v>
      </c>
      <c r="S285" s="166"/>
      <c r="T285" s="166"/>
    </row>
    <row r="286" spans="1:20" hidden="1" outlineLevel="1" x14ac:dyDescent="0.25">
      <c r="A286" s="331" t="s">
        <v>1022</v>
      </c>
      <c r="B286" s="314" t="s">
        <v>1999</v>
      </c>
      <c r="C286" s="315"/>
      <c r="D286" s="393" t="s">
        <v>2034</v>
      </c>
      <c r="E286" s="314"/>
      <c r="F286" s="313"/>
      <c r="G286" s="313"/>
      <c r="H286" s="367"/>
      <c r="I286" s="313"/>
      <c r="J286" s="362">
        <f>J257</f>
        <v>0</v>
      </c>
      <c r="K286" s="338">
        <f>K257</f>
        <v>0</v>
      </c>
      <c r="L286" s="313"/>
      <c r="M286" s="362">
        <f>M257</f>
        <v>0</v>
      </c>
      <c r="N286" s="338">
        <f>N257</f>
        <v>0</v>
      </c>
      <c r="O286" s="314"/>
      <c r="P286" s="128"/>
      <c r="Q286" s="362">
        <f>Q257</f>
        <v>0</v>
      </c>
      <c r="R286" s="362">
        <f>R257</f>
        <v>0</v>
      </c>
      <c r="S286" s="166"/>
      <c r="T286" s="166"/>
    </row>
    <row r="287" spans="1:20" hidden="1" outlineLevel="1" x14ac:dyDescent="0.25">
      <c r="A287" s="331" t="s">
        <v>1022</v>
      </c>
      <c r="B287" s="314" t="s">
        <v>1999</v>
      </c>
      <c r="C287" s="315"/>
      <c r="D287" s="393" t="s">
        <v>2035</v>
      </c>
      <c r="E287" s="314"/>
      <c r="F287" s="313"/>
      <c r="G287" s="313"/>
      <c r="H287" s="367"/>
      <c r="I287" s="313"/>
      <c r="J287" s="362">
        <f>J267</f>
        <v>0</v>
      </c>
      <c r="K287" s="338">
        <f>K267</f>
        <v>0</v>
      </c>
      <c r="L287" s="313"/>
      <c r="M287" s="362">
        <f>M267</f>
        <v>0</v>
      </c>
      <c r="N287" s="338">
        <f>N267</f>
        <v>0</v>
      </c>
      <c r="O287" s="314"/>
      <c r="P287" s="128"/>
      <c r="Q287" s="362">
        <f>Q267</f>
        <v>0</v>
      </c>
      <c r="R287" s="362">
        <f>R267</f>
        <v>0</v>
      </c>
      <c r="S287" s="166"/>
      <c r="T287" s="166"/>
    </row>
    <row r="288" spans="1:20" hidden="1" outlineLevel="1" x14ac:dyDescent="0.25">
      <c r="A288" s="331" t="s">
        <v>1022</v>
      </c>
      <c r="B288" s="314" t="s">
        <v>1999</v>
      </c>
      <c r="C288" s="315"/>
      <c r="D288" s="393" t="s">
        <v>2036</v>
      </c>
      <c r="E288" s="314"/>
      <c r="F288" s="313"/>
      <c r="G288" s="313"/>
      <c r="H288" s="367"/>
      <c r="I288" s="313"/>
      <c r="J288" s="362">
        <f>J282</f>
        <v>0</v>
      </c>
      <c r="K288" s="338">
        <f>K282</f>
        <v>0</v>
      </c>
      <c r="L288" s="313"/>
      <c r="M288" s="362">
        <f>M282</f>
        <v>0</v>
      </c>
      <c r="N288" s="338">
        <f>N282</f>
        <v>0</v>
      </c>
      <c r="O288" s="314"/>
      <c r="P288" s="128"/>
      <c r="Q288" s="362">
        <f>Q282</f>
        <v>0</v>
      </c>
      <c r="R288" s="362">
        <f>R282</f>
        <v>0</v>
      </c>
      <c r="S288" s="166"/>
      <c r="T288" s="166"/>
    </row>
    <row r="289" spans="1:20" collapsed="1" x14ac:dyDescent="0.25">
      <c r="A289" s="330" t="s">
        <v>1022</v>
      </c>
      <c r="B289" s="314" t="s">
        <v>1999</v>
      </c>
      <c r="C289" s="315"/>
      <c r="D289" s="393" t="s">
        <v>1950</v>
      </c>
      <c r="E289" s="314"/>
      <c r="F289" s="313"/>
      <c r="G289" s="313"/>
      <c r="H289" s="367"/>
      <c r="I289" s="313"/>
      <c r="J289" s="362">
        <f>SUM(J284:J288)</f>
        <v>0</v>
      </c>
      <c r="K289" s="338">
        <f>SUM(K284:K288)</f>
        <v>0</v>
      </c>
      <c r="L289" s="313"/>
      <c r="M289" s="362">
        <f>SUM(M284:M288)</f>
        <v>0</v>
      </c>
      <c r="N289" s="338">
        <f>SUM(N284:N288)</f>
        <v>0</v>
      </c>
      <c r="O289" s="314"/>
      <c r="P289" s="128"/>
      <c r="Q289" s="362">
        <f>SUM(Q284:Q288)</f>
        <v>0</v>
      </c>
      <c r="R289" s="362">
        <f>SUM(R284:R288)</f>
        <v>0</v>
      </c>
      <c r="S289" s="166"/>
      <c r="T289" s="166"/>
    </row>
    <row r="290" spans="1:20" x14ac:dyDescent="0.25">
      <c r="A290" s="329" t="s">
        <v>1352</v>
      </c>
      <c r="B290" s="325" t="s">
        <v>2001</v>
      </c>
      <c r="C290" s="310"/>
      <c r="D290" s="328" t="s">
        <v>1743</v>
      </c>
      <c r="E290" s="310"/>
      <c r="F290" s="308"/>
      <c r="G290" s="308"/>
      <c r="H290" s="369">
        <f t="shared" ref="H290:H306" si="108">+SUM(F290:G290)</f>
        <v>0</v>
      </c>
      <c r="I290" s="309"/>
      <c r="J290" s="376">
        <f t="shared" ref="J290:J306" si="109">+ROUND(I290*H290,2)</f>
        <v>0</v>
      </c>
      <c r="K290" s="340">
        <f t="shared" ref="K290:K306" si="110">J290</f>
        <v>0</v>
      </c>
      <c r="L290" s="309"/>
      <c r="M290" s="376">
        <f t="shared" ref="M290:M306" si="111">+ROUND(L290*H290,2)</f>
        <v>0</v>
      </c>
      <c r="N290" s="352">
        <f t="shared" ref="N290:N306" si="112">M290</f>
        <v>0</v>
      </c>
      <c r="O290" s="310"/>
      <c r="P290" s="128" t="s">
        <v>1004</v>
      </c>
      <c r="Q290" s="361">
        <f t="shared" ref="Q290:Q306" si="113">+ROUND((K290)*(1+SUMIF($Q$2:$Q$4,P290,$R$2:$R$4)),0)</f>
        <v>0</v>
      </c>
      <c r="R290" s="361">
        <f t="shared" ref="R290:R306" si="114">+ROUND((N290)*(1+SUMIF($Q$2:$Q$4,P290,$R$2:$R$4)),0)</f>
        <v>0</v>
      </c>
      <c r="S290" s="166"/>
      <c r="T290" s="166"/>
    </row>
    <row r="291" spans="1:20" hidden="1" outlineLevel="1" x14ac:dyDescent="0.25">
      <c r="A291" s="329" t="s">
        <v>1352</v>
      </c>
      <c r="B291" s="325" t="str">
        <f>+B290</f>
        <v>SECT5.5/24</v>
      </c>
      <c r="C291" s="320">
        <v>1</v>
      </c>
      <c r="D291" s="327" t="s">
        <v>1940</v>
      </c>
      <c r="E291" s="319"/>
      <c r="F291" s="317"/>
      <c r="G291" s="317"/>
      <c r="H291" s="366">
        <f t="shared" si="108"/>
        <v>0</v>
      </c>
      <c r="I291" s="318"/>
      <c r="J291" s="375">
        <f t="shared" si="109"/>
        <v>0</v>
      </c>
      <c r="K291" s="337">
        <f t="shared" si="110"/>
        <v>0</v>
      </c>
      <c r="L291" s="318"/>
      <c r="M291" s="375">
        <f t="shared" si="111"/>
        <v>0</v>
      </c>
      <c r="N291" s="350">
        <f t="shared" si="112"/>
        <v>0</v>
      </c>
      <c r="O291" s="319"/>
      <c r="P291" s="128" t="s">
        <v>1004</v>
      </c>
      <c r="Q291" s="361">
        <f t="shared" si="113"/>
        <v>0</v>
      </c>
      <c r="R291" s="361">
        <f t="shared" si="114"/>
        <v>0</v>
      </c>
      <c r="S291" s="166"/>
      <c r="T291" s="166"/>
    </row>
    <row r="292" spans="1:20" hidden="1" outlineLevel="1" x14ac:dyDescent="0.25">
      <c r="A292" s="329" t="s">
        <v>1352</v>
      </c>
      <c r="B292" s="325" t="s">
        <v>2001</v>
      </c>
      <c r="C292" s="320">
        <v>1.1000000000000001</v>
      </c>
      <c r="D292" s="327" t="s">
        <v>1941</v>
      </c>
      <c r="E292" s="319"/>
      <c r="F292" s="317"/>
      <c r="G292" s="317"/>
      <c r="H292" s="366">
        <f t="shared" si="108"/>
        <v>0</v>
      </c>
      <c r="I292" s="318"/>
      <c r="J292" s="375">
        <f t="shared" si="109"/>
        <v>0</v>
      </c>
      <c r="K292" s="337">
        <f t="shared" si="110"/>
        <v>0</v>
      </c>
      <c r="L292" s="318"/>
      <c r="M292" s="375">
        <f t="shared" si="111"/>
        <v>0</v>
      </c>
      <c r="N292" s="350">
        <f t="shared" si="112"/>
        <v>0</v>
      </c>
      <c r="O292" s="319"/>
      <c r="P292" s="128" t="s">
        <v>1004</v>
      </c>
      <c r="Q292" s="361">
        <f t="shared" si="113"/>
        <v>0</v>
      </c>
      <c r="R292" s="361">
        <f t="shared" si="114"/>
        <v>0</v>
      </c>
      <c r="S292" s="166"/>
      <c r="T292" s="166"/>
    </row>
    <row r="293" spans="1:20" hidden="1" outlineLevel="1" x14ac:dyDescent="0.25">
      <c r="A293" s="329" t="s">
        <v>1352</v>
      </c>
      <c r="B293" s="325" t="s">
        <v>2001</v>
      </c>
      <c r="C293" s="320" t="s">
        <v>1382</v>
      </c>
      <c r="D293" s="324" t="s">
        <v>1697</v>
      </c>
      <c r="E293" s="320" t="s">
        <v>1384</v>
      </c>
      <c r="F293" s="312"/>
      <c r="G293" s="312"/>
      <c r="H293" s="366">
        <f t="shared" si="108"/>
        <v>0</v>
      </c>
      <c r="I293" s="312"/>
      <c r="J293" s="375">
        <f t="shared" si="109"/>
        <v>0</v>
      </c>
      <c r="K293" s="336">
        <f t="shared" si="110"/>
        <v>0</v>
      </c>
      <c r="L293" s="312"/>
      <c r="M293" s="375">
        <f t="shared" si="111"/>
        <v>0</v>
      </c>
      <c r="N293" s="349">
        <f t="shared" si="112"/>
        <v>0</v>
      </c>
      <c r="O293" s="310"/>
      <c r="P293" s="128" t="s">
        <v>1004</v>
      </c>
      <c r="Q293" s="361">
        <f t="shared" si="113"/>
        <v>0</v>
      </c>
      <c r="R293" s="361">
        <f t="shared" si="114"/>
        <v>0</v>
      </c>
      <c r="S293" s="166"/>
      <c r="T293" s="166"/>
    </row>
    <row r="294" spans="1:20" hidden="1" outlineLevel="1" x14ac:dyDescent="0.25">
      <c r="A294" s="329" t="s">
        <v>1352</v>
      </c>
      <c r="B294" s="325" t="s">
        <v>2001</v>
      </c>
      <c r="C294" s="320" t="s">
        <v>1385</v>
      </c>
      <c r="D294" s="324" t="s">
        <v>1698</v>
      </c>
      <c r="E294" s="320" t="s">
        <v>1384</v>
      </c>
      <c r="F294" s="312"/>
      <c r="G294" s="312"/>
      <c r="H294" s="366">
        <f t="shared" si="108"/>
        <v>0</v>
      </c>
      <c r="I294" s="312"/>
      <c r="J294" s="375">
        <f t="shared" si="109"/>
        <v>0</v>
      </c>
      <c r="K294" s="336">
        <f t="shared" si="110"/>
        <v>0</v>
      </c>
      <c r="L294" s="312"/>
      <c r="M294" s="375">
        <f t="shared" si="111"/>
        <v>0</v>
      </c>
      <c r="N294" s="349">
        <f t="shared" si="112"/>
        <v>0</v>
      </c>
      <c r="O294" s="310"/>
      <c r="P294" s="128" t="s">
        <v>1004</v>
      </c>
      <c r="Q294" s="361">
        <f t="shared" si="113"/>
        <v>0</v>
      </c>
      <c r="R294" s="361">
        <f t="shared" si="114"/>
        <v>0</v>
      </c>
      <c r="S294" s="166"/>
      <c r="T294" s="166"/>
    </row>
    <row r="295" spans="1:20" hidden="1" outlineLevel="1" x14ac:dyDescent="0.25">
      <c r="A295" s="329" t="s">
        <v>1352</v>
      </c>
      <c r="B295" s="325" t="s">
        <v>2001</v>
      </c>
      <c r="C295" s="320" t="s">
        <v>1387</v>
      </c>
      <c r="D295" s="324" t="s">
        <v>2002</v>
      </c>
      <c r="E295" s="320" t="s">
        <v>1384</v>
      </c>
      <c r="F295" s="312"/>
      <c r="G295" s="312"/>
      <c r="H295" s="366">
        <f t="shared" si="108"/>
        <v>0</v>
      </c>
      <c r="I295" s="312"/>
      <c r="J295" s="375">
        <f t="shared" si="109"/>
        <v>0</v>
      </c>
      <c r="K295" s="336">
        <f t="shared" si="110"/>
        <v>0</v>
      </c>
      <c r="L295" s="312"/>
      <c r="M295" s="375">
        <f t="shared" si="111"/>
        <v>0</v>
      </c>
      <c r="N295" s="349">
        <f t="shared" si="112"/>
        <v>0</v>
      </c>
      <c r="O295" s="310"/>
      <c r="P295" s="128" t="s">
        <v>1004</v>
      </c>
      <c r="Q295" s="361">
        <f t="shared" si="113"/>
        <v>0</v>
      </c>
      <c r="R295" s="361">
        <f t="shared" si="114"/>
        <v>0</v>
      </c>
      <c r="S295" s="166"/>
      <c r="T295" s="166"/>
    </row>
    <row r="296" spans="1:20" hidden="1" outlineLevel="1" x14ac:dyDescent="0.25">
      <c r="A296" s="329" t="s">
        <v>1352</v>
      </c>
      <c r="B296" s="325" t="s">
        <v>2001</v>
      </c>
      <c r="C296" s="320" t="s">
        <v>1699</v>
      </c>
      <c r="D296" s="324" t="s">
        <v>1700</v>
      </c>
      <c r="E296" s="320" t="s">
        <v>1384</v>
      </c>
      <c r="F296" s="312"/>
      <c r="G296" s="312"/>
      <c r="H296" s="366">
        <f t="shared" si="108"/>
        <v>0</v>
      </c>
      <c r="I296" s="312"/>
      <c r="J296" s="375">
        <f t="shared" si="109"/>
        <v>0</v>
      </c>
      <c r="K296" s="336">
        <f t="shared" si="110"/>
        <v>0</v>
      </c>
      <c r="L296" s="312"/>
      <c r="M296" s="375">
        <f t="shared" si="111"/>
        <v>0</v>
      </c>
      <c r="N296" s="349">
        <f t="shared" si="112"/>
        <v>0</v>
      </c>
      <c r="O296" s="310"/>
      <c r="P296" s="128" t="s">
        <v>1004</v>
      </c>
      <c r="Q296" s="361">
        <f t="shared" si="113"/>
        <v>0</v>
      </c>
      <c r="R296" s="361">
        <f t="shared" si="114"/>
        <v>0</v>
      </c>
      <c r="S296" s="166"/>
      <c r="T296" s="166"/>
    </row>
    <row r="297" spans="1:20" ht="24" hidden="1" outlineLevel="1" x14ac:dyDescent="0.25">
      <c r="A297" s="329" t="s">
        <v>1352</v>
      </c>
      <c r="B297" s="325" t="s">
        <v>2001</v>
      </c>
      <c r="C297" s="320" t="s">
        <v>1701</v>
      </c>
      <c r="D297" s="324" t="s">
        <v>1702</v>
      </c>
      <c r="E297" s="320" t="s">
        <v>1384</v>
      </c>
      <c r="F297" s="312"/>
      <c r="G297" s="312"/>
      <c r="H297" s="366">
        <f t="shared" si="108"/>
        <v>0</v>
      </c>
      <c r="I297" s="312"/>
      <c r="J297" s="375">
        <f t="shared" si="109"/>
        <v>0</v>
      </c>
      <c r="K297" s="336">
        <f t="shared" si="110"/>
        <v>0</v>
      </c>
      <c r="L297" s="312"/>
      <c r="M297" s="375">
        <f t="shared" si="111"/>
        <v>0</v>
      </c>
      <c r="N297" s="349">
        <f t="shared" si="112"/>
        <v>0</v>
      </c>
      <c r="O297" s="310"/>
      <c r="P297" s="128" t="s">
        <v>1004</v>
      </c>
      <c r="Q297" s="361">
        <f t="shared" si="113"/>
        <v>0</v>
      </c>
      <c r="R297" s="361">
        <f t="shared" si="114"/>
        <v>0</v>
      </c>
      <c r="S297" s="166"/>
      <c r="T297" s="166"/>
    </row>
    <row r="298" spans="1:20" ht="36" hidden="1" outlineLevel="1" x14ac:dyDescent="0.25">
      <c r="A298" s="329" t="s">
        <v>1352</v>
      </c>
      <c r="B298" s="325" t="s">
        <v>2001</v>
      </c>
      <c r="C298" s="320" t="s">
        <v>1703</v>
      </c>
      <c r="D298" s="324" t="s">
        <v>1704</v>
      </c>
      <c r="E298" s="320" t="s">
        <v>1384</v>
      </c>
      <c r="F298" s="312"/>
      <c r="G298" s="312"/>
      <c r="H298" s="366">
        <f t="shared" si="108"/>
        <v>0</v>
      </c>
      <c r="I298" s="312"/>
      <c r="J298" s="375">
        <f t="shared" si="109"/>
        <v>0</v>
      </c>
      <c r="K298" s="336">
        <f t="shared" si="110"/>
        <v>0</v>
      </c>
      <c r="L298" s="312"/>
      <c r="M298" s="375">
        <f t="shared" si="111"/>
        <v>0</v>
      </c>
      <c r="N298" s="349">
        <f t="shared" si="112"/>
        <v>0</v>
      </c>
      <c r="O298" s="310"/>
      <c r="P298" s="128" t="s">
        <v>1004</v>
      </c>
      <c r="Q298" s="361">
        <f t="shared" si="113"/>
        <v>0</v>
      </c>
      <c r="R298" s="361">
        <f t="shared" si="114"/>
        <v>0</v>
      </c>
      <c r="S298" s="166"/>
      <c r="T298" s="166"/>
    </row>
    <row r="299" spans="1:20" hidden="1" outlineLevel="1" x14ac:dyDescent="0.25">
      <c r="A299" s="329" t="s">
        <v>1352</v>
      </c>
      <c r="B299" s="325" t="s">
        <v>2001</v>
      </c>
      <c r="C299" s="320">
        <v>1.2</v>
      </c>
      <c r="D299" s="327" t="s">
        <v>1942</v>
      </c>
      <c r="E299" s="319"/>
      <c r="F299" s="319"/>
      <c r="G299" s="319"/>
      <c r="H299" s="366">
        <f t="shared" si="108"/>
        <v>0</v>
      </c>
      <c r="I299" s="319"/>
      <c r="J299" s="377">
        <f t="shared" si="109"/>
        <v>0</v>
      </c>
      <c r="K299" s="341">
        <f t="shared" si="110"/>
        <v>0</v>
      </c>
      <c r="L299" s="319"/>
      <c r="M299" s="377">
        <f t="shared" si="111"/>
        <v>0</v>
      </c>
      <c r="N299" s="353">
        <f t="shared" si="112"/>
        <v>0</v>
      </c>
      <c r="O299" s="319"/>
      <c r="P299" s="128" t="s">
        <v>1004</v>
      </c>
      <c r="Q299" s="361">
        <f t="shared" si="113"/>
        <v>0</v>
      </c>
      <c r="R299" s="361">
        <f t="shared" si="114"/>
        <v>0</v>
      </c>
      <c r="S299" s="166"/>
      <c r="T299" s="166"/>
    </row>
    <row r="300" spans="1:20" hidden="1" outlineLevel="1" x14ac:dyDescent="0.25">
      <c r="A300" s="329" t="s">
        <v>1352</v>
      </c>
      <c r="B300" s="325" t="s">
        <v>2001</v>
      </c>
      <c r="C300" s="320" t="s">
        <v>1390</v>
      </c>
      <c r="D300" s="324" t="s">
        <v>1705</v>
      </c>
      <c r="E300" s="320" t="s">
        <v>1384</v>
      </c>
      <c r="F300" s="312"/>
      <c r="G300" s="312"/>
      <c r="H300" s="366">
        <f t="shared" si="108"/>
        <v>0</v>
      </c>
      <c r="I300" s="312"/>
      <c r="J300" s="375">
        <f t="shared" si="109"/>
        <v>0</v>
      </c>
      <c r="K300" s="336">
        <f t="shared" si="110"/>
        <v>0</v>
      </c>
      <c r="L300" s="312"/>
      <c r="M300" s="375">
        <f t="shared" si="111"/>
        <v>0</v>
      </c>
      <c r="N300" s="349">
        <f t="shared" si="112"/>
        <v>0</v>
      </c>
      <c r="O300" s="319"/>
      <c r="P300" s="128" t="s">
        <v>1004</v>
      </c>
      <c r="Q300" s="361">
        <f t="shared" si="113"/>
        <v>0</v>
      </c>
      <c r="R300" s="361">
        <f t="shared" si="114"/>
        <v>0</v>
      </c>
      <c r="S300" s="166"/>
      <c r="T300" s="166"/>
    </row>
    <row r="301" spans="1:20" hidden="1" outlineLevel="1" x14ac:dyDescent="0.25">
      <c r="A301" s="329" t="s">
        <v>1352</v>
      </c>
      <c r="B301" s="325" t="s">
        <v>2001</v>
      </c>
      <c r="C301" s="320" t="s">
        <v>1392</v>
      </c>
      <c r="D301" s="324" t="s">
        <v>1706</v>
      </c>
      <c r="E301" s="320" t="s">
        <v>1384</v>
      </c>
      <c r="F301" s="312"/>
      <c r="G301" s="312"/>
      <c r="H301" s="366">
        <f t="shared" si="108"/>
        <v>0</v>
      </c>
      <c r="I301" s="312"/>
      <c r="J301" s="375">
        <f t="shared" si="109"/>
        <v>0</v>
      </c>
      <c r="K301" s="336">
        <f t="shared" si="110"/>
        <v>0</v>
      </c>
      <c r="L301" s="312"/>
      <c r="M301" s="375">
        <f t="shared" si="111"/>
        <v>0</v>
      </c>
      <c r="N301" s="349">
        <f t="shared" si="112"/>
        <v>0</v>
      </c>
      <c r="O301" s="319"/>
      <c r="P301" s="128" t="s">
        <v>1004</v>
      </c>
      <c r="Q301" s="361">
        <f t="shared" si="113"/>
        <v>0</v>
      </c>
      <c r="R301" s="361">
        <f t="shared" si="114"/>
        <v>0</v>
      </c>
      <c r="S301" s="166"/>
      <c r="T301" s="166"/>
    </row>
    <row r="302" spans="1:20" ht="24" hidden="1" outlineLevel="1" x14ac:dyDescent="0.25">
      <c r="A302" s="329" t="s">
        <v>1352</v>
      </c>
      <c r="B302" s="325" t="s">
        <v>2001</v>
      </c>
      <c r="C302" s="320" t="s">
        <v>1394</v>
      </c>
      <c r="D302" s="324" t="s">
        <v>2003</v>
      </c>
      <c r="E302" s="320" t="s">
        <v>1384</v>
      </c>
      <c r="F302" s="312"/>
      <c r="G302" s="312"/>
      <c r="H302" s="366">
        <f t="shared" si="108"/>
        <v>0</v>
      </c>
      <c r="I302" s="312"/>
      <c r="J302" s="375">
        <f t="shared" si="109"/>
        <v>0</v>
      </c>
      <c r="K302" s="336">
        <f t="shared" si="110"/>
        <v>0</v>
      </c>
      <c r="L302" s="312"/>
      <c r="M302" s="375">
        <f t="shared" si="111"/>
        <v>0</v>
      </c>
      <c r="N302" s="349">
        <f t="shared" si="112"/>
        <v>0</v>
      </c>
      <c r="O302" s="319"/>
      <c r="P302" s="128" t="s">
        <v>1004</v>
      </c>
      <c r="Q302" s="361">
        <f t="shared" si="113"/>
        <v>0</v>
      </c>
      <c r="R302" s="361">
        <f t="shared" si="114"/>
        <v>0</v>
      </c>
      <c r="S302" s="166"/>
      <c r="T302" s="166"/>
    </row>
    <row r="303" spans="1:20" hidden="1" outlineLevel="1" x14ac:dyDescent="0.25">
      <c r="A303" s="329" t="s">
        <v>1352</v>
      </c>
      <c r="B303" s="325" t="s">
        <v>2001</v>
      </c>
      <c r="C303" s="320">
        <v>1.3</v>
      </c>
      <c r="D303" s="327" t="s">
        <v>1946</v>
      </c>
      <c r="E303" s="319"/>
      <c r="F303" s="319"/>
      <c r="G303" s="319"/>
      <c r="H303" s="366">
        <f t="shared" si="108"/>
        <v>0</v>
      </c>
      <c r="I303" s="319"/>
      <c r="J303" s="377">
        <f t="shared" si="109"/>
        <v>0</v>
      </c>
      <c r="K303" s="341">
        <f t="shared" si="110"/>
        <v>0</v>
      </c>
      <c r="L303" s="319"/>
      <c r="M303" s="377">
        <f t="shared" si="111"/>
        <v>0</v>
      </c>
      <c r="N303" s="353">
        <f t="shared" si="112"/>
        <v>0</v>
      </c>
      <c r="O303" s="319"/>
      <c r="P303" s="128" t="s">
        <v>1004</v>
      </c>
      <c r="Q303" s="361">
        <f t="shared" si="113"/>
        <v>0</v>
      </c>
      <c r="R303" s="361">
        <f t="shared" si="114"/>
        <v>0</v>
      </c>
      <c r="S303" s="166"/>
      <c r="T303" s="166"/>
    </row>
    <row r="304" spans="1:20" hidden="1" outlineLevel="1" x14ac:dyDescent="0.25">
      <c r="A304" s="329" t="s">
        <v>1352</v>
      </c>
      <c r="B304" s="325" t="s">
        <v>2001</v>
      </c>
      <c r="C304" s="320" t="s">
        <v>1627</v>
      </c>
      <c r="D304" s="324" t="s">
        <v>1947</v>
      </c>
      <c r="E304" s="320" t="s">
        <v>1384</v>
      </c>
      <c r="F304" s="312"/>
      <c r="G304" s="312"/>
      <c r="H304" s="366">
        <f t="shared" si="108"/>
        <v>0</v>
      </c>
      <c r="I304" s="312"/>
      <c r="J304" s="375">
        <f t="shared" si="109"/>
        <v>0</v>
      </c>
      <c r="K304" s="336">
        <f t="shared" si="110"/>
        <v>0</v>
      </c>
      <c r="L304" s="312"/>
      <c r="M304" s="375">
        <f t="shared" si="111"/>
        <v>0</v>
      </c>
      <c r="N304" s="349">
        <f t="shared" si="112"/>
        <v>0</v>
      </c>
      <c r="O304" s="319"/>
      <c r="P304" s="128" t="s">
        <v>1004</v>
      </c>
      <c r="Q304" s="361">
        <f t="shared" si="113"/>
        <v>0</v>
      </c>
      <c r="R304" s="361">
        <f t="shared" si="114"/>
        <v>0</v>
      </c>
      <c r="S304" s="166"/>
      <c r="T304" s="166"/>
    </row>
    <row r="305" spans="1:20" hidden="1" outlineLevel="1" x14ac:dyDescent="0.25">
      <c r="A305" s="329" t="s">
        <v>1352</v>
      </c>
      <c r="B305" s="325" t="s">
        <v>2001</v>
      </c>
      <c r="C305" s="320" t="s">
        <v>1948</v>
      </c>
      <c r="D305" s="324" t="s">
        <v>1947</v>
      </c>
      <c r="E305" s="320" t="s">
        <v>1384</v>
      </c>
      <c r="F305" s="312"/>
      <c r="G305" s="312"/>
      <c r="H305" s="366">
        <f t="shared" si="108"/>
        <v>0</v>
      </c>
      <c r="I305" s="312"/>
      <c r="J305" s="375">
        <f t="shared" si="109"/>
        <v>0</v>
      </c>
      <c r="K305" s="336">
        <f t="shared" si="110"/>
        <v>0</v>
      </c>
      <c r="L305" s="312"/>
      <c r="M305" s="375">
        <f t="shared" si="111"/>
        <v>0</v>
      </c>
      <c r="N305" s="349">
        <f t="shared" si="112"/>
        <v>0</v>
      </c>
      <c r="O305" s="319"/>
      <c r="P305" s="128" t="s">
        <v>1004</v>
      </c>
      <c r="Q305" s="361">
        <f t="shared" si="113"/>
        <v>0</v>
      </c>
      <c r="R305" s="361">
        <f t="shared" si="114"/>
        <v>0</v>
      </c>
      <c r="S305" s="166"/>
      <c r="T305" s="166"/>
    </row>
    <row r="306" spans="1:20" hidden="1" outlineLevel="1" x14ac:dyDescent="0.25">
      <c r="A306" s="329" t="s">
        <v>1352</v>
      </c>
      <c r="B306" s="325" t="s">
        <v>2001</v>
      </c>
      <c r="C306" s="320" t="s">
        <v>1949</v>
      </c>
      <c r="D306" s="324" t="s">
        <v>1947</v>
      </c>
      <c r="E306" s="320" t="s">
        <v>1384</v>
      </c>
      <c r="F306" s="312"/>
      <c r="G306" s="312"/>
      <c r="H306" s="366">
        <f t="shared" si="108"/>
        <v>0</v>
      </c>
      <c r="I306" s="312"/>
      <c r="J306" s="375">
        <f t="shared" si="109"/>
        <v>0</v>
      </c>
      <c r="K306" s="336">
        <f t="shared" si="110"/>
        <v>0</v>
      </c>
      <c r="L306" s="312"/>
      <c r="M306" s="375">
        <f t="shared" si="111"/>
        <v>0</v>
      </c>
      <c r="N306" s="349">
        <f t="shared" si="112"/>
        <v>0</v>
      </c>
      <c r="O306" s="319"/>
      <c r="P306" s="128" t="s">
        <v>1004</v>
      </c>
      <c r="Q306" s="361">
        <f t="shared" si="113"/>
        <v>0</v>
      </c>
      <c r="R306" s="361">
        <f t="shared" si="114"/>
        <v>0</v>
      </c>
      <c r="S306" s="166"/>
      <c r="T306" s="166"/>
    </row>
    <row r="307" spans="1:20" hidden="1" outlineLevel="1" x14ac:dyDescent="0.25">
      <c r="A307" s="331" t="s">
        <v>1022</v>
      </c>
      <c r="B307" s="314" t="s">
        <v>2001</v>
      </c>
      <c r="C307" s="315"/>
      <c r="D307" s="393" t="s">
        <v>1950</v>
      </c>
      <c r="E307" s="314"/>
      <c r="F307" s="313"/>
      <c r="G307" s="313"/>
      <c r="H307" s="367"/>
      <c r="I307" s="313"/>
      <c r="J307" s="362">
        <f>SUM(J290:J306)</f>
        <v>0</v>
      </c>
      <c r="K307" s="338">
        <f>SUM(K290:K306)</f>
        <v>0</v>
      </c>
      <c r="L307" s="313"/>
      <c r="M307" s="362">
        <f>SUM(M290:M306)</f>
        <v>0</v>
      </c>
      <c r="N307" s="338">
        <f>SUM(N290:N306)</f>
        <v>0</v>
      </c>
      <c r="O307" s="314"/>
      <c r="P307" s="128"/>
      <c r="Q307" s="362">
        <f>SUM(Q290:Q306)</f>
        <v>0</v>
      </c>
      <c r="R307" s="362">
        <f>SUM(R290:R306)</f>
        <v>0</v>
      </c>
      <c r="S307" s="166"/>
      <c r="T307" s="166"/>
    </row>
    <row r="308" spans="1:20" hidden="1" outlineLevel="1" x14ac:dyDescent="0.25">
      <c r="A308" s="329" t="s">
        <v>1326</v>
      </c>
      <c r="B308" s="325" t="s">
        <v>2004</v>
      </c>
      <c r="C308" s="320">
        <v>2</v>
      </c>
      <c r="D308" s="327" t="s">
        <v>1955</v>
      </c>
      <c r="E308" s="319"/>
      <c r="F308" s="319"/>
      <c r="G308" s="319"/>
      <c r="H308" s="366">
        <f t="shared" ref="H308:H340" si="115">+SUM(F308:G308)</f>
        <v>0</v>
      </c>
      <c r="I308" s="319"/>
      <c r="J308" s="377">
        <f t="shared" ref="J308:J340" si="116">+ROUND(I308*H308,2)</f>
        <v>0</v>
      </c>
      <c r="K308" s="341">
        <f t="shared" ref="K308:K340" si="117">J308</f>
        <v>0</v>
      </c>
      <c r="L308" s="319"/>
      <c r="M308" s="377">
        <f t="shared" ref="M308:M340" si="118">+ROUND(L308*H308,2)</f>
        <v>0</v>
      </c>
      <c r="N308" s="353">
        <f t="shared" ref="N308:N340" si="119">M308</f>
        <v>0</v>
      </c>
      <c r="O308" s="319"/>
      <c r="P308" s="128" t="s">
        <v>1004</v>
      </c>
      <c r="Q308" s="361">
        <f t="shared" ref="Q308:Q340" si="120">+ROUND((K308)*(1+SUMIF($Q$2:$Q$4,P308,$R$2:$R$4)),0)</f>
        <v>0</v>
      </c>
      <c r="R308" s="361">
        <f t="shared" ref="R308:R340" si="121">+ROUND((N308)*(1+SUMIF($Q$2:$Q$4,P308,$R$2:$R$4)),0)</f>
        <v>0</v>
      </c>
      <c r="S308" s="166"/>
      <c r="T308" s="166"/>
    </row>
    <row r="309" spans="1:20" hidden="1" outlineLevel="1" x14ac:dyDescent="0.25">
      <c r="A309" s="329" t="s">
        <v>1326</v>
      </c>
      <c r="B309" s="325" t="s">
        <v>2004</v>
      </c>
      <c r="C309" s="320">
        <v>2.1</v>
      </c>
      <c r="D309" s="327" t="s">
        <v>1956</v>
      </c>
      <c r="E309" s="319"/>
      <c r="F309" s="319"/>
      <c r="G309" s="319"/>
      <c r="H309" s="366">
        <f t="shared" si="115"/>
        <v>0</v>
      </c>
      <c r="I309" s="319"/>
      <c r="J309" s="377">
        <f t="shared" si="116"/>
        <v>0</v>
      </c>
      <c r="K309" s="341">
        <f t="shared" si="117"/>
        <v>0</v>
      </c>
      <c r="L309" s="319"/>
      <c r="M309" s="377">
        <f t="shared" si="118"/>
        <v>0</v>
      </c>
      <c r="N309" s="353">
        <f t="shared" si="119"/>
        <v>0</v>
      </c>
      <c r="O309" s="319"/>
      <c r="P309" s="128" t="s">
        <v>1004</v>
      </c>
      <c r="Q309" s="361">
        <f t="shared" si="120"/>
        <v>0</v>
      </c>
      <c r="R309" s="361">
        <f t="shared" si="121"/>
        <v>0</v>
      </c>
      <c r="S309" s="166"/>
      <c r="T309" s="166"/>
    </row>
    <row r="310" spans="1:20" hidden="1" outlineLevel="1" x14ac:dyDescent="0.25">
      <c r="A310" s="329" t="s">
        <v>1326</v>
      </c>
      <c r="B310" s="325" t="s">
        <v>2004</v>
      </c>
      <c r="C310" s="320" t="s">
        <v>1405</v>
      </c>
      <c r="D310" s="327" t="s">
        <v>1707</v>
      </c>
      <c r="E310" s="320" t="s">
        <v>1384</v>
      </c>
      <c r="F310" s="312"/>
      <c r="G310" s="312"/>
      <c r="H310" s="366">
        <f t="shared" si="115"/>
        <v>0</v>
      </c>
      <c r="I310" s="312"/>
      <c r="J310" s="375">
        <f t="shared" si="116"/>
        <v>0</v>
      </c>
      <c r="K310" s="336">
        <f t="shared" si="117"/>
        <v>0</v>
      </c>
      <c r="L310" s="312"/>
      <c r="M310" s="375">
        <f t="shared" si="118"/>
        <v>0</v>
      </c>
      <c r="N310" s="349">
        <f t="shared" si="119"/>
        <v>0</v>
      </c>
      <c r="O310" s="319"/>
      <c r="P310" s="128" t="s">
        <v>1004</v>
      </c>
      <c r="Q310" s="361">
        <f t="shared" si="120"/>
        <v>0</v>
      </c>
      <c r="R310" s="361">
        <f t="shared" si="121"/>
        <v>0</v>
      </c>
      <c r="S310" s="166"/>
      <c r="T310" s="166"/>
    </row>
    <row r="311" spans="1:20" hidden="1" outlineLevel="1" x14ac:dyDescent="0.25">
      <c r="A311" s="329" t="s">
        <v>1326</v>
      </c>
      <c r="B311" s="325" t="s">
        <v>2004</v>
      </c>
      <c r="C311" s="320" t="s">
        <v>2005</v>
      </c>
      <c r="D311" s="327" t="s">
        <v>1959</v>
      </c>
      <c r="E311" s="319"/>
      <c r="F311" s="319"/>
      <c r="G311" s="319"/>
      <c r="H311" s="366">
        <f t="shared" si="115"/>
        <v>0</v>
      </c>
      <c r="I311" s="319"/>
      <c r="J311" s="377">
        <f t="shared" si="116"/>
        <v>0</v>
      </c>
      <c r="K311" s="341">
        <f t="shared" si="117"/>
        <v>0</v>
      </c>
      <c r="L311" s="319"/>
      <c r="M311" s="377">
        <f t="shared" si="118"/>
        <v>0</v>
      </c>
      <c r="N311" s="353">
        <f t="shared" si="119"/>
        <v>0</v>
      </c>
      <c r="O311" s="319"/>
      <c r="P311" s="128" t="s">
        <v>1004</v>
      </c>
      <c r="Q311" s="361">
        <f t="shared" si="120"/>
        <v>0</v>
      </c>
      <c r="R311" s="361">
        <f t="shared" si="121"/>
        <v>0</v>
      </c>
      <c r="S311" s="166"/>
      <c r="T311" s="166"/>
    </row>
    <row r="312" spans="1:20" hidden="1" outlineLevel="1" x14ac:dyDescent="0.25">
      <c r="A312" s="329" t="s">
        <v>1326</v>
      </c>
      <c r="B312" s="325" t="s">
        <v>2004</v>
      </c>
      <c r="C312" s="320" t="s">
        <v>1708</v>
      </c>
      <c r="D312" s="324" t="s">
        <v>1709</v>
      </c>
      <c r="E312" s="320" t="s">
        <v>1384</v>
      </c>
      <c r="F312" s="312"/>
      <c r="G312" s="312"/>
      <c r="H312" s="366">
        <f t="shared" si="115"/>
        <v>0</v>
      </c>
      <c r="I312" s="312"/>
      <c r="J312" s="375">
        <f t="shared" si="116"/>
        <v>0</v>
      </c>
      <c r="K312" s="336">
        <f t="shared" si="117"/>
        <v>0</v>
      </c>
      <c r="L312" s="312"/>
      <c r="M312" s="375">
        <f t="shared" si="118"/>
        <v>0</v>
      </c>
      <c r="N312" s="349">
        <f t="shared" si="119"/>
        <v>0</v>
      </c>
      <c r="O312" s="319"/>
      <c r="P312" s="128" t="s">
        <v>1004</v>
      </c>
      <c r="Q312" s="361">
        <f t="shared" si="120"/>
        <v>0</v>
      </c>
      <c r="R312" s="361">
        <f t="shared" si="121"/>
        <v>0</v>
      </c>
      <c r="S312" s="166"/>
      <c r="T312" s="166"/>
    </row>
    <row r="313" spans="1:20" hidden="1" outlineLevel="1" x14ac:dyDescent="0.25">
      <c r="A313" s="329" t="s">
        <v>1326</v>
      </c>
      <c r="B313" s="325" t="s">
        <v>2004</v>
      </c>
      <c r="C313" s="320" t="s">
        <v>1710</v>
      </c>
      <c r="D313" s="324" t="s">
        <v>1631</v>
      </c>
      <c r="E313" s="320" t="s">
        <v>1384</v>
      </c>
      <c r="F313" s="312"/>
      <c r="G313" s="312"/>
      <c r="H313" s="366">
        <f t="shared" si="115"/>
        <v>0</v>
      </c>
      <c r="I313" s="312"/>
      <c r="J313" s="375">
        <f t="shared" si="116"/>
        <v>0</v>
      </c>
      <c r="K313" s="336">
        <f t="shared" si="117"/>
        <v>0</v>
      </c>
      <c r="L313" s="312"/>
      <c r="M313" s="375">
        <f t="shared" si="118"/>
        <v>0</v>
      </c>
      <c r="N313" s="349">
        <f t="shared" si="119"/>
        <v>0</v>
      </c>
      <c r="O313" s="319"/>
      <c r="P313" s="128" t="s">
        <v>1004</v>
      </c>
      <c r="Q313" s="361">
        <f t="shared" si="120"/>
        <v>0</v>
      </c>
      <c r="R313" s="361">
        <f t="shared" si="121"/>
        <v>0</v>
      </c>
      <c r="S313" s="166"/>
      <c r="T313" s="166"/>
    </row>
    <row r="314" spans="1:20" hidden="1" outlineLevel="1" x14ac:dyDescent="0.25">
      <c r="A314" s="329" t="s">
        <v>1326</v>
      </c>
      <c r="B314" s="325" t="s">
        <v>2004</v>
      </c>
      <c r="C314" s="320" t="s">
        <v>1711</v>
      </c>
      <c r="D314" s="324" t="s">
        <v>1712</v>
      </c>
      <c r="E314" s="320" t="s">
        <v>1384</v>
      </c>
      <c r="F314" s="312"/>
      <c r="G314" s="312"/>
      <c r="H314" s="366">
        <f t="shared" si="115"/>
        <v>0</v>
      </c>
      <c r="I314" s="312"/>
      <c r="J314" s="375">
        <f t="shared" si="116"/>
        <v>0</v>
      </c>
      <c r="K314" s="336">
        <f t="shared" si="117"/>
        <v>0</v>
      </c>
      <c r="L314" s="312"/>
      <c r="M314" s="375">
        <f t="shared" si="118"/>
        <v>0</v>
      </c>
      <c r="N314" s="349">
        <f t="shared" si="119"/>
        <v>0</v>
      </c>
      <c r="O314" s="319"/>
      <c r="P314" s="128" t="s">
        <v>1004</v>
      </c>
      <c r="Q314" s="361">
        <f t="shared" si="120"/>
        <v>0</v>
      </c>
      <c r="R314" s="361">
        <f t="shared" si="121"/>
        <v>0</v>
      </c>
      <c r="S314" s="166"/>
      <c r="T314" s="166"/>
    </row>
    <row r="315" spans="1:20" hidden="1" outlineLevel="1" x14ac:dyDescent="0.25">
      <c r="A315" s="329" t="s">
        <v>1332</v>
      </c>
      <c r="B315" s="332" t="s">
        <v>2004</v>
      </c>
      <c r="C315" s="320" t="s">
        <v>2006</v>
      </c>
      <c r="D315" s="327" t="s">
        <v>1960</v>
      </c>
      <c r="E315" s="319"/>
      <c r="F315" s="319"/>
      <c r="G315" s="319"/>
      <c r="H315" s="366">
        <f t="shared" si="115"/>
        <v>0</v>
      </c>
      <c r="I315" s="319"/>
      <c r="J315" s="377">
        <f t="shared" si="116"/>
        <v>0</v>
      </c>
      <c r="K315" s="342">
        <f t="shared" si="117"/>
        <v>0</v>
      </c>
      <c r="L315" s="320"/>
      <c r="M315" s="380">
        <f t="shared" si="118"/>
        <v>0</v>
      </c>
      <c r="N315" s="354">
        <f t="shared" si="119"/>
        <v>0</v>
      </c>
      <c r="O315" s="320"/>
      <c r="P315" s="128" t="s">
        <v>1004</v>
      </c>
      <c r="Q315" s="361">
        <f t="shared" si="120"/>
        <v>0</v>
      </c>
      <c r="R315" s="361">
        <f t="shared" si="121"/>
        <v>0</v>
      </c>
      <c r="S315" s="166"/>
      <c r="T315" s="166"/>
    </row>
    <row r="316" spans="1:20" hidden="1" outlineLevel="1" x14ac:dyDescent="0.25">
      <c r="A316" s="329" t="s">
        <v>1332</v>
      </c>
      <c r="B316" s="329" t="s">
        <v>2004</v>
      </c>
      <c r="C316" s="320" t="s">
        <v>1713</v>
      </c>
      <c r="D316" s="324" t="s">
        <v>1714</v>
      </c>
      <c r="E316" s="319"/>
      <c r="F316" s="319"/>
      <c r="G316" s="319"/>
      <c r="H316" s="366">
        <f t="shared" si="115"/>
        <v>0</v>
      </c>
      <c r="I316" s="318"/>
      <c r="J316" s="377">
        <f t="shared" si="116"/>
        <v>0</v>
      </c>
      <c r="K316" s="336">
        <f t="shared" si="117"/>
        <v>0</v>
      </c>
      <c r="L316" s="318"/>
      <c r="M316" s="377">
        <f t="shared" si="118"/>
        <v>0</v>
      </c>
      <c r="N316" s="349">
        <f t="shared" si="119"/>
        <v>0</v>
      </c>
      <c r="O316" s="319"/>
      <c r="P316" s="128" t="s">
        <v>1004</v>
      </c>
      <c r="Q316" s="361">
        <f t="shared" si="120"/>
        <v>0</v>
      </c>
      <c r="R316" s="361">
        <f t="shared" si="121"/>
        <v>0</v>
      </c>
      <c r="S316" s="166"/>
      <c r="T316" s="166"/>
    </row>
    <row r="317" spans="1:20" hidden="1" outlineLevel="1" x14ac:dyDescent="0.25">
      <c r="A317" s="329" t="s">
        <v>1332</v>
      </c>
      <c r="B317" s="329" t="s">
        <v>2004</v>
      </c>
      <c r="C317" s="320" t="s">
        <v>1715</v>
      </c>
      <c r="D317" s="324" t="s">
        <v>1716</v>
      </c>
      <c r="E317" s="320" t="s">
        <v>1384</v>
      </c>
      <c r="F317" s="312"/>
      <c r="G317" s="312"/>
      <c r="H317" s="366">
        <f t="shared" si="115"/>
        <v>0</v>
      </c>
      <c r="I317" s="312"/>
      <c r="J317" s="375">
        <f t="shared" si="116"/>
        <v>0</v>
      </c>
      <c r="K317" s="336">
        <f t="shared" si="117"/>
        <v>0</v>
      </c>
      <c r="L317" s="312"/>
      <c r="M317" s="375">
        <f t="shared" si="118"/>
        <v>0</v>
      </c>
      <c r="N317" s="349">
        <f t="shared" si="119"/>
        <v>0</v>
      </c>
      <c r="O317" s="319"/>
      <c r="P317" s="128" t="s">
        <v>1004</v>
      </c>
      <c r="Q317" s="361">
        <f t="shared" si="120"/>
        <v>0</v>
      </c>
      <c r="R317" s="361">
        <f t="shared" si="121"/>
        <v>0</v>
      </c>
      <c r="S317" s="166"/>
      <c r="T317" s="166"/>
    </row>
    <row r="318" spans="1:20" hidden="1" outlineLevel="1" x14ac:dyDescent="0.25">
      <c r="A318" s="329" t="s">
        <v>1330</v>
      </c>
      <c r="B318" s="329" t="s">
        <v>2004</v>
      </c>
      <c r="C318" s="320" t="s">
        <v>1717</v>
      </c>
      <c r="D318" s="324" t="s">
        <v>1718</v>
      </c>
      <c r="E318" s="320" t="s">
        <v>1384</v>
      </c>
      <c r="F318" s="312"/>
      <c r="G318" s="312"/>
      <c r="H318" s="366">
        <f t="shared" si="115"/>
        <v>0</v>
      </c>
      <c r="I318" s="312"/>
      <c r="J318" s="375">
        <f t="shared" si="116"/>
        <v>0</v>
      </c>
      <c r="K318" s="336">
        <f t="shared" si="117"/>
        <v>0</v>
      </c>
      <c r="L318" s="312"/>
      <c r="M318" s="375">
        <f t="shared" si="118"/>
        <v>0</v>
      </c>
      <c r="N318" s="349">
        <f t="shared" si="119"/>
        <v>0</v>
      </c>
      <c r="O318" s="319"/>
      <c r="P318" s="128" t="s">
        <v>1004</v>
      </c>
      <c r="Q318" s="361">
        <f t="shared" si="120"/>
        <v>0</v>
      </c>
      <c r="R318" s="361">
        <f t="shared" si="121"/>
        <v>0</v>
      </c>
      <c r="S318" s="166"/>
      <c r="T318" s="166"/>
    </row>
    <row r="319" spans="1:20" hidden="1" outlineLevel="1" x14ac:dyDescent="0.25">
      <c r="A319" s="329" t="s">
        <v>1326</v>
      </c>
      <c r="B319" s="329" t="s">
        <v>2004</v>
      </c>
      <c r="C319" s="320" t="s">
        <v>2007</v>
      </c>
      <c r="D319" s="327" t="s">
        <v>1965</v>
      </c>
      <c r="E319" s="319"/>
      <c r="F319" s="319"/>
      <c r="G319" s="319"/>
      <c r="H319" s="366">
        <f t="shared" si="115"/>
        <v>0</v>
      </c>
      <c r="I319" s="318"/>
      <c r="J319" s="377">
        <f t="shared" si="116"/>
        <v>0</v>
      </c>
      <c r="K319" s="336">
        <f t="shared" si="117"/>
        <v>0</v>
      </c>
      <c r="L319" s="318"/>
      <c r="M319" s="377">
        <f t="shared" si="118"/>
        <v>0</v>
      </c>
      <c r="N319" s="349">
        <f t="shared" si="119"/>
        <v>0</v>
      </c>
      <c r="O319" s="319"/>
      <c r="P319" s="128" t="s">
        <v>1004</v>
      </c>
      <c r="Q319" s="361">
        <f t="shared" si="120"/>
        <v>0</v>
      </c>
      <c r="R319" s="361">
        <f t="shared" si="121"/>
        <v>0</v>
      </c>
      <c r="S319" s="166"/>
      <c r="T319" s="166"/>
    </row>
    <row r="320" spans="1:20" hidden="1" outlineLevel="1" x14ac:dyDescent="0.25">
      <c r="A320" s="329" t="s">
        <v>1326</v>
      </c>
      <c r="B320" s="329" t="s">
        <v>2004</v>
      </c>
      <c r="C320" s="320" t="s">
        <v>1719</v>
      </c>
      <c r="D320" s="324" t="s">
        <v>1720</v>
      </c>
      <c r="E320" s="320" t="s">
        <v>1384</v>
      </c>
      <c r="F320" s="312"/>
      <c r="G320" s="312"/>
      <c r="H320" s="366">
        <f t="shared" si="115"/>
        <v>0</v>
      </c>
      <c r="I320" s="312"/>
      <c r="J320" s="375">
        <f t="shared" si="116"/>
        <v>0</v>
      </c>
      <c r="K320" s="336">
        <f t="shared" si="117"/>
        <v>0</v>
      </c>
      <c r="L320" s="312"/>
      <c r="M320" s="375">
        <f t="shared" si="118"/>
        <v>0</v>
      </c>
      <c r="N320" s="349">
        <f t="shared" si="119"/>
        <v>0</v>
      </c>
      <c r="O320" s="319"/>
      <c r="P320" s="128" t="s">
        <v>1004</v>
      </c>
      <c r="Q320" s="361">
        <f t="shared" si="120"/>
        <v>0</v>
      </c>
      <c r="R320" s="361">
        <f t="shared" si="121"/>
        <v>0</v>
      </c>
      <c r="S320" s="166"/>
      <c r="T320" s="166"/>
    </row>
    <row r="321" spans="1:20" hidden="1" outlineLevel="1" x14ac:dyDescent="0.25">
      <c r="A321" s="329" t="s">
        <v>1326</v>
      </c>
      <c r="B321" s="329" t="s">
        <v>2004</v>
      </c>
      <c r="C321" s="320" t="s">
        <v>1721</v>
      </c>
      <c r="D321" s="324" t="s">
        <v>1644</v>
      </c>
      <c r="E321" s="320" t="s">
        <v>1384</v>
      </c>
      <c r="F321" s="312"/>
      <c r="G321" s="312"/>
      <c r="H321" s="366">
        <f t="shared" si="115"/>
        <v>0</v>
      </c>
      <c r="I321" s="312"/>
      <c r="J321" s="375">
        <f t="shared" si="116"/>
        <v>0</v>
      </c>
      <c r="K321" s="336">
        <f t="shared" si="117"/>
        <v>0</v>
      </c>
      <c r="L321" s="312"/>
      <c r="M321" s="375">
        <f t="shared" si="118"/>
        <v>0</v>
      </c>
      <c r="N321" s="349">
        <f t="shared" si="119"/>
        <v>0</v>
      </c>
      <c r="O321" s="319"/>
      <c r="P321" s="128" t="s">
        <v>1004</v>
      </c>
      <c r="Q321" s="361">
        <f t="shared" si="120"/>
        <v>0</v>
      </c>
      <c r="R321" s="361">
        <f t="shared" si="121"/>
        <v>0</v>
      </c>
      <c r="S321" s="166"/>
      <c r="T321" s="166"/>
    </row>
    <row r="322" spans="1:20" hidden="1" outlineLevel="1" x14ac:dyDescent="0.25">
      <c r="A322" s="329" t="s">
        <v>1326</v>
      </c>
      <c r="B322" s="329" t="s">
        <v>2004</v>
      </c>
      <c r="C322" s="320" t="s">
        <v>1722</v>
      </c>
      <c r="D322" s="324" t="s">
        <v>1966</v>
      </c>
      <c r="E322" s="320" t="s">
        <v>1384</v>
      </c>
      <c r="F322" s="312"/>
      <c r="G322" s="312"/>
      <c r="H322" s="366">
        <f t="shared" si="115"/>
        <v>0</v>
      </c>
      <c r="I322" s="312"/>
      <c r="J322" s="375">
        <f t="shared" si="116"/>
        <v>0</v>
      </c>
      <c r="K322" s="336">
        <f t="shared" si="117"/>
        <v>0</v>
      </c>
      <c r="L322" s="312"/>
      <c r="M322" s="375">
        <f t="shared" si="118"/>
        <v>0</v>
      </c>
      <c r="N322" s="349">
        <f t="shared" si="119"/>
        <v>0</v>
      </c>
      <c r="O322" s="319"/>
      <c r="P322" s="128" t="s">
        <v>1004</v>
      </c>
      <c r="Q322" s="361">
        <f t="shared" si="120"/>
        <v>0</v>
      </c>
      <c r="R322" s="361">
        <f t="shared" si="121"/>
        <v>0</v>
      </c>
      <c r="S322" s="166"/>
      <c r="T322" s="166"/>
    </row>
    <row r="323" spans="1:20" hidden="1" outlineLevel="1" x14ac:dyDescent="0.25">
      <c r="A323" s="329" t="s">
        <v>1326</v>
      </c>
      <c r="B323" s="329" t="s">
        <v>2004</v>
      </c>
      <c r="C323" s="320" t="s">
        <v>2008</v>
      </c>
      <c r="D323" s="327" t="s">
        <v>1968</v>
      </c>
      <c r="E323" s="319"/>
      <c r="F323" s="319"/>
      <c r="G323" s="319"/>
      <c r="H323" s="366">
        <f t="shared" si="115"/>
        <v>0</v>
      </c>
      <c r="I323" s="318"/>
      <c r="J323" s="377">
        <f t="shared" si="116"/>
        <v>0</v>
      </c>
      <c r="K323" s="336">
        <f t="shared" si="117"/>
        <v>0</v>
      </c>
      <c r="L323" s="318"/>
      <c r="M323" s="377">
        <f t="shared" si="118"/>
        <v>0</v>
      </c>
      <c r="N323" s="349">
        <f t="shared" si="119"/>
        <v>0</v>
      </c>
      <c r="O323" s="319"/>
      <c r="P323" s="128" t="s">
        <v>1004</v>
      </c>
      <c r="Q323" s="361">
        <f t="shared" si="120"/>
        <v>0</v>
      </c>
      <c r="R323" s="361">
        <f t="shared" si="121"/>
        <v>0</v>
      </c>
      <c r="S323" s="166"/>
      <c r="T323" s="166"/>
    </row>
    <row r="324" spans="1:20" hidden="1" outlineLevel="1" x14ac:dyDescent="0.25">
      <c r="A324" s="329" t="s">
        <v>1326</v>
      </c>
      <c r="B324" s="329" t="s">
        <v>2004</v>
      </c>
      <c r="C324" s="320" t="s">
        <v>1723</v>
      </c>
      <c r="D324" s="324" t="s">
        <v>1647</v>
      </c>
      <c r="E324" s="320" t="s">
        <v>1384</v>
      </c>
      <c r="F324" s="312"/>
      <c r="G324" s="312"/>
      <c r="H324" s="366">
        <f t="shared" si="115"/>
        <v>0</v>
      </c>
      <c r="I324" s="312"/>
      <c r="J324" s="375">
        <f t="shared" si="116"/>
        <v>0</v>
      </c>
      <c r="K324" s="336">
        <f t="shared" si="117"/>
        <v>0</v>
      </c>
      <c r="L324" s="312"/>
      <c r="M324" s="375">
        <f t="shared" si="118"/>
        <v>0</v>
      </c>
      <c r="N324" s="349">
        <f t="shared" si="119"/>
        <v>0</v>
      </c>
      <c r="O324" s="319"/>
      <c r="P324" s="128" t="s">
        <v>1004</v>
      </c>
      <c r="Q324" s="361">
        <f t="shared" si="120"/>
        <v>0</v>
      </c>
      <c r="R324" s="361">
        <f t="shared" si="121"/>
        <v>0</v>
      </c>
      <c r="S324" s="166"/>
      <c r="T324" s="166"/>
    </row>
    <row r="325" spans="1:20" hidden="1" outlineLevel="1" x14ac:dyDescent="0.25">
      <c r="A325" s="329" t="s">
        <v>1326</v>
      </c>
      <c r="B325" s="329" t="s">
        <v>2004</v>
      </c>
      <c r="C325" s="320" t="s">
        <v>2009</v>
      </c>
      <c r="D325" s="327" t="s">
        <v>2010</v>
      </c>
      <c r="E325" s="319"/>
      <c r="F325" s="319"/>
      <c r="G325" s="319"/>
      <c r="H325" s="366">
        <f t="shared" si="115"/>
        <v>0</v>
      </c>
      <c r="I325" s="318"/>
      <c r="J325" s="377">
        <f t="shared" si="116"/>
        <v>0</v>
      </c>
      <c r="K325" s="336">
        <f t="shared" si="117"/>
        <v>0</v>
      </c>
      <c r="L325" s="318"/>
      <c r="M325" s="377">
        <f t="shared" si="118"/>
        <v>0</v>
      </c>
      <c r="N325" s="349">
        <f t="shared" si="119"/>
        <v>0</v>
      </c>
      <c r="O325" s="319"/>
      <c r="P325" s="128" t="s">
        <v>1004</v>
      </c>
      <c r="Q325" s="361">
        <f t="shared" si="120"/>
        <v>0</v>
      </c>
      <c r="R325" s="361">
        <f t="shared" si="121"/>
        <v>0</v>
      </c>
      <c r="S325" s="166"/>
      <c r="T325" s="166"/>
    </row>
    <row r="326" spans="1:20" ht="24" hidden="1" outlineLevel="1" x14ac:dyDescent="0.25">
      <c r="A326" s="329" t="s">
        <v>1326</v>
      </c>
      <c r="B326" s="329" t="s">
        <v>2004</v>
      </c>
      <c r="C326" s="320" t="s">
        <v>1724</v>
      </c>
      <c r="D326" s="324" t="s">
        <v>1725</v>
      </c>
      <c r="E326" s="320" t="s">
        <v>1384</v>
      </c>
      <c r="F326" s="312"/>
      <c r="G326" s="312"/>
      <c r="H326" s="366">
        <f t="shared" si="115"/>
        <v>0</v>
      </c>
      <c r="I326" s="312"/>
      <c r="J326" s="375">
        <f t="shared" si="116"/>
        <v>0</v>
      </c>
      <c r="K326" s="336">
        <f t="shared" si="117"/>
        <v>0</v>
      </c>
      <c r="L326" s="312"/>
      <c r="M326" s="375">
        <f t="shared" si="118"/>
        <v>0</v>
      </c>
      <c r="N326" s="349">
        <f t="shared" si="119"/>
        <v>0</v>
      </c>
      <c r="O326" s="319"/>
      <c r="P326" s="128" t="s">
        <v>1004</v>
      </c>
      <c r="Q326" s="361">
        <f t="shared" si="120"/>
        <v>0</v>
      </c>
      <c r="R326" s="361">
        <f t="shared" si="121"/>
        <v>0</v>
      </c>
      <c r="S326" s="166"/>
      <c r="T326" s="166"/>
    </row>
    <row r="327" spans="1:20" hidden="1" outlineLevel="1" x14ac:dyDescent="0.25">
      <c r="A327" s="329" t="s">
        <v>1326</v>
      </c>
      <c r="B327" s="329" t="s">
        <v>2004</v>
      </c>
      <c r="C327" s="320">
        <v>2.2000000000000002</v>
      </c>
      <c r="D327" s="327" t="s">
        <v>1970</v>
      </c>
      <c r="E327" s="319"/>
      <c r="F327" s="319"/>
      <c r="G327" s="319"/>
      <c r="H327" s="366">
        <f t="shared" si="115"/>
        <v>0</v>
      </c>
      <c r="I327" s="318"/>
      <c r="J327" s="377">
        <f t="shared" si="116"/>
        <v>0</v>
      </c>
      <c r="K327" s="336">
        <f t="shared" si="117"/>
        <v>0</v>
      </c>
      <c r="L327" s="318"/>
      <c r="M327" s="377">
        <f t="shared" si="118"/>
        <v>0</v>
      </c>
      <c r="N327" s="349">
        <f t="shared" si="119"/>
        <v>0</v>
      </c>
      <c r="O327" s="319"/>
      <c r="P327" s="128" t="s">
        <v>1004</v>
      </c>
      <c r="Q327" s="361">
        <f t="shared" si="120"/>
        <v>0</v>
      </c>
      <c r="R327" s="361">
        <f t="shared" si="121"/>
        <v>0</v>
      </c>
      <c r="S327" s="166"/>
      <c r="T327" s="166"/>
    </row>
    <row r="328" spans="1:20" hidden="1" outlineLevel="1" x14ac:dyDescent="0.25">
      <c r="A328" s="329" t="s">
        <v>1338</v>
      </c>
      <c r="B328" s="329" t="s">
        <v>2004</v>
      </c>
      <c r="C328" s="320" t="s">
        <v>1408</v>
      </c>
      <c r="D328" s="327" t="s">
        <v>2011</v>
      </c>
      <c r="E328" s="319"/>
      <c r="F328" s="319"/>
      <c r="G328" s="319"/>
      <c r="H328" s="366">
        <f t="shared" si="115"/>
        <v>0</v>
      </c>
      <c r="I328" s="318"/>
      <c r="J328" s="377">
        <f t="shared" si="116"/>
        <v>0</v>
      </c>
      <c r="K328" s="336">
        <f t="shared" si="117"/>
        <v>0</v>
      </c>
      <c r="L328" s="318"/>
      <c r="M328" s="377">
        <f t="shared" si="118"/>
        <v>0</v>
      </c>
      <c r="N328" s="349">
        <f t="shared" si="119"/>
        <v>0</v>
      </c>
      <c r="O328" s="319"/>
      <c r="P328" s="128" t="s">
        <v>1004</v>
      </c>
      <c r="Q328" s="361">
        <f t="shared" si="120"/>
        <v>0</v>
      </c>
      <c r="R328" s="361">
        <f t="shared" si="121"/>
        <v>0</v>
      </c>
      <c r="S328" s="166"/>
      <c r="T328" s="166"/>
    </row>
    <row r="329" spans="1:20" hidden="1" outlineLevel="1" x14ac:dyDescent="0.25">
      <c r="A329" s="329" t="s">
        <v>1338</v>
      </c>
      <c r="B329" s="329" t="s">
        <v>2004</v>
      </c>
      <c r="C329" s="320" t="s">
        <v>1726</v>
      </c>
      <c r="D329" s="324" t="s">
        <v>1727</v>
      </c>
      <c r="E329" s="320" t="s">
        <v>1384</v>
      </c>
      <c r="F329" s="312"/>
      <c r="G329" s="312"/>
      <c r="H329" s="366">
        <f t="shared" si="115"/>
        <v>0</v>
      </c>
      <c r="I329" s="312"/>
      <c r="J329" s="375">
        <f t="shared" si="116"/>
        <v>0</v>
      </c>
      <c r="K329" s="336">
        <f t="shared" si="117"/>
        <v>0</v>
      </c>
      <c r="L329" s="312"/>
      <c r="M329" s="375">
        <f t="shared" si="118"/>
        <v>0</v>
      </c>
      <c r="N329" s="349">
        <f t="shared" si="119"/>
        <v>0</v>
      </c>
      <c r="O329" s="319"/>
      <c r="P329" s="128" t="s">
        <v>1004</v>
      </c>
      <c r="Q329" s="361">
        <f t="shared" si="120"/>
        <v>0</v>
      </c>
      <c r="R329" s="361">
        <f t="shared" si="121"/>
        <v>0</v>
      </c>
      <c r="S329" s="166"/>
      <c r="T329" s="166"/>
    </row>
    <row r="330" spans="1:20" hidden="1" outlineLevel="1" x14ac:dyDescent="0.25">
      <c r="A330" s="329" t="s">
        <v>1338</v>
      </c>
      <c r="B330" s="329" t="s">
        <v>2004</v>
      </c>
      <c r="C330" s="320" t="s">
        <v>1728</v>
      </c>
      <c r="D330" s="324" t="s">
        <v>1652</v>
      </c>
      <c r="E330" s="320" t="s">
        <v>1384</v>
      </c>
      <c r="F330" s="312"/>
      <c r="G330" s="312"/>
      <c r="H330" s="366">
        <f t="shared" si="115"/>
        <v>0</v>
      </c>
      <c r="I330" s="312"/>
      <c r="J330" s="375">
        <f t="shared" si="116"/>
        <v>0</v>
      </c>
      <c r="K330" s="336">
        <f t="shared" si="117"/>
        <v>0</v>
      </c>
      <c r="L330" s="312"/>
      <c r="M330" s="375">
        <f t="shared" si="118"/>
        <v>0</v>
      </c>
      <c r="N330" s="349">
        <f t="shared" si="119"/>
        <v>0</v>
      </c>
      <c r="O330" s="319"/>
      <c r="P330" s="128" t="s">
        <v>1004</v>
      </c>
      <c r="Q330" s="361">
        <f t="shared" si="120"/>
        <v>0</v>
      </c>
      <c r="R330" s="361">
        <f t="shared" si="121"/>
        <v>0</v>
      </c>
      <c r="S330" s="166"/>
      <c r="T330" s="166"/>
    </row>
    <row r="331" spans="1:20" hidden="1" outlineLevel="1" x14ac:dyDescent="0.25">
      <c r="A331" s="329" t="s">
        <v>1338</v>
      </c>
      <c r="B331" s="329" t="s">
        <v>2004</v>
      </c>
      <c r="C331" s="320" t="s">
        <v>1729</v>
      </c>
      <c r="D331" s="324" t="s">
        <v>1730</v>
      </c>
      <c r="E331" s="320" t="s">
        <v>1384</v>
      </c>
      <c r="F331" s="312"/>
      <c r="G331" s="312"/>
      <c r="H331" s="366">
        <f t="shared" si="115"/>
        <v>0</v>
      </c>
      <c r="I331" s="312"/>
      <c r="J331" s="375">
        <f t="shared" si="116"/>
        <v>0</v>
      </c>
      <c r="K331" s="336">
        <f t="shared" si="117"/>
        <v>0</v>
      </c>
      <c r="L331" s="312"/>
      <c r="M331" s="375">
        <f t="shared" si="118"/>
        <v>0</v>
      </c>
      <c r="N331" s="349">
        <f t="shared" si="119"/>
        <v>0</v>
      </c>
      <c r="O331" s="319"/>
      <c r="P331" s="128" t="s">
        <v>1004</v>
      </c>
      <c r="Q331" s="361">
        <f t="shared" si="120"/>
        <v>0</v>
      </c>
      <c r="R331" s="361">
        <f t="shared" si="121"/>
        <v>0</v>
      </c>
      <c r="S331" s="166"/>
      <c r="T331" s="166"/>
    </row>
    <row r="332" spans="1:20" ht="24" hidden="1" outlineLevel="1" x14ac:dyDescent="0.25">
      <c r="A332" s="329" t="s">
        <v>1338</v>
      </c>
      <c r="B332" s="329" t="s">
        <v>2004</v>
      </c>
      <c r="C332" s="320" t="s">
        <v>1731</v>
      </c>
      <c r="D332" s="324" t="s">
        <v>1732</v>
      </c>
      <c r="E332" s="320" t="s">
        <v>1384</v>
      </c>
      <c r="F332" s="312"/>
      <c r="G332" s="312"/>
      <c r="H332" s="366">
        <f t="shared" si="115"/>
        <v>0</v>
      </c>
      <c r="I332" s="312"/>
      <c r="J332" s="375">
        <f t="shared" si="116"/>
        <v>0</v>
      </c>
      <c r="K332" s="336">
        <f t="shared" si="117"/>
        <v>0</v>
      </c>
      <c r="L332" s="312"/>
      <c r="M332" s="375">
        <f t="shared" si="118"/>
        <v>0</v>
      </c>
      <c r="N332" s="349">
        <f t="shared" si="119"/>
        <v>0</v>
      </c>
      <c r="O332" s="319"/>
      <c r="P332" s="128" t="s">
        <v>1004</v>
      </c>
      <c r="Q332" s="361">
        <f t="shared" si="120"/>
        <v>0</v>
      </c>
      <c r="R332" s="361">
        <f t="shared" si="121"/>
        <v>0</v>
      </c>
      <c r="S332" s="166"/>
      <c r="T332" s="166"/>
    </row>
    <row r="333" spans="1:20" hidden="1" outlineLevel="1" x14ac:dyDescent="0.25">
      <c r="A333" s="329" t="s">
        <v>1328</v>
      </c>
      <c r="B333" s="329" t="s">
        <v>2004</v>
      </c>
      <c r="C333" s="320" t="s">
        <v>1410</v>
      </c>
      <c r="D333" s="327" t="s">
        <v>1972</v>
      </c>
      <c r="E333" s="319"/>
      <c r="F333" s="319"/>
      <c r="G333" s="319"/>
      <c r="H333" s="366">
        <f t="shared" si="115"/>
        <v>0</v>
      </c>
      <c r="I333" s="318"/>
      <c r="J333" s="377">
        <f t="shared" si="116"/>
        <v>0</v>
      </c>
      <c r="K333" s="336">
        <f t="shared" si="117"/>
        <v>0</v>
      </c>
      <c r="L333" s="318"/>
      <c r="M333" s="377">
        <f t="shared" si="118"/>
        <v>0</v>
      </c>
      <c r="N333" s="349">
        <f t="shared" si="119"/>
        <v>0</v>
      </c>
      <c r="O333" s="319"/>
      <c r="P333" s="128" t="s">
        <v>1004</v>
      </c>
      <c r="Q333" s="361">
        <f t="shared" si="120"/>
        <v>0</v>
      </c>
      <c r="R333" s="361">
        <f t="shared" si="121"/>
        <v>0</v>
      </c>
      <c r="S333" s="166"/>
      <c r="T333" s="166"/>
    </row>
    <row r="334" spans="1:20" hidden="1" outlineLevel="1" x14ac:dyDescent="0.25">
      <c r="A334" s="329" t="s">
        <v>1328</v>
      </c>
      <c r="B334" s="329" t="s">
        <v>2004</v>
      </c>
      <c r="C334" s="320" t="s">
        <v>1412</v>
      </c>
      <c r="D334" s="324" t="s">
        <v>2012</v>
      </c>
      <c r="E334" s="320" t="s">
        <v>1384</v>
      </c>
      <c r="F334" s="312"/>
      <c r="G334" s="312"/>
      <c r="H334" s="366">
        <f t="shared" si="115"/>
        <v>0</v>
      </c>
      <c r="I334" s="312"/>
      <c r="J334" s="375">
        <f t="shared" si="116"/>
        <v>0</v>
      </c>
      <c r="K334" s="336">
        <f t="shared" si="117"/>
        <v>0</v>
      </c>
      <c r="L334" s="312"/>
      <c r="M334" s="375">
        <f t="shared" si="118"/>
        <v>0</v>
      </c>
      <c r="N334" s="349">
        <f t="shared" si="119"/>
        <v>0</v>
      </c>
      <c r="O334" s="319"/>
      <c r="P334" s="128" t="s">
        <v>1004</v>
      </c>
      <c r="Q334" s="361">
        <f t="shared" si="120"/>
        <v>0</v>
      </c>
      <c r="R334" s="361">
        <f t="shared" si="121"/>
        <v>0</v>
      </c>
      <c r="S334" s="166"/>
      <c r="T334" s="166"/>
    </row>
    <row r="335" spans="1:20" ht="24" hidden="1" outlineLevel="1" x14ac:dyDescent="0.25">
      <c r="A335" s="329" t="s">
        <v>1328</v>
      </c>
      <c r="B335" s="329" t="s">
        <v>2004</v>
      </c>
      <c r="C335" s="320" t="s">
        <v>1414</v>
      </c>
      <c r="D335" s="324" t="s">
        <v>1725</v>
      </c>
      <c r="E335" s="320" t="s">
        <v>1384</v>
      </c>
      <c r="F335" s="312"/>
      <c r="G335" s="312"/>
      <c r="H335" s="366">
        <f t="shared" si="115"/>
        <v>0</v>
      </c>
      <c r="I335" s="312"/>
      <c r="J335" s="375">
        <f t="shared" si="116"/>
        <v>0</v>
      </c>
      <c r="K335" s="336">
        <f t="shared" si="117"/>
        <v>0</v>
      </c>
      <c r="L335" s="312"/>
      <c r="M335" s="375">
        <f t="shared" si="118"/>
        <v>0</v>
      </c>
      <c r="N335" s="349">
        <f t="shared" si="119"/>
        <v>0</v>
      </c>
      <c r="O335" s="319"/>
      <c r="P335" s="128" t="s">
        <v>1004</v>
      </c>
      <c r="Q335" s="361">
        <f t="shared" si="120"/>
        <v>0</v>
      </c>
      <c r="R335" s="361">
        <f t="shared" si="121"/>
        <v>0</v>
      </c>
      <c r="S335" s="166"/>
      <c r="T335" s="166"/>
    </row>
    <row r="336" spans="1:20" hidden="1" outlineLevel="1" x14ac:dyDescent="0.25">
      <c r="A336" s="329" t="s">
        <v>1328</v>
      </c>
      <c r="B336" s="329" t="s">
        <v>2004</v>
      </c>
      <c r="C336" s="320" t="s">
        <v>2013</v>
      </c>
      <c r="D336" s="327" t="s">
        <v>1973</v>
      </c>
      <c r="E336" s="319"/>
      <c r="F336" s="319"/>
      <c r="G336" s="319"/>
      <c r="H336" s="366">
        <f t="shared" si="115"/>
        <v>0</v>
      </c>
      <c r="I336" s="318"/>
      <c r="J336" s="377">
        <f t="shared" si="116"/>
        <v>0</v>
      </c>
      <c r="K336" s="336">
        <f t="shared" si="117"/>
        <v>0</v>
      </c>
      <c r="L336" s="318"/>
      <c r="M336" s="377">
        <f t="shared" si="118"/>
        <v>0</v>
      </c>
      <c r="N336" s="349">
        <f t="shared" si="119"/>
        <v>0</v>
      </c>
      <c r="O336" s="319"/>
      <c r="P336" s="128" t="s">
        <v>1004</v>
      </c>
      <c r="Q336" s="361">
        <f t="shared" si="120"/>
        <v>0</v>
      </c>
      <c r="R336" s="361">
        <f t="shared" si="121"/>
        <v>0</v>
      </c>
      <c r="S336" s="166"/>
      <c r="T336" s="166"/>
    </row>
    <row r="337" spans="1:20" hidden="1" outlineLevel="1" x14ac:dyDescent="0.25">
      <c r="A337" s="329" t="s">
        <v>1328</v>
      </c>
      <c r="B337" s="329" t="s">
        <v>2004</v>
      </c>
      <c r="C337" s="320" t="s">
        <v>1733</v>
      </c>
      <c r="D337" s="324" t="s">
        <v>1730</v>
      </c>
      <c r="E337" s="320" t="s">
        <v>1384</v>
      </c>
      <c r="F337" s="312"/>
      <c r="G337" s="312"/>
      <c r="H337" s="366">
        <f t="shared" si="115"/>
        <v>0</v>
      </c>
      <c r="I337" s="312"/>
      <c r="J337" s="375">
        <f t="shared" si="116"/>
        <v>0</v>
      </c>
      <c r="K337" s="336">
        <f t="shared" si="117"/>
        <v>0</v>
      </c>
      <c r="L337" s="312"/>
      <c r="M337" s="375">
        <f t="shared" si="118"/>
        <v>0</v>
      </c>
      <c r="N337" s="349">
        <f t="shared" si="119"/>
        <v>0</v>
      </c>
      <c r="O337" s="319"/>
      <c r="P337" s="128" t="s">
        <v>1004</v>
      </c>
      <c r="Q337" s="361">
        <f t="shared" si="120"/>
        <v>0</v>
      </c>
      <c r="R337" s="361">
        <f t="shared" si="121"/>
        <v>0</v>
      </c>
      <c r="S337" s="166"/>
      <c r="T337" s="166"/>
    </row>
    <row r="338" spans="1:20" ht="24" hidden="1" outlineLevel="1" x14ac:dyDescent="0.25">
      <c r="A338" s="329" t="s">
        <v>1328</v>
      </c>
      <c r="B338" s="329" t="s">
        <v>2004</v>
      </c>
      <c r="C338" s="320" t="s">
        <v>1734</v>
      </c>
      <c r="D338" s="324" t="s">
        <v>1725</v>
      </c>
      <c r="E338" s="320" t="s">
        <v>1384</v>
      </c>
      <c r="F338" s="312"/>
      <c r="G338" s="312"/>
      <c r="H338" s="366">
        <f t="shared" si="115"/>
        <v>0</v>
      </c>
      <c r="I338" s="312"/>
      <c r="J338" s="375">
        <f t="shared" si="116"/>
        <v>0</v>
      </c>
      <c r="K338" s="336">
        <f t="shared" si="117"/>
        <v>0</v>
      </c>
      <c r="L338" s="312"/>
      <c r="M338" s="375">
        <f t="shared" si="118"/>
        <v>0</v>
      </c>
      <c r="N338" s="349">
        <f t="shared" si="119"/>
        <v>0</v>
      </c>
      <c r="O338" s="319"/>
      <c r="P338" s="128" t="s">
        <v>1004</v>
      </c>
      <c r="Q338" s="361">
        <f t="shared" si="120"/>
        <v>0</v>
      </c>
      <c r="R338" s="361">
        <f t="shared" si="121"/>
        <v>0</v>
      </c>
      <c r="S338" s="166"/>
      <c r="T338" s="166"/>
    </row>
    <row r="339" spans="1:20" hidden="1" outlineLevel="1" x14ac:dyDescent="0.25">
      <c r="A339" s="329" t="s">
        <v>1338</v>
      </c>
      <c r="B339" s="329" t="s">
        <v>2004</v>
      </c>
      <c r="C339" s="320" t="s">
        <v>2014</v>
      </c>
      <c r="D339" s="327" t="s">
        <v>2015</v>
      </c>
      <c r="E339" s="319"/>
      <c r="F339" s="319"/>
      <c r="G339" s="319"/>
      <c r="H339" s="366">
        <f t="shared" si="115"/>
        <v>0</v>
      </c>
      <c r="I339" s="318"/>
      <c r="J339" s="377">
        <f t="shared" si="116"/>
        <v>0</v>
      </c>
      <c r="K339" s="336">
        <f t="shared" si="117"/>
        <v>0</v>
      </c>
      <c r="L339" s="318"/>
      <c r="M339" s="377">
        <f t="shared" si="118"/>
        <v>0</v>
      </c>
      <c r="N339" s="349">
        <f t="shared" si="119"/>
        <v>0</v>
      </c>
      <c r="O339" s="319"/>
      <c r="P339" s="128" t="s">
        <v>1004</v>
      </c>
      <c r="Q339" s="361">
        <f t="shared" si="120"/>
        <v>0</v>
      </c>
      <c r="R339" s="361">
        <f t="shared" si="121"/>
        <v>0</v>
      </c>
      <c r="S339" s="166"/>
      <c r="T339" s="166"/>
    </row>
    <row r="340" spans="1:20" ht="24" hidden="1" outlineLevel="1" x14ac:dyDescent="0.25">
      <c r="A340" s="329" t="s">
        <v>1338</v>
      </c>
      <c r="B340" s="329" t="s">
        <v>2004</v>
      </c>
      <c r="C340" s="320" t="s">
        <v>1735</v>
      </c>
      <c r="D340" s="324" t="s">
        <v>1736</v>
      </c>
      <c r="E340" s="320" t="s">
        <v>1384</v>
      </c>
      <c r="F340" s="312"/>
      <c r="G340" s="312"/>
      <c r="H340" s="366">
        <f t="shared" si="115"/>
        <v>0</v>
      </c>
      <c r="I340" s="312"/>
      <c r="J340" s="375">
        <f t="shared" si="116"/>
        <v>0</v>
      </c>
      <c r="K340" s="336">
        <f t="shared" si="117"/>
        <v>0</v>
      </c>
      <c r="L340" s="312"/>
      <c r="M340" s="375">
        <f t="shared" si="118"/>
        <v>0</v>
      </c>
      <c r="N340" s="349">
        <f t="shared" si="119"/>
        <v>0</v>
      </c>
      <c r="O340" s="319"/>
      <c r="P340" s="128" t="s">
        <v>1004</v>
      </c>
      <c r="Q340" s="361">
        <f t="shared" si="120"/>
        <v>0</v>
      </c>
      <c r="R340" s="361">
        <f t="shared" si="121"/>
        <v>0</v>
      </c>
      <c r="S340" s="166"/>
      <c r="T340" s="166"/>
    </row>
    <row r="341" spans="1:20" hidden="1" outlineLevel="1" x14ac:dyDescent="0.25">
      <c r="A341" s="330" t="s">
        <v>1022</v>
      </c>
      <c r="B341" s="331" t="s">
        <v>2004</v>
      </c>
      <c r="C341" s="315"/>
      <c r="D341" s="393" t="s">
        <v>1950</v>
      </c>
      <c r="E341" s="314"/>
      <c r="F341" s="313"/>
      <c r="G341" s="313"/>
      <c r="H341" s="367"/>
      <c r="I341" s="313"/>
      <c r="J341" s="362">
        <f>SUM(J308:J340)</f>
        <v>0</v>
      </c>
      <c r="K341" s="338">
        <f>SUM(K308:K340)</f>
        <v>0</v>
      </c>
      <c r="L341" s="313"/>
      <c r="M341" s="362">
        <f>SUM(M308:M340)</f>
        <v>0</v>
      </c>
      <c r="N341" s="338">
        <f>SUM(N308:N340)</f>
        <v>0</v>
      </c>
      <c r="O341" s="314"/>
      <c r="P341" s="128" t="s">
        <v>1004</v>
      </c>
      <c r="Q341" s="362">
        <f>SUM(Q308:Q340)</f>
        <v>0</v>
      </c>
      <c r="R341" s="362">
        <f>SUM(R308:R340)</f>
        <v>0</v>
      </c>
      <c r="S341" s="166"/>
      <c r="T341" s="166"/>
    </row>
    <row r="342" spans="1:20" hidden="1" outlineLevel="1" x14ac:dyDescent="0.25">
      <c r="A342" s="329" t="s">
        <v>1338</v>
      </c>
      <c r="B342" s="329" t="s">
        <v>2016</v>
      </c>
      <c r="C342" s="320" t="s">
        <v>2017</v>
      </c>
      <c r="D342" s="324" t="s">
        <v>1946</v>
      </c>
      <c r="E342" s="319"/>
      <c r="F342" s="319"/>
      <c r="G342" s="319"/>
      <c r="H342" s="366">
        <f>+SUM(F342:G342)</f>
        <v>0</v>
      </c>
      <c r="I342" s="318"/>
      <c r="J342" s="377">
        <f>+ROUND(I342*H342,2)</f>
        <v>0</v>
      </c>
      <c r="K342" s="336">
        <f>J342</f>
        <v>0</v>
      </c>
      <c r="L342" s="318"/>
      <c r="M342" s="377">
        <f>+ROUND(L342*H342,2)</f>
        <v>0</v>
      </c>
      <c r="N342" s="349">
        <f>M342</f>
        <v>0</v>
      </c>
      <c r="O342" s="319"/>
      <c r="P342" s="128" t="s">
        <v>1004</v>
      </c>
      <c r="Q342" s="361">
        <f>+ROUND((K342)*(1+SUMIF($Q$2:$Q$4,P342,$R$2:$R$4)),0)</f>
        <v>0</v>
      </c>
      <c r="R342" s="361">
        <f>+ROUND((N342)*(1+SUMIF($Q$2:$Q$4,P342,$R$2:$R$4)),0)</f>
        <v>0</v>
      </c>
      <c r="S342" s="166"/>
      <c r="T342" s="166"/>
    </row>
    <row r="343" spans="1:20" hidden="1" outlineLevel="1" x14ac:dyDescent="0.25">
      <c r="A343" s="329" t="s">
        <v>1338</v>
      </c>
      <c r="B343" s="329" t="s">
        <v>2016</v>
      </c>
      <c r="C343" s="320" t="s">
        <v>1627</v>
      </c>
      <c r="D343" s="324" t="s">
        <v>1947</v>
      </c>
      <c r="E343" s="320" t="s">
        <v>1384</v>
      </c>
      <c r="F343" s="312"/>
      <c r="G343" s="312"/>
      <c r="H343" s="366">
        <f>+SUM(F343:G343)</f>
        <v>0</v>
      </c>
      <c r="I343" s="312"/>
      <c r="J343" s="375">
        <f>+ROUND(I343*H343,2)</f>
        <v>0</v>
      </c>
      <c r="K343" s="336">
        <f>J343</f>
        <v>0</v>
      </c>
      <c r="L343" s="312"/>
      <c r="M343" s="375">
        <f>+ROUND(L343*H343,2)</f>
        <v>0</v>
      </c>
      <c r="N343" s="349">
        <f>M343</f>
        <v>0</v>
      </c>
      <c r="O343" s="319"/>
      <c r="P343" s="128" t="s">
        <v>1004</v>
      </c>
      <c r="Q343" s="361">
        <f>+ROUND((K343)*(1+SUMIF($Q$2:$Q$4,P343,$R$2:$R$4)),0)</f>
        <v>0</v>
      </c>
      <c r="R343" s="361">
        <f>+ROUND((N343)*(1+SUMIF($Q$2:$Q$4,P343,$R$2:$R$4)),0)</f>
        <v>0</v>
      </c>
      <c r="S343" s="166"/>
      <c r="T343" s="166"/>
    </row>
    <row r="344" spans="1:20" hidden="1" outlineLevel="1" x14ac:dyDescent="0.25">
      <c r="A344" s="329" t="s">
        <v>1338</v>
      </c>
      <c r="B344" s="329" t="s">
        <v>2016</v>
      </c>
      <c r="C344" s="320" t="s">
        <v>1948</v>
      </c>
      <c r="D344" s="324" t="s">
        <v>1947</v>
      </c>
      <c r="E344" s="320" t="s">
        <v>1384</v>
      </c>
      <c r="F344" s="312"/>
      <c r="G344" s="312"/>
      <c r="H344" s="366">
        <f>+SUM(F344:G344)</f>
        <v>0</v>
      </c>
      <c r="I344" s="312"/>
      <c r="J344" s="375">
        <f>+ROUND(I344*H344,2)</f>
        <v>0</v>
      </c>
      <c r="K344" s="336">
        <f>J344</f>
        <v>0</v>
      </c>
      <c r="L344" s="312"/>
      <c r="M344" s="375">
        <f>+ROUND(L344*H344,2)</f>
        <v>0</v>
      </c>
      <c r="N344" s="349">
        <f>M344</f>
        <v>0</v>
      </c>
      <c r="O344" s="319"/>
      <c r="P344" s="128" t="s">
        <v>1004</v>
      </c>
      <c r="Q344" s="361">
        <f>+ROUND((K344)*(1+SUMIF($Q$2:$Q$4,P344,$R$2:$R$4)),0)</f>
        <v>0</v>
      </c>
      <c r="R344" s="361">
        <f>+ROUND((N344)*(1+SUMIF($Q$2:$Q$4,P344,$R$2:$R$4)),0)</f>
        <v>0</v>
      </c>
      <c r="S344" s="166"/>
      <c r="T344" s="166"/>
    </row>
    <row r="345" spans="1:20" hidden="1" outlineLevel="1" x14ac:dyDescent="0.25">
      <c r="A345" s="329" t="s">
        <v>1338</v>
      </c>
      <c r="B345" s="329" t="s">
        <v>2016</v>
      </c>
      <c r="C345" s="320" t="s">
        <v>1949</v>
      </c>
      <c r="D345" s="324" t="s">
        <v>1947</v>
      </c>
      <c r="E345" s="320" t="s">
        <v>1384</v>
      </c>
      <c r="F345" s="312"/>
      <c r="G345" s="312"/>
      <c r="H345" s="366">
        <f>+SUM(F345:G345)</f>
        <v>0</v>
      </c>
      <c r="I345" s="312"/>
      <c r="J345" s="375">
        <f>+ROUND(I345*H345,2)</f>
        <v>0</v>
      </c>
      <c r="K345" s="336">
        <f>J345</f>
        <v>0</v>
      </c>
      <c r="L345" s="312"/>
      <c r="M345" s="375">
        <f>+ROUND(L345*H345,2)</f>
        <v>0</v>
      </c>
      <c r="N345" s="349">
        <f>M345</f>
        <v>0</v>
      </c>
      <c r="O345" s="319"/>
      <c r="P345" s="128" t="s">
        <v>1004</v>
      </c>
      <c r="Q345" s="361">
        <f>+ROUND((K345)*(1+SUMIF($Q$2:$Q$4,P345,$R$2:$R$4)),0)</f>
        <v>0</v>
      </c>
      <c r="R345" s="361">
        <f>+ROUND((N345)*(1+SUMIF($Q$2:$Q$4,P345,$R$2:$R$4)),0)</f>
        <v>0</v>
      </c>
      <c r="S345" s="166"/>
      <c r="T345" s="166"/>
    </row>
    <row r="346" spans="1:20" hidden="1" outlineLevel="1" x14ac:dyDescent="0.25">
      <c r="A346" s="330" t="s">
        <v>1022</v>
      </c>
      <c r="B346" s="331" t="s">
        <v>2016</v>
      </c>
      <c r="C346" s="315"/>
      <c r="D346" s="393" t="s">
        <v>1950</v>
      </c>
      <c r="E346" s="314"/>
      <c r="F346" s="313"/>
      <c r="G346" s="313"/>
      <c r="H346" s="367"/>
      <c r="I346" s="313"/>
      <c r="J346" s="362">
        <f>SUM(J342:J345)</f>
        <v>0</v>
      </c>
      <c r="K346" s="338">
        <f>SUM(K342:K345)</f>
        <v>0</v>
      </c>
      <c r="L346" s="313"/>
      <c r="M346" s="362">
        <f>SUM(M342:M345)</f>
        <v>0</v>
      </c>
      <c r="N346" s="338">
        <f>SUM(N342:N345)</f>
        <v>0</v>
      </c>
      <c r="O346" s="314"/>
      <c r="P346" s="128" t="s">
        <v>1004</v>
      </c>
      <c r="Q346" s="362">
        <f>SUM(Q342:Q345)</f>
        <v>0</v>
      </c>
      <c r="R346" s="362">
        <f>SUM(R342:R345)</f>
        <v>0</v>
      </c>
      <c r="S346" s="166"/>
      <c r="T346" s="166"/>
    </row>
    <row r="347" spans="1:20" hidden="1" outlineLevel="1" x14ac:dyDescent="0.25">
      <c r="A347" s="329" t="s">
        <v>1354</v>
      </c>
      <c r="B347" s="329" t="s">
        <v>2018</v>
      </c>
      <c r="C347" s="320">
        <v>3</v>
      </c>
      <c r="D347" s="327" t="s">
        <v>1975</v>
      </c>
      <c r="E347" s="319"/>
      <c r="F347" s="319"/>
      <c r="G347" s="319"/>
      <c r="H347" s="366">
        <f t="shared" ref="H347:H356" si="122">+SUM(F347:G347)</f>
        <v>0</v>
      </c>
      <c r="I347" s="318"/>
      <c r="J347" s="377">
        <f t="shared" ref="J347:J356" si="123">+ROUND(I347*H347,2)</f>
        <v>0</v>
      </c>
      <c r="K347" s="336">
        <f t="shared" ref="K347:K356" si="124">J347</f>
        <v>0</v>
      </c>
      <c r="L347" s="318"/>
      <c r="M347" s="377">
        <f t="shared" ref="M347:M356" si="125">+ROUND(L347*H347,2)</f>
        <v>0</v>
      </c>
      <c r="N347" s="349">
        <f t="shared" ref="N347:N356" si="126">M347</f>
        <v>0</v>
      </c>
      <c r="O347" s="319"/>
      <c r="P347" s="128" t="s">
        <v>1004</v>
      </c>
      <c r="Q347" s="361">
        <f t="shared" ref="Q347:Q356" si="127">+ROUND((K347)*(1+SUMIF($Q$2:$Q$4,P347,$R$2:$R$4)),0)</f>
        <v>0</v>
      </c>
      <c r="R347" s="361">
        <f t="shared" ref="R347:R356" si="128">+ROUND((N347)*(1+SUMIF($Q$2:$Q$4,P347,$R$2:$R$4)),0)</f>
        <v>0</v>
      </c>
      <c r="S347" s="166"/>
      <c r="T347" s="166"/>
    </row>
    <row r="348" spans="1:20" hidden="1" outlineLevel="1" x14ac:dyDescent="0.25">
      <c r="A348" s="329" t="s">
        <v>1354</v>
      </c>
      <c r="B348" s="329" t="s">
        <v>2018</v>
      </c>
      <c r="C348" s="320">
        <v>3.1</v>
      </c>
      <c r="D348" s="327" t="s">
        <v>1976</v>
      </c>
      <c r="E348" s="319"/>
      <c r="F348" s="319"/>
      <c r="G348" s="319"/>
      <c r="H348" s="366">
        <f t="shared" si="122"/>
        <v>0</v>
      </c>
      <c r="I348" s="318"/>
      <c r="J348" s="377">
        <f t="shared" si="123"/>
        <v>0</v>
      </c>
      <c r="K348" s="336">
        <f t="shared" si="124"/>
        <v>0</v>
      </c>
      <c r="L348" s="318"/>
      <c r="M348" s="377">
        <f t="shared" si="125"/>
        <v>0</v>
      </c>
      <c r="N348" s="349">
        <f t="shared" si="126"/>
        <v>0</v>
      </c>
      <c r="O348" s="319"/>
      <c r="P348" s="128" t="s">
        <v>1004</v>
      </c>
      <c r="Q348" s="361">
        <f t="shared" si="127"/>
        <v>0</v>
      </c>
      <c r="R348" s="361">
        <f t="shared" si="128"/>
        <v>0</v>
      </c>
      <c r="S348" s="166"/>
      <c r="T348" s="166"/>
    </row>
    <row r="349" spans="1:20" ht="24" hidden="1" outlineLevel="1" x14ac:dyDescent="0.25">
      <c r="A349" s="329" t="s">
        <v>1354</v>
      </c>
      <c r="B349" s="329" t="s">
        <v>2018</v>
      </c>
      <c r="C349" s="320" t="s">
        <v>1483</v>
      </c>
      <c r="D349" s="324" t="s">
        <v>1737</v>
      </c>
      <c r="E349" s="320" t="s">
        <v>1384</v>
      </c>
      <c r="F349" s="312"/>
      <c r="G349" s="312"/>
      <c r="H349" s="366">
        <f t="shared" si="122"/>
        <v>0</v>
      </c>
      <c r="I349" s="312"/>
      <c r="J349" s="375">
        <f t="shared" si="123"/>
        <v>0</v>
      </c>
      <c r="K349" s="336">
        <f t="shared" si="124"/>
        <v>0</v>
      </c>
      <c r="L349" s="312"/>
      <c r="M349" s="375">
        <f t="shared" si="125"/>
        <v>0</v>
      </c>
      <c r="N349" s="349">
        <f t="shared" si="126"/>
        <v>0</v>
      </c>
      <c r="O349" s="319"/>
      <c r="P349" s="128" t="s">
        <v>1004</v>
      </c>
      <c r="Q349" s="361">
        <f t="shared" si="127"/>
        <v>0</v>
      </c>
      <c r="R349" s="361">
        <f t="shared" si="128"/>
        <v>0</v>
      </c>
      <c r="S349" s="166"/>
      <c r="T349" s="166"/>
    </row>
    <row r="350" spans="1:20" hidden="1" outlineLevel="1" x14ac:dyDescent="0.25">
      <c r="A350" s="329" t="s">
        <v>1354</v>
      </c>
      <c r="B350" s="329" t="s">
        <v>2018</v>
      </c>
      <c r="C350" s="320">
        <v>3.2</v>
      </c>
      <c r="D350" s="327" t="s">
        <v>2019</v>
      </c>
      <c r="E350" s="319"/>
      <c r="F350" s="319"/>
      <c r="G350" s="319"/>
      <c r="H350" s="366">
        <f t="shared" si="122"/>
        <v>0</v>
      </c>
      <c r="I350" s="318"/>
      <c r="J350" s="377">
        <f t="shared" si="123"/>
        <v>0</v>
      </c>
      <c r="K350" s="336">
        <f t="shared" si="124"/>
        <v>0</v>
      </c>
      <c r="L350" s="318"/>
      <c r="M350" s="377">
        <f t="shared" si="125"/>
        <v>0</v>
      </c>
      <c r="N350" s="349">
        <f t="shared" si="126"/>
        <v>0</v>
      </c>
      <c r="O350" s="319"/>
      <c r="P350" s="128" t="s">
        <v>1004</v>
      </c>
      <c r="Q350" s="361">
        <f t="shared" si="127"/>
        <v>0</v>
      </c>
      <c r="R350" s="361">
        <f t="shared" si="128"/>
        <v>0</v>
      </c>
      <c r="S350" s="166"/>
      <c r="T350" s="166"/>
    </row>
    <row r="351" spans="1:20" hidden="1" outlineLevel="1" x14ac:dyDescent="0.25">
      <c r="A351" s="329" t="s">
        <v>1354</v>
      </c>
      <c r="B351" s="329" t="s">
        <v>2018</v>
      </c>
      <c r="C351" s="320" t="s">
        <v>1491</v>
      </c>
      <c r="D351" s="324" t="s">
        <v>1738</v>
      </c>
      <c r="E351" s="320" t="s">
        <v>1384</v>
      </c>
      <c r="F351" s="312"/>
      <c r="G351" s="312"/>
      <c r="H351" s="366">
        <f t="shared" si="122"/>
        <v>0</v>
      </c>
      <c r="I351" s="312"/>
      <c r="J351" s="375">
        <f t="shared" si="123"/>
        <v>0</v>
      </c>
      <c r="K351" s="336">
        <f t="shared" si="124"/>
        <v>0</v>
      </c>
      <c r="L351" s="312"/>
      <c r="M351" s="375">
        <f t="shared" si="125"/>
        <v>0</v>
      </c>
      <c r="N351" s="349">
        <f t="shared" si="126"/>
        <v>0</v>
      </c>
      <c r="O351" s="319"/>
      <c r="P351" s="128" t="s">
        <v>1004</v>
      </c>
      <c r="Q351" s="361">
        <f t="shared" si="127"/>
        <v>0</v>
      </c>
      <c r="R351" s="361">
        <f t="shared" si="128"/>
        <v>0</v>
      </c>
      <c r="S351" s="166"/>
      <c r="T351" s="166"/>
    </row>
    <row r="352" spans="1:20" ht="24" hidden="1" outlineLevel="1" x14ac:dyDescent="0.25">
      <c r="A352" s="329" t="s">
        <v>1354</v>
      </c>
      <c r="B352" s="329" t="s">
        <v>2018</v>
      </c>
      <c r="C352" s="320" t="s">
        <v>1493</v>
      </c>
      <c r="D352" s="324" t="s">
        <v>1739</v>
      </c>
      <c r="E352" s="320" t="s">
        <v>1384</v>
      </c>
      <c r="F352" s="312"/>
      <c r="G352" s="312"/>
      <c r="H352" s="366">
        <f t="shared" si="122"/>
        <v>0</v>
      </c>
      <c r="I352" s="312"/>
      <c r="J352" s="375">
        <f t="shared" si="123"/>
        <v>0</v>
      </c>
      <c r="K352" s="336">
        <f t="shared" si="124"/>
        <v>0</v>
      </c>
      <c r="L352" s="312"/>
      <c r="M352" s="375">
        <f t="shared" si="125"/>
        <v>0</v>
      </c>
      <c r="N352" s="349">
        <f t="shared" si="126"/>
        <v>0</v>
      </c>
      <c r="O352" s="319"/>
      <c r="P352" s="128" t="s">
        <v>1004</v>
      </c>
      <c r="Q352" s="361">
        <f t="shared" si="127"/>
        <v>0</v>
      </c>
      <c r="R352" s="361">
        <f t="shared" si="128"/>
        <v>0</v>
      </c>
      <c r="S352" s="166"/>
      <c r="T352" s="166"/>
    </row>
    <row r="353" spans="1:20" hidden="1" outlineLevel="1" x14ac:dyDescent="0.25">
      <c r="A353" s="329" t="s">
        <v>1354</v>
      </c>
      <c r="B353" s="329" t="s">
        <v>2018</v>
      </c>
      <c r="C353" s="320">
        <v>3.3</v>
      </c>
      <c r="D353" s="327" t="s">
        <v>1946</v>
      </c>
      <c r="E353" s="319"/>
      <c r="F353" s="319"/>
      <c r="G353" s="319"/>
      <c r="H353" s="366">
        <f t="shared" si="122"/>
        <v>0</v>
      </c>
      <c r="I353" s="318"/>
      <c r="J353" s="377">
        <f t="shared" si="123"/>
        <v>0</v>
      </c>
      <c r="K353" s="336">
        <f t="shared" si="124"/>
        <v>0</v>
      </c>
      <c r="L353" s="318"/>
      <c r="M353" s="377">
        <f t="shared" si="125"/>
        <v>0</v>
      </c>
      <c r="N353" s="349">
        <f t="shared" si="126"/>
        <v>0</v>
      </c>
      <c r="O353" s="319"/>
      <c r="P353" s="128" t="s">
        <v>1004</v>
      </c>
      <c r="Q353" s="361">
        <f t="shared" si="127"/>
        <v>0</v>
      </c>
      <c r="R353" s="361">
        <f t="shared" si="128"/>
        <v>0</v>
      </c>
      <c r="S353" s="166"/>
      <c r="T353" s="166"/>
    </row>
    <row r="354" spans="1:20" hidden="1" outlineLevel="1" x14ac:dyDescent="0.25">
      <c r="A354" s="329" t="s">
        <v>1354</v>
      </c>
      <c r="B354" s="329" t="s">
        <v>2018</v>
      </c>
      <c r="C354" s="320" t="s">
        <v>1627</v>
      </c>
      <c r="D354" s="324" t="s">
        <v>1947</v>
      </c>
      <c r="E354" s="320" t="s">
        <v>1384</v>
      </c>
      <c r="F354" s="312"/>
      <c r="G354" s="312"/>
      <c r="H354" s="366">
        <f t="shared" si="122"/>
        <v>0</v>
      </c>
      <c r="I354" s="312"/>
      <c r="J354" s="375">
        <f t="shared" si="123"/>
        <v>0</v>
      </c>
      <c r="K354" s="336">
        <f t="shared" si="124"/>
        <v>0</v>
      </c>
      <c r="L354" s="312"/>
      <c r="M354" s="375">
        <f t="shared" si="125"/>
        <v>0</v>
      </c>
      <c r="N354" s="349">
        <f t="shared" si="126"/>
        <v>0</v>
      </c>
      <c r="O354" s="319"/>
      <c r="P354" s="128" t="s">
        <v>1004</v>
      </c>
      <c r="Q354" s="361">
        <f t="shared" si="127"/>
        <v>0</v>
      </c>
      <c r="R354" s="361">
        <f t="shared" si="128"/>
        <v>0</v>
      </c>
      <c r="S354" s="166"/>
      <c r="T354" s="166"/>
    </row>
    <row r="355" spans="1:20" hidden="1" outlineLevel="1" x14ac:dyDescent="0.25">
      <c r="A355" s="329" t="s">
        <v>1354</v>
      </c>
      <c r="B355" s="329" t="s">
        <v>2018</v>
      </c>
      <c r="C355" s="320" t="s">
        <v>1948</v>
      </c>
      <c r="D355" s="324" t="s">
        <v>1947</v>
      </c>
      <c r="E355" s="320" t="s">
        <v>1384</v>
      </c>
      <c r="F355" s="312"/>
      <c r="G355" s="312"/>
      <c r="H355" s="366">
        <f t="shared" si="122"/>
        <v>0</v>
      </c>
      <c r="I355" s="312"/>
      <c r="J355" s="375">
        <f t="shared" si="123"/>
        <v>0</v>
      </c>
      <c r="K355" s="336">
        <f t="shared" si="124"/>
        <v>0</v>
      </c>
      <c r="L355" s="312"/>
      <c r="M355" s="375">
        <f t="shared" si="125"/>
        <v>0</v>
      </c>
      <c r="N355" s="349">
        <f t="shared" si="126"/>
        <v>0</v>
      </c>
      <c r="O355" s="319"/>
      <c r="P355" s="128" t="s">
        <v>1004</v>
      </c>
      <c r="Q355" s="361">
        <f t="shared" si="127"/>
        <v>0</v>
      </c>
      <c r="R355" s="361">
        <f t="shared" si="128"/>
        <v>0</v>
      </c>
      <c r="S355" s="166"/>
      <c r="T355" s="166"/>
    </row>
    <row r="356" spans="1:20" hidden="1" outlineLevel="1" x14ac:dyDescent="0.25">
      <c r="A356" s="329" t="s">
        <v>1354</v>
      </c>
      <c r="B356" s="329" t="s">
        <v>2018</v>
      </c>
      <c r="C356" s="320" t="s">
        <v>1949</v>
      </c>
      <c r="D356" s="324" t="s">
        <v>1947</v>
      </c>
      <c r="E356" s="320" t="s">
        <v>1384</v>
      </c>
      <c r="F356" s="312"/>
      <c r="G356" s="312"/>
      <c r="H356" s="366">
        <f t="shared" si="122"/>
        <v>0</v>
      </c>
      <c r="I356" s="312"/>
      <c r="J356" s="375">
        <f t="shared" si="123"/>
        <v>0</v>
      </c>
      <c r="K356" s="336">
        <f t="shared" si="124"/>
        <v>0</v>
      </c>
      <c r="L356" s="312"/>
      <c r="M356" s="375">
        <f t="shared" si="125"/>
        <v>0</v>
      </c>
      <c r="N356" s="349">
        <f t="shared" si="126"/>
        <v>0</v>
      </c>
      <c r="O356" s="319"/>
      <c r="P356" s="128" t="s">
        <v>1004</v>
      </c>
      <c r="Q356" s="361">
        <f t="shared" si="127"/>
        <v>0</v>
      </c>
      <c r="R356" s="361">
        <f t="shared" si="128"/>
        <v>0</v>
      </c>
      <c r="S356" s="166"/>
      <c r="T356" s="166"/>
    </row>
    <row r="357" spans="1:20" hidden="1" outlineLevel="1" x14ac:dyDescent="0.25">
      <c r="A357" s="330" t="s">
        <v>1022</v>
      </c>
      <c r="B357" s="331" t="s">
        <v>2018</v>
      </c>
      <c r="C357" s="315"/>
      <c r="D357" s="393" t="s">
        <v>1950</v>
      </c>
      <c r="E357" s="314"/>
      <c r="F357" s="313"/>
      <c r="G357" s="313"/>
      <c r="H357" s="367"/>
      <c r="I357" s="313"/>
      <c r="J357" s="362">
        <f>SUM(J347:J356)</f>
        <v>0</v>
      </c>
      <c r="K357" s="338">
        <f>SUM(K347:K356)</f>
        <v>0</v>
      </c>
      <c r="L357" s="313"/>
      <c r="M357" s="362">
        <f>SUM(M347:M356)</f>
        <v>0</v>
      </c>
      <c r="N357" s="338">
        <f>SUM(N347:N356)</f>
        <v>0</v>
      </c>
      <c r="O357" s="314"/>
      <c r="P357" s="128" t="s">
        <v>1004</v>
      </c>
      <c r="Q357" s="362">
        <f>SUM(Q347:Q356)</f>
        <v>0</v>
      </c>
      <c r="R357" s="362">
        <f>SUM(R347:R356)</f>
        <v>0</v>
      </c>
      <c r="S357" s="166"/>
      <c r="T357" s="166"/>
    </row>
    <row r="358" spans="1:20" hidden="1" outlineLevel="1" x14ac:dyDescent="0.25">
      <c r="A358" s="329" t="s">
        <v>1298</v>
      </c>
      <c r="B358" s="329" t="s">
        <v>2020</v>
      </c>
      <c r="C358" s="320">
        <v>4</v>
      </c>
      <c r="D358" s="333" t="s">
        <v>1740</v>
      </c>
      <c r="E358" s="319"/>
      <c r="F358" s="319"/>
      <c r="G358" s="319"/>
      <c r="H358" s="366">
        <f t="shared" ref="H358:H363" si="129">+SUM(F358:G358)</f>
        <v>0</v>
      </c>
      <c r="I358" s="318"/>
      <c r="J358" s="377">
        <f t="shared" ref="J358:J363" si="130">+ROUND(I358*H358,2)</f>
        <v>0</v>
      </c>
      <c r="K358" s="336">
        <f t="shared" ref="K358:K363" si="131">J358</f>
        <v>0</v>
      </c>
      <c r="L358" s="318"/>
      <c r="M358" s="377">
        <f t="shared" ref="M358:M363" si="132">+ROUND(L358*H358,2)</f>
        <v>0</v>
      </c>
      <c r="N358" s="349">
        <f t="shared" ref="N358:N363" si="133">M358</f>
        <v>0</v>
      </c>
      <c r="O358" s="319"/>
      <c r="P358" s="128" t="s">
        <v>1004</v>
      </c>
      <c r="Q358" s="361">
        <f t="shared" ref="Q358:Q363" si="134">+ROUND((K358)*(1+SUMIF($Q$2:$Q$4,P358,$R$2:$R$4)),0)</f>
        <v>0</v>
      </c>
      <c r="R358" s="361">
        <f t="shared" ref="R358:R363" si="135">+ROUND((N358)*(1+SUMIF($Q$2:$Q$4,P358,$R$2:$R$4)),0)</f>
        <v>0</v>
      </c>
      <c r="S358" s="166"/>
      <c r="T358" s="166"/>
    </row>
    <row r="359" spans="1:20" hidden="1" outlineLevel="1" x14ac:dyDescent="0.25">
      <c r="A359" s="329" t="s">
        <v>1298</v>
      </c>
      <c r="B359" s="329" t="s">
        <v>2020</v>
      </c>
      <c r="C359" s="320">
        <v>4.0999999999999996</v>
      </c>
      <c r="D359" s="324" t="s">
        <v>1740</v>
      </c>
      <c r="E359" s="320" t="s">
        <v>1384</v>
      </c>
      <c r="F359" s="312"/>
      <c r="G359" s="312"/>
      <c r="H359" s="366">
        <f t="shared" si="129"/>
        <v>0</v>
      </c>
      <c r="I359" s="312"/>
      <c r="J359" s="375">
        <f t="shared" si="130"/>
        <v>0</v>
      </c>
      <c r="K359" s="336">
        <f t="shared" si="131"/>
        <v>0</v>
      </c>
      <c r="L359" s="312"/>
      <c r="M359" s="375">
        <f t="shared" si="132"/>
        <v>0</v>
      </c>
      <c r="N359" s="349">
        <f t="shared" si="133"/>
        <v>0</v>
      </c>
      <c r="O359" s="319"/>
      <c r="P359" s="128" t="s">
        <v>1004</v>
      </c>
      <c r="Q359" s="361">
        <f t="shared" si="134"/>
        <v>0</v>
      </c>
      <c r="R359" s="361">
        <f t="shared" si="135"/>
        <v>0</v>
      </c>
      <c r="S359" s="166"/>
      <c r="T359" s="166"/>
    </row>
    <row r="360" spans="1:20" hidden="1" outlineLevel="1" x14ac:dyDescent="0.25">
      <c r="A360" s="329" t="s">
        <v>1298</v>
      </c>
      <c r="B360" s="329" t="s">
        <v>2020</v>
      </c>
      <c r="C360" s="320">
        <v>4.2</v>
      </c>
      <c r="D360" s="327" t="s">
        <v>1946</v>
      </c>
      <c r="E360" s="319"/>
      <c r="F360" s="319"/>
      <c r="G360" s="319"/>
      <c r="H360" s="366">
        <f t="shared" si="129"/>
        <v>0</v>
      </c>
      <c r="I360" s="318"/>
      <c r="J360" s="377">
        <f t="shared" si="130"/>
        <v>0</v>
      </c>
      <c r="K360" s="336">
        <f t="shared" si="131"/>
        <v>0</v>
      </c>
      <c r="L360" s="318"/>
      <c r="M360" s="377">
        <f t="shared" si="132"/>
        <v>0</v>
      </c>
      <c r="N360" s="349">
        <f t="shared" si="133"/>
        <v>0</v>
      </c>
      <c r="O360" s="319"/>
      <c r="P360" s="128" t="s">
        <v>1004</v>
      </c>
      <c r="Q360" s="361">
        <f t="shared" si="134"/>
        <v>0</v>
      </c>
      <c r="R360" s="361">
        <f t="shared" si="135"/>
        <v>0</v>
      </c>
      <c r="S360" s="166"/>
      <c r="T360" s="166"/>
    </row>
    <row r="361" spans="1:20" hidden="1" outlineLevel="1" x14ac:dyDescent="0.25">
      <c r="A361" s="329" t="s">
        <v>1298</v>
      </c>
      <c r="B361" s="329" t="s">
        <v>2020</v>
      </c>
      <c r="C361" s="320" t="s">
        <v>1627</v>
      </c>
      <c r="D361" s="324" t="s">
        <v>1947</v>
      </c>
      <c r="E361" s="320" t="s">
        <v>1384</v>
      </c>
      <c r="F361" s="312"/>
      <c r="G361" s="312"/>
      <c r="H361" s="366">
        <f t="shared" si="129"/>
        <v>0</v>
      </c>
      <c r="I361" s="312"/>
      <c r="J361" s="375">
        <f t="shared" si="130"/>
        <v>0</v>
      </c>
      <c r="K361" s="336">
        <f t="shared" si="131"/>
        <v>0</v>
      </c>
      <c r="L361" s="312"/>
      <c r="M361" s="375">
        <f t="shared" si="132"/>
        <v>0</v>
      </c>
      <c r="N361" s="349">
        <f t="shared" si="133"/>
        <v>0</v>
      </c>
      <c r="O361" s="319"/>
      <c r="P361" s="128" t="s">
        <v>1004</v>
      </c>
      <c r="Q361" s="361">
        <f t="shared" si="134"/>
        <v>0</v>
      </c>
      <c r="R361" s="361">
        <f t="shared" si="135"/>
        <v>0</v>
      </c>
      <c r="S361" s="166"/>
      <c r="T361" s="166"/>
    </row>
    <row r="362" spans="1:20" hidden="1" outlineLevel="1" x14ac:dyDescent="0.25">
      <c r="A362" s="329" t="s">
        <v>1298</v>
      </c>
      <c r="B362" s="329" t="s">
        <v>2020</v>
      </c>
      <c r="C362" s="320" t="s">
        <v>1948</v>
      </c>
      <c r="D362" s="324" t="s">
        <v>1947</v>
      </c>
      <c r="E362" s="320" t="s">
        <v>1384</v>
      </c>
      <c r="F362" s="312"/>
      <c r="G362" s="312"/>
      <c r="H362" s="366">
        <f t="shared" si="129"/>
        <v>0</v>
      </c>
      <c r="I362" s="312"/>
      <c r="J362" s="375">
        <f t="shared" si="130"/>
        <v>0</v>
      </c>
      <c r="K362" s="336">
        <f t="shared" si="131"/>
        <v>0</v>
      </c>
      <c r="L362" s="312"/>
      <c r="M362" s="375">
        <f t="shared" si="132"/>
        <v>0</v>
      </c>
      <c r="N362" s="349">
        <f t="shared" si="133"/>
        <v>0</v>
      </c>
      <c r="O362" s="319"/>
      <c r="P362" s="128" t="s">
        <v>1004</v>
      </c>
      <c r="Q362" s="361">
        <f t="shared" si="134"/>
        <v>0</v>
      </c>
      <c r="R362" s="361">
        <f t="shared" si="135"/>
        <v>0</v>
      </c>
      <c r="S362" s="166"/>
      <c r="T362" s="166"/>
    </row>
    <row r="363" spans="1:20" hidden="1" outlineLevel="1" x14ac:dyDescent="0.25">
      <c r="A363" s="329" t="s">
        <v>1298</v>
      </c>
      <c r="B363" s="329" t="s">
        <v>2020</v>
      </c>
      <c r="C363" s="320" t="s">
        <v>1949</v>
      </c>
      <c r="D363" s="324" t="s">
        <v>1947</v>
      </c>
      <c r="E363" s="320" t="s">
        <v>1384</v>
      </c>
      <c r="F363" s="312"/>
      <c r="G363" s="312"/>
      <c r="H363" s="366">
        <f t="shared" si="129"/>
        <v>0</v>
      </c>
      <c r="I363" s="312"/>
      <c r="J363" s="375">
        <f t="shared" si="130"/>
        <v>0</v>
      </c>
      <c r="K363" s="336">
        <f t="shared" si="131"/>
        <v>0</v>
      </c>
      <c r="L363" s="312"/>
      <c r="M363" s="375">
        <f t="shared" si="132"/>
        <v>0</v>
      </c>
      <c r="N363" s="349">
        <f t="shared" si="133"/>
        <v>0</v>
      </c>
      <c r="O363" s="319"/>
      <c r="P363" s="128" t="s">
        <v>1004</v>
      </c>
      <c r="Q363" s="361">
        <f t="shared" si="134"/>
        <v>0</v>
      </c>
      <c r="R363" s="361">
        <f t="shared" si="135"/>
        <v>0</v>
      </c>
      <c r="S363" s="166"/>
      <c r="T363" s="166"/>
    </row>
    <row r="364" spans="1:20" hidden="1" outlineLevel="1" x14ac:dyDescent="0.25">
      <c r="A364" s="330" t="s">
        <v>1022</v>
      </c>
      <c r="B364" s="331" t="s">
        <v>2020</v>
      </c>
      <c r="C364" s="315"/>
      <c r="D364" s="393" t="s">
        <v>1950</v>
      </c>
      <c r="E364" s="314"/>
      <c r="F364" s="313"/>
      <c r="G364" s="313"/>
      <c r="H364" s="367"/>
      <c r="I364" s="313"/>
      <c r="J364" s="362">
        <f>SUM(J358:J363)</f>
        <v>0</v>
      </c>
      <c r="K364" s="338">
        <f>SUM(K358:K363)</f>
        <v>0</v>
      </c>
      <c r="L364" s="313"/>
      <c r="M364" s="362">
        <f>SUM(M358:M363)</f>
        <v>0</v>
      </c>
      <c r="N364" s="338">
        <f>SUM(N358:N363)</f>
        <v>0</v>
      </c>
      <c r="O364" s="314"/>
      <c r="P364" s="128" t="s">
        <v>1004</v>
      </c>
      <c r="Q364" s="362">
        <f>SUM(Q358:Q363)</f>
        <v>0</v>
      </c>
      <c r="R364" s="362">
        <f>SUM(R358:R363)</f>
        <v>0</v>
      </c>
      <c r="S364" s="166"/>
      <c r="T364" s="166"/>
    </row>
    <row r="365" spans="1:20" hidden="1" outlineLevel="1" x14ac:dyDescent="0.25">
      <c r="A365" s="330" t="s">
        <v>1022</v>
      </c>
      <c r="B365" s="331" t="s">
        <v>2021</v>
      </c>
      <c r="C365" s="315"/>
      <c r="D365" s="393" t="s">
        <v>2022</v>
      </c>
      <c r="E365" s="314"/>
      <c r="F365" s="313"/>
      <c r="G365" s="313"/>
      <c r="H365" s="367"/>
      <c r="I365" s="313"/>
      <c r="J365" s="362"/>
      <c r="K365" s="338">
        <f>SUMIF($A$8:$A$297,A365,$K$8:$K$297)</f>
        <v>0</v>
      </c>
      <c r="L365" s="313"/>
      <c r="M365" s="362"/>
      <c r="N365" s="338">
        <f>SUMIF($A$8:$A$297,A365,$N$8:$N$297)</f>
        <v>0</v>
      </c>
      <c r="O365" s="314"/>
      <c r="P365" s="128" t="s">
        <v>1004</v>
      </c>
      <c r="Q365" s="362">
        <f>+ROUND((K365)*(1+SUMIF($Q$2:$Q$4,P365,$R$2:$R$4)),0)</f>
        <v>0</v>
      </c>
      <c r="R365" s="362">
        <f>+ROUND((N365)*(1+SUMIF($Q$2:$Q$4,P365,$R$2:$R$4)),0)</f>
        <v>0</v>
      </c>
      <c r="S365" s="166"/>
      <c r="T365" s="166"/>
    </row>
    <row r="366" spans="1:20" hidden="1" outlineLevel="1" x14ac:dyDescent="0.25">
      <c r="A366" s="400" t="s">
        <v>1022</v>
      </c>
      <c r="B366" s="383" t="s">
        <v>2021</v>
      </c>
      <c r="C366" s="385"/>
      <c r="D366" s="392" t="s">
        <v>2037</v>
      </c>
      <c r="E366" s="384"/>
      <c r="F366" s="387"/>
      <c r="G366" s="387"/>
      <c r="H366" s="388"/>
      <c r="I366" s="387"/>
      <c r="J366" s="389">
        <f>J307</f>
        <v>0</v>
      </c>
      <c r="K366" s="390">
        <f>K307</f>
        <v>0</v>
      </c>
      <c r="L366" s="387"/>
      <c r="M366" s="389">
        <f>M307</f>
        <v>0</v>
      </c>
      <c r="N366" s="390">
        <f>N307</f>
        <v>0</v>
      </c>
      <c r="O366" s="384"/>
      <c r="P366" s="121" t="s">
        <v>1004</v>
      </c>
      <c r="Q366" s="389">
        <f>Q307</f>
        <v>0</v>
      </c>
      <c r="R366" s="389">
        <f>R307</f>
        <v>0</v>
      </c>
      <c r="S366" s="166"/>
      <c r="T366" s="166"/>
    </row>
    <row r="367" spans="1:20" hidden="1" outlineLevel="1" x14ac:dyDescent="0.25">
      <c r="A367" s="400" t="s">
        <v>1022</v>
      </c>
      <c r="B367" s="383" t="s">
        <v>2021</v>
      </c>
      <c r="C367" s="385"/>
      <c r="D367" s="392" t="s">
        <v>2038</v>
      </c>
      <c r="E367" s="384"/>
      <c r="F367" s="387"/>
      <c r="G367" s="387"/>
      <c r="H367" s="388"/>
      <c r="I367" s="387"/>
      <c r="J367" s="389">
        <f>J341</f>
        <v>0</v>
      </c>
      <c r="K367" s="390">
        <f>K341</f>
        <v>0</v>
      </c>
      <c r="L367" s="387"/>
      <c r="M367" s="389">
        <f>M341</f>
        <v>0</v>
      </c>
      <c r="N367" s="390">
        <f>N341</f>
        <v>0</v>
      </c>
      <c r="O367" s="384"/>
      <c r="P367" s="121" t="s">
        <v>1004</v>
      </c>
      <c r="Q367" s="389">
        <f>Q341</f>
        <v>0</v>
      </c>
      <c r="R367" s="389">
        <f>R341</f>
        <v>0</v>
      </c>
      <c r="S367" s="166"/>
      <c r="T367" s="166"/>
    </row>
    <row r="368" spans="1:20" hidden="1" outlineLevel="1" x14ac:dyDescent="0.25">
      <c r="A368" s="400" t="s">
        <v>1022</v>
      </c>
      <c r="B368" s="383" t="s">
        <v>2021</v>
      </c>
      <c r="C368" s="385"/>
      <c r="D368" s="392" t="s">
        <v>2039</v>
      </c>
      <c r="E368" s="384"/>
      <c r="F368" s="387"/>
      <c r="G368" s="387"/>
      <c r="H368" s="388"/>
      <c r="I368" s="387"/>
      <c r="J368" s="389">
        <f>J346</f>
        <v>0</v>
      </c>
      <c r="K368" s="390">
        <f>K346</f>
        <v>0</v>
      </c>
      <c r="L368" s="387"/>
      <c r="M368" s="389">
        <f>M346</f>
        <v>0</v>
      </c>
      <c r="N368" s="390">
        <f>N346</f>
        <v>0</v>
      </c>
      <c r="O368" s="384"/>
      <c r="P368" s="121" t="s">
        <v>1004</v>
      </c>
      <c r="Q368" s="389">
        <f>Q346</f>
        <v>0</v>
      </c>
      <c r="R368" s="389">
        <f>R346</f>
        <v>0</v>
      </c>
      <c r="S368" s="166"/>
      <c r="T368" s="166"/>
    </row>
    <row r="369" spans="1:21" hidden="1" outlineLevel="1" x14ac:dyDescent="0.25">
      <c r="A369" s="400" t="s">
        <v>1022</v>
      </c>
      <c r="B369" s="383" t="s">
        <v>2021</v>
      </c>
      <c r="C369" s="385"/>
      <c r="D369" s="392" t="s">
        <v>2040</v>
      </c>
      <c r="E369" s="384"/>
      <c r="F369" s="387"/>
      <c r="G369" s="387"/>
      <c r="H369" s="388"/>
      <c r="I369" s="387"/>
      <c r="J369" s="389">
        <f>J357</f>
        <v>0</v>
      </c>
      <c r="K369" s="390">
        <f>K357</f>
        <v>0</v>
      </c>
      <c r="L369" s="387"/>
      <c r="M369" s="389">
        <f>M357</f>
        <v>0</v>
      </c>
      <c r="N369" s="390">
        <f>N357</f>
        <v>0</v>
      </c>
      <c r="O369" s="384"/>
      <c r="P369" s="121" t="s">
        <v>1004</v>
      </c>
      <c r="Q369" s="389">
        <f>Q357</f>
        <v>0</v>
      </c>
      <c r="R369" s="389">
        <f>R357</f>
        <v>0</v>
      </c>
      <c r="S369" s="166"/>
      <c r="T369" s="166"/>
    </row>
    <row r="370" spans="1:21" hidden="1" outlineLevel="1" x14ac:dyDescent="0.25">
      <c r="A370" s="400" t="s">
        <v>1022</v>
      </c>
      <c r="B370" s="383" t="s">
        <v>2021</v>
      </c>
      <c r="C370" s="385"/>
      <c r="D370" s="392" t="s">
        <v>2041</v>
      </c>
      <c r="E370" s="384"/>
      <c r="F370" s="387"/>
      <c r="G370" s="387"/>
      <c r="H370" s="388"/>
      <c r="I370" s="387"/>
      <c r="J370" s="389">
        <f>J364</f>
        <v>0</v>
      </c>
      <c r="K370" s="390">
        <f>K364</f>
        <v>0</v>
      </c>
      <c r="L370" s="387"/>
      <c r="M370" s="389">
        <f>M364</f>
        <v>0</v>
      </c>
      <c r="N370" s="390">
        <f>N364</f>
        <v>0</v>
      </c>
      <c r="O370" s="384"/>
      <c r="P370" s="121" t="s">
        <v>1004</v>
      </c>
      <c r="Q370" s="389">
        <f>Q364</f>
        <v>0</v>
      </c>
      <c r="R370" s="389">
        <f>R364</f>
        <v>0</v>
      </c>
      <c r="S370" s="166"/>
      <c r="T370" s="166"/>
    </row>
    <row r="371" spans="1:21" collapsed="1" x14ac:dyDescent="0.25">
      <c r="A371" s="330" t="s">
        <v>1022</v>
      </c>
      <c r="B371" s="331" t="s">
        <v>2021</v>
      </c>
      <c r="C371" s="315"/>
      <c r="D371" s="393" t="s">
        <v>1950</v>
      </c>
      <c r="E371" s="314"/>
      <c r="F371" s="313"/>
      <c r="G371" s="313"/>
      <c r="H371" s="367"/>
      <c r="I371" s="313"/>
      <c r="J371" s="362">
        <f>SUM(J366:J370)</f>
        <v>0</v>
      </c>
      <c r="K371" s="338">
        <f>SUM(K366:K370)</f>
        <v>0</v>
      </c>
      <c r="L371" s="313"/>
      <c r="M371" s="362">
        <f>SUM(M366:M370)</f>
        <v>0</v>
      </c>
      <c r="N371" s="338">
        <f>SUM(N366:N370)</f>
        <v>0</v>
      </c>
      <c r="O371" s="314"/>
      <c r="P371" s="128" t="s">
        <v>1004</v>
      </c>
      <c r="Q371" s="362">
        <f>SUM(Q366:Q370)</f>
        <v>0</v>
      </c>
      <c r="R371" s="362">
        <f>SUM(R366:R370)</f>
        <v>0</v>
      </c>
      <c r="S371" s="166"/>
      <c r="T371" s="166"/>
    </row>
    <row r="372" spans="1:21" s="25" customFormat="1" ht="15" customHeight="1" x14ac:dyDescent="0.25">
      <c r="A372" s="185" t="s">
        <v>1022</v>
      </c>
      <c r="B372" s="176" t="str">
        <f t="shared" ref="B372:B377" si="136">+B371</f>
        <v>SECT5.5/29</v>
      </c>
      <c r="C372" s="177"/>
      <c r="D372" s="179"/>
      <c r="E372" s="179"/>
      <c r="F372" s="41"/>
      <c r="G372" s="41"/>
      <c r="H372" s="42"/>
      <c r="I372" s="42"/>
      <c r="J372" s="43"/>
      <c r="K372" s="43"/>
      <c r="L372" s="42"/>
      <c r="M372" s="43"/>
      <c r="N372" s="43"/>
      <c r="O372" s="176"/>
      <c r="P372" s="176"/>
      <c r="Q372" s="42"/>
      <c r="R372" s="42"/>
      <c r="S372" s="166"/>
      <c r="T372" s="166"/>
      <c r="U372" s="23"/>
    </row>
    <row r="373" spans="1:21" s="25" customFormat="1" ht="15" customHeight="1" x14ac:dyDescent="0.25">
      <c r="A373" s="431" t="s">
        <v>1022</v>
      </c>
      <c r="B373" s="432" t="str">
        <f t="shared" si="136"/>
        <v>SECT5.5/29</v>
      </c>
      <c r="C373" s="433"/>
      <c r="D373" s="434" t="str">
        <f>+D7</f>
        <v xml:space="preserve">SECTION NO 5.2 - RESIDENTIAL BLOCKS </v>
      </c>
      <c r="E373" s="434"/>
      <c r="F373" s="435"/>
      <c r="G373" s="435"/>
      <c r="H373" s="436"/>
      <c r="I373" s="436"/>
      <c r="J373" s="437"/>
      <c r="K373" s="438">
        <f>K91</f>
        <v>0</v>
      </c>
      <c r="L373" s="436"/>
      <c r="M373" s="437"/>
      <c r="N373" s="438">
        <f>N91</f>
        <v>0</v>
      </c>
      <c r="O373" s="432"/>
      <c r="P373" s="432"/>
      <c r="Q373" s="438">
        <f>Q91</f>
        <v>0</v>
      </c>
      <c r="R373" s="438">
        <f>R91</f>
        <v>0</v>
      </c>
      <c r="S373" s="166"/>
      <c r="T373" s="166"/>
      <c r="U373" s="23"/>
    </row>
    <row r="374" spans="1:21" s="25" customFormat="1" ht="15" customHeight="1" x14ac:dyDescent="0.25">
      <c r="A374" s="431" t="s">
        <v>1022</v>
      </c>
      <c r="B374" s="432" t="str">
        <f t="shared" si="136"/>
        <v>SECT5.5/29</v>
      </c>
      <c r="C374" s="433"/>
      <c r="D374" s="434" t="str">
        <f>+D92</f>
        <v>SECTION NO 5.3 — FACILITIES BLOCK</v>
      </c>
      <c r="E374" s="434"/>
      <c r="F374" s="435"/>
      <c r="G374" s="435"/>
      <c r="H374" s="436"/>
      <c r="I374" s="436"/>
      <c r="J374" s="437"/>
      <c r="K374" s="438">
        <f>K191</f>
        <v>0</v>
      </c>
      <c r="L374" s="436"/>
      <c r="M374" s="437"/>
      <c r="N374" s="438">
        <f>N191</f>
        <v>0</v>
      </c>
      <c r="O374" s="432"/>
      <c r="P374" s="432"/>
      <c r="Q374" s="438">
        <f>Q191</f>
        <v>0</v>
      </c>
      <c r="R374" s="438">
        <f>R191</f>
        <v>0</v>
      </c>
      <c r="S374" s="166"/>
      <c r="T374" s="166"/>
      <c r="U374" s="23"/>
    </row>
    <row r="375" spans="1:21" s="25" customFormat="1" ht="15" customHeight="1" x14ac:dyDescent="0.25">
      <c r="A375" s="431" t="s">
        <v>1022</v>
      </c>
      <c r="B375" s="432" t="str">
        <f t="shared" si="136"/>
        <v>SECT5.5/29</v>
      </c>
      <c r="C375" s="433"/>
      <c r="D375" s="434" t="str">
        <f>+D192</f>
        <v>SECTION NO 5.4 — RECREATION CENTRE</v>
      </c>
      <c r="E375" s="434"/>
      <c r="F375" s="435"/>
      <c r="G375" s="435"/>
      <c r="H375" s="436"/>
      <c r="I375" s="436"/>
      <c r="J375" s="437"/>
      <c r="K375" s="438">
        <f>K289</f>
        <v>0</v>
      </c>
      <c r="L375" s="436"/>
      <c r="M375" s="437"/>
      <c r="N375" s="438">
        <f>N289</f>
        <v>0</v>
      </c>
      <c r="O375" s="432"/>
      <c r="P375" s="432"/>
      <c r="Q375" s="438">
        <f>Q289</f>
        <v>0</v>
      </c>
      <c r="R375" s="438">
        <f>R289</f>
        <v>0</v>
      </c>
      <c r="S375" s="166"/>
      <c r="T375" s="166"/>
      <c r="U375" s="23"/>
    </row>
    <row r="376" spans="1:21" s="25" customFormat="1" ht="15" customHeight="1" x14ac:dyDescent="0.25">
      <c r="A376" s="431" t="s">
        <v>1022</v>
      </c>
      <c r="B376" s="432" t="str">
        <f t="shared" si="136"/>
        <v>SECT5.5/29</v>
      </c>
      <c r="C376" s="433"/>
      <c r="D376" s="434" t="str">
        <f>+D290</f>
        <v>SECTION NO 5.5 — EXTERNAL</v>
      </c>
      <c r="E376" s="434"/>
      <c r="F376" s="435"/>
      <c r="G376" s="435"/>
      <c r="H376" s="436"/>
      <c r="I376" s="436"/>
      <c r="J376" s="437"/>
      <c r="K376" s="438">
        <f>K371</f>
        <v>0</v>
      </c>
      <c r="L376" s="436"/>
      <c r="M376" s="437"/>
      <c r="N376" s="438">
        <f>N371</f>
        <v>0</v>
      </c>
      <c r="O376" s="432"/>
      <c r="P376" s="432"/>
      <c r="Q376" s="438">
        <f>Q371</f>
        <v>0</v>
      </c>
      <c r="R376" s="438">
        <f>R371</f>
        <v>0</v>
      </c>
      <c r="S376" s="166"/>
      <c r="T376" s="166"/>
      <c r="U376" s="23"/>
    </row>
    <row r="377" spans="1:21" s="25" customFormat="1" ht="15" customHeight="1" thickBot="1" x14ac:dyDescent="0.3">
      <c r="A377" s="186" t="s">
        <v>1022</v>
      </c>
      <c r="B377" s="176" t="str">
        <f t="shared" si="136"/>
        <v>SECT5.5/29</v>
      </c>
      <c r="C377" s="177"/>
      <c r="D377" s="179"/>
      <c r="E377" s="179"/>
      <c r="F377" s="41"/>
      <c r="G377" s="41"/>
      <c r="H377" s="42"/>
      <c r="I377" s="42"/>
      <c r="J377" s="43"/>
      <c r="K377" s="46"/>
      <c r="L377" s="42"/>
      <c r="M377" s="43"/>
      <c r="N377" s="46"/>
      <c r="O377" s="176"/>
      <c r="P377" s="176"/>
      <c r="Q377" s="46"/>
      <c r="R377" s="46"/>
      <c r="S377" s="166"/>
      <c r="T377" s="166"/>
      <c r="U377" s="23"/>
    </row>
    <row r="378" spans="1:21" s="25" customFormat="1" ht="21.75" customHeight="1" thickBot="1" x14ac:dyDescent="0.3">
      <c r="A378" s="254" t="s">
        <v>1022</v>
      </c>
      <c r="B378" s="255"/>
      <c r="C378" s="256"/>
      <c r="D378" s="255" t="s">
        <v>1000</v>
      </c>
      <c r="E378" s="188"/>
      <c r="F378" s="188"/>
      <c r="G378" s="188"/>
      <c r="H378" s="47"/>
      <c r="I378" s="47"/>
      <c r="J378" s="255"/>
      <c r="K378" s="257">
        <f>SUM(K373:K377)</f>
        <v>0</v>
      </c>
      <c r="L378" s="257" t="b">
        <f>+K378=SUM(J7:J371)/2</f>
        <v>1</v>
      </c>
      <c r="M378" s="255"/>
      <c r="N378" s="257">
        <f>SUM(N373:N377)</f>
        <v>0</v>
      </c>
      <c r="O378" s="257" t="b">
        <f>+N378=SUM(M7:M371)/2</f>
        <v>1</v>
      </c>
      <c r="P378" s="255"/>
      <c r="Q378" s="257">
        <f>SUM(Q373:Q377)</f>
        <v>0</v>
      </c>
      <c r="R378" s="257">
        <f>SUM(R373:R377)</f>
        <v>0</v>
      </c>
      <c r="S378" s="166"/>
      <c r="T378" s="166"/>
      <c r="U378" s="23"/>
    </row>
    <row r="379" spans="1:21" x14ac:dyDescent="0.25">
      <c r="A379" s="15">
        <v>0</v>
      </c>
      <c r="B379"/>
      <c r="C379"/>
      <c r="D379" s="394"/>
      <c r="E379"/>
      <c r="F379"/>
      <c r="G379"/>
      <c r="H379" s="343"/>
      <c r="I379"/>
      <c r="J379" s="343"/>
      <c r="K379" s="343"/>
      <c r="L379"/>
      <c r="M379" s="343"/>
      <c r="N379" s="343"/>
      <c r="O379"/>
      <c r="P379"/>
      <c r="Q379" s="343"/>
      <c r="R379" s="343"/>
      <c r="S379" s="166"/>
      <c r="T379" s="166"/>
    </row>
    <row r="380" spans="1:21" ht="15.75" thickBot="1" x14ac:dyDescent="0.3">
      <c r="A380" s="15">
        <v>0</v>
      </c>
      <c r="B380"/>
      <c r="C380"/>
      <c r="D380" s="394"/>
      <c r="E380"/>
      <c r="F380"/>
      <c r="G380"/>
      <c r="H380" s="343"/>
      <c r="I380"/>
      <c r="J380" s="343"/>
      <c r="K380" s="343" t="b">
        <f>+K378=K542</f>
        <v>1</v>
      </c>
      <c r="L380"/>
      <c r="M380" s="343"/>
      <c r="N380" s="343" t="b">
        <f>+N378=N542</f>
        <v>1</v>
      </c>
      <c r="O380"/>
      <c r="P380"/>
      <c r="Q380" s="343"/>
      <c r="R380" s="343"/>
      <c r="S380" s="166"/>
      <c r="T380" s="166"/>
    </row>
    <row r="381" spans="1:21" ht="16.5" thickBot="1" x14ac:dyDescent="0.3">
      <c r="A381" s="136" t="s">
        <v>1049</v>
      </c>
      <c r="B381" s="137"/>
      <c r="C381" s="137"/>
      <c r="D381" s="395" t="s">
        <v>1938</v>
      </c>
      <c r="E381" s="137"/>
      <c r="F381" s="137"/>
      <c r="G381" s="137"/>
      <c r="H381" s="344"/>
      <c r="I381" s="137"/>
      <c r="J381" s="344"/>
      <c r="K381" s="344"/>
      <c r="L381" s="137"/>
      <c r="M381" s="344"/>
      <c r="N381" s="344"/>
      <c r="O381" s="137"/>
      <c r="P381" s="137"/>
      <c r="Q381" s="344"/>
      <c r="R381" s="344"/>
      <c r="S381" s="166"/>
      <c r="T381" s="166"/>
    </row>
    <row r="382" spans="1:21" ht="36.75" thickBot="1" x14ac:dyDescent="0.3">
      <c r="A382" s="140" t="s">
        <v>618</v>
      </c>
      <c r="B382" s="251" t="s">
        <v>622</v>
      </c>
      <c r="C382" s="141"/>
      <c r="D382" s="396"/>
      <c r="E382" s="141"/>
      <c r="F382" s="141"/>
      <c r="G382" s="141"/>
      <c r="H382" s="370"/>
      <c r="I382" s="141"/>
      <c r="J382" s="370"/>
      <c r="K382" s="345" t="s">
        <v>1013</v>
      </c>
      <c r="L382" s="237"/>
      <c r="M382" s="381"/>
      <c r="N382" s="355" t="s">
        <v>1016</v>
      </c>
      <c r="O382" s="237"/>
      <c r="P382" s="142" t="s">
        <v>1017</v>
      </c>
      <c r="Q382" s="363" t="s">
        <v>1375</v>
      </c>
      <c r="R382" s="363" t="s">
        <v>1376</v>
      </c>
      <c r="S382" s="166"/>
      <c r="T382" s="166"/>
    </row>
    <row r="383" spans="1:21" hidden="1" outlineLevel="1" x14ac:dyDescent="0.25">
      <c r="A383" s="189" t="s">
        <v>1067</v>
      </c>
      <c r="B383" s="252" t="s">
        <v>1068</v>
      </c>
      <c r="C383" s="190"/>
      <c r="D383" s="397"/>
      <c r="E383" s="191"/>
      <c r="F383" s="192"/>
      <c r="G383" s="192"/>
      <c r="H383" s="371"/>
      <c r="I383" s="49"/>
      <c r="J383" s="378"/>
      <c r="K383" s="346">
        <f t="shared" ref="K383:K414" si="137">SUMIF($A$8:$A$378,A383,$K$8:$K$378)</f>
        <v>0</v>
      </c>
      <c r="L383" s="49"/>
      <c r="M383" s="378"/>
      <c r="N383" s="356">
        <f t="shared" ref="N383:N414" si="138">SUMIF($A$8:$A$378,A383,$N$8:$N$378)</f>
        <v>0</v>
      </c>
      <c r="O383" s="194"/>
      <c r="P383" s="165" t="s">
        <v>1004</v>
      </c>
      <c r="Q383" s="364">
        <f t="shared" ref="Q383:Q414" si="139">+ROUND((K383+N383)*(1+SUMIF($Q$2:$Q$4,P383,$R$2:$R$4)),0)</f>
        <v>0</v>
      </c>
      <c r="R383" s="364">
        <f t="shared" ref="R383:R414" si="140">+ROUND((L383+O383)*(1+SUMIF($Q$2:$Q$4,Q383,$R$2:$R$4)),0)</f>
        <v>0</v>
      </c>
      <c r="S383" s="166"/>
      <c r="T383" s="166"/>
    </row>
    <row r="384" spans="1:21" hidden="1" outlineLevel="1" x14ac:dyDescent="0.25">
      <c r="A384" s="189" t="s">
        <v>1069</v>
      </c>
      <c r="B384" s="253" t="s">
        <v>1070</v>
      </c>
      <c r="C384" s="195"/>
      <c r="D384" s="398"/>
      <c r="E384" s="196"/>
      <c r="F384" s="192"/>
      <c r="G384" s="192"/>
      <c r="H384" s="372"/>
      <c r="I384" s="49"/>
      <c r="J384" s="378"/>
      <c r="K384" s="346">
        <f t="shared" si="137"/>
        <v>0</v>
      </c>
      <c r="L384" s="49"/>
      <c r="M384" s="378"/>
      <c r="N384" s="356">
        <f t="shared" si="138"/>
        <v>0</v>
      </c>
      <c r="O384" s="197"/>
      <c r="P384" s="165" t="s">
        <v>1004</v>
      </c>
      <c r="Q384" s="364">
        <f t="shared" si="139"/>
        <v>0</v>
      </c>
      <c r="R384" s="364">
        <f t="shared" si="140"/>
        <v>0</v>
      </c>
      <c r="S384" s="166"/>
      <c r="T384" s="166"/>
    </row>
    <row r="385" spans="1:20" hidden="1" outlineLevel="1" x14ac:dyDescent="0.25">
      <c r="A385" s="189" t="s">
        <v>1071</v>
      </c>
      <c r="B385" s="252" t="s">
        <v>1072</v>
      </c>
      <c r="C385" s="190"/>
      <c r="D385" s="397"/>
      <c r="E385" s="191"/>
      <c r="F385" s="192"/>
      <c r="G385" s="192"/>
      <c r="H385" s="371"/>
      <c r="I385" s="49"/>
      <c r="J385" s="378"/>
      <c r="K385" s="346">
        <f t="shared" si="137"/>
        <v>0</v>
      </c>
      <c r="L385" s="49"/>
      <c r="M385" s="378"/>
      <c r="N385" s="356">
        <f t="shared" si="138"/>
        <v>0</v>
      </c>
      <c r="O385" s="194"/>
      <c r="P385" s="165" t="s">
        <v>1004</v>
      </c>
      <c r="Q385" s="364">
        <f t="shared" si="139"/>
        <v>0</v>
      </c>
      <c r="R385" s="364">
        <f t="shared" si="140"/>
        <v>0</v>
      </c>
      <c r="S385" s="166"/>
      <c r="T385" s="166"/>
    </row>
    <row r="386" spans="1:20" hidden="1" outlineLevel="1" x14ac:dyDescent="0.25">
      <c r="A386" s="189" t="s">
        <v>1073</v>
      </c>
      <c r="B386" s="253" t="s">
        <v>1074</v>
      </c>
      <c r="C386" s="195"/>
      <c r="D386" s="398"/>
      <c r="E386" s="196"/>
      <c r="F386" s="192"/>
      <c r="G386" s="192"/>
      <c r="H386" s="372"/>
      <c r="I386" s="49"/>
      <c r="J386" s="378"/>
      <c r="K386" s="346">
        <f t="shared" si="137"/>
        <v>0</v>
      </c>
      <c r="L386" s="49"/>
      <c r="M386" s="378"/>
      <c r="N386" s="356">
        <f t="shared" si="138"/>
        <v>0</v>
      </c>
      <c r="O386" s="197"/>
      <c r="P386" s="165" t="s">
        <v>1004</v>
      </c>
      <c r="Q386" s="364">
        <f t="shared" si="139"/>
        <v>0</v>
      </c>
      <c r="R386" s="364">
        <f t="shared" si="140"/>
        <v>0</v>
      </c>
      <c r="S386" s="166"/>
      <c r="T386" s="166"/>
    </row>
    <row r="387" spans="1:20" hidden="1" outlineLevel="1" x14ac:dyDescent="0.25">
      <c r="A387" s="189" t="s">
        <v>1075</v>
      </c>
      <c r="B387" s="252" t="s">
        <v>1076</v>
      </c>
      <c r="C387" s="190"/>
      <c r="D387" s="397"/>
      <c r="E387" s="191"/>
      <c r="F387" s="192"/>
      <c r="G387" s="192"/>
      <c r="H387" s="371"/>
      <c r="I387" s="49"/>
      <c r="J387" s="378"/>
      <c r="K387" s="346">
        <f t="shared" si="137"/>
        <v>0</v>
      </c>
      <c r="L387" s="49"/>
      <c r="M387" s="378"/>
      <c r="N387" s="356">
        <f t="shared" si="138"/>
        <v>0</v>
      </c>
      <c r="O387" s="194"/>
      <c r="P387" s="165" t="s">
        <v>1004</v>
      </c>
      <c r="Q387" s="364">
        <f t="shared" si="139"/>
        <v>0</v>
      </c>
      <c r="R387" s="364">
        <f t="shared" si="140"/>
        <v>0</v>
      </c>
      <c r="S387" s="166"/>
      <c r="T387" s="166"/>
    </row>
    <row r="388" spans="1:20" hidden="1" outlineLevel="1" x14ac:dyDescent="0.25">
      <c r="A388" s="189" t="s">
        <v>1077</v>
      </c>
      <c r="B388" s="253" t="s">
        <v>1078</v>
      </c>
      <c r="C388" s="195"/>
      <c r="D388" s="398"/>
      <c r="E388" s="196"/>
      <c r="F388" s="192"/>
      <c r="G388" s="192"/>
      <c r="H388" s="372"/>
      <c r="I388" s="49"/>
      <c r="J388" s="378"/>
      <c r="K388" s="346">
        <f t="shared" si="137"/>
        <v>0</v>
      </c>
      <c r="L388" s="49"/>
      <c r="M388" s="378"/>
      <c r="N388" s="356">
        <f t="shared" si="138"/>
        <v>0</v>
      </c>
      <c r="O388" s="197"/>
      <c r="P388" s="165" t="s">
        <v>1004</v>
      </c>
      <c r="Q388" s="364">
        <f t="shared" si="139"/>
        <v>0</v>
      </c>
      <c r="R388" s="364">
        <f t="shared" si="140"/>
        <v>0</v>
      </c>
      <c r="S388" s="166"/>
      <c r="T388" s="166"/>
    </row>
    <row r="389" spans="1:20" hidden="1" outlineLevel="1" x14ac:dyDescent="0.25">
      <c r="A389" s="189" t="s">
        <v>1079</v>
      </c>
      <c r="B389" s="252" t="s">
        <v>1080</v>
      </c>
      <c r="C389" s="190"/>
      <c r="D389" s="397"/>
      <c r="E389" s="191"/>
      <c r="F389" s="192"/>
      <c r="G389" s="192"/>
      <c r="H389" s="371"/>
      <c r="I389" s="49"/>
      <c r="J389" s="378"/>
      <c r="K389" s="346">
        <f t="shared" si="137"/>
        <v>0</v>
      </c>
      <c r="L389" s="49"/>
      <c r="M389" s="378"/>
      <c r="N389" s="356">
        <f t="shared" si="138"/>
        <v>0</v>
      </c>
      <c r="O389" s="194"/>
      <c r="P389" s="165" t="s">
        <v>1004</v>
      </c>
      <c r="Q389" s="364">
        <f t="shared" si="139"/>
        <v>0</v>
      </c>
      <c r="R389" s="364">
        <f t="shared" si="140"/>
        <v>0</v>
      </c>
      <c r="S389" s="166"/>
      <c r="T389" s="166"/>
    </row>
    <row r="390" spans="1:20" hidden="1" outlineLevel="1" x14ac:dyDescent="0.25">
      <c r="A390" s="189" t="s">
        <v>1081</v>
      </c>
      <c r="B390" s="253" t="s">
        <v>1082</v>
      </c>
      <c r="C390" s="195"/>
      <c r="D390" s="398"/>
      <c r="E390" s="196"/>
      <c r="F390" s="192"/>
      <c r="G390" s="192"/>
      <c r="H390" s="372"/>
      <c r="I390" s="49"/>
      <c r="J390" s="378"/>
      <c r="K390" s="346">
        <f t="shared" si="137"/>
        <v>0</v>
      </c>
      <c r="L390" s="49"/>
      <c r="M390" s="378"/>
      <c r="N390" s="356">
        <f t="shared" si="138"/>
        <v>0</v>
      </c>
      <c r="O390" s="197"/>
      <c r="P390" s="165" t="s">
        <v>1004</v>
      </c>
      <c r="Q390" s="364">
        <f t="shared" si="139"/>
        <v>0</v>
      </c>
      <c r="R390" s="364">
        <f t="shared" si="140"/>
        <v>0</v>
      </c>
      <c r="S390" s="166"/>
      <c r="T390" s="166"/>
    </row>
    <row r="391" spans="1:20" hidden="1" outlineLevel="1" x14ac:dyDescent="0.25">
      <c r="A391" s="189" t="s">
        <v>1083</v>
      </c>
      <c r="B391" s="252" t="s">
        <v>1084</v>
      </c>
      <c r="C391" s="190"/>
      <c r="D391" s="397"/>
      <c r="E391" s="191"/>
      <c r="F391" s="192"/>
      <c r="G391" s="192"/>
      <c r="H391" s="371"/>
      <c r="I391" s="49"/>
      <c r="J391" s="378"/>
      <c r="K391" s="346">
        <f t="shared" si="137"/>
        <v>0</v>
      </c>
      <c r="L391" s="49"/>
      <c r="M391" s="378"/>
      <c r="N391" s="356">
        <f t="shared" si="138"/>
        <v>0</v>
      </c>
      <c r="O391" s="194"/>
      <c r="P391" s="165" t="s">
        <v>1004</v>
      </c>
      <c r="Q391" s="364">
        <f t="shared" si="139"/>
        <v>0</v>
      </c>
      <c r="R391" s="364">
        <f t="shared" si="140"/>
        <v>0</v>
      </c>
      <c r="S391" s="166"/>
      <c r="T391" s="166"/>
    </row>
    <row r="392" spans="1:20" hidden="1" outlineLevel="1" x14ac:dyDescent="0.25">
      <c r="A392" s="189" t="s">
        <v>1085</v>
      </c>
      <c r="B392" s="253" t="s">
        <v>1086</v>
      </c>
      <c r="C392" s="195"/>
      <c r="D392" s="398"/>
      <c r="E392" s="196"/>
      <c r="F392" s="192"/>
      <c r="G392" s="192"/>
      <c r="H392" s="372"/>
      <c r="I392" s="49"/>
      <c r="J392" s="378"/>
      <c r="K392" s="346">
        <f t="shared" si="137"/>
        <v>0</v>
      </c>
      <c r="L392" s="49"/>
      <c r="M392" s="378"/>
      <c r="N392" s="356">
        <f t="shared" si="138"/>
        <v>0</v>
      </c>
      <c r="O392" s="197"/>
      <c r="P392" s="165" t="s">
        <v>1004</v>
      </c>
      <c r="Q392" s="364">
        <f t="shared" si="139"/>
        <v>0</v>
      </c>
      <c r="R392" s="364">
        <f t="shared" si="140"/>
        <v>0</v>
      </c>
      <c r="S392" s="166"/>
      <c r="T392" s="166"/>
    </row>
    <row r="393" spans="1:20" hidden="1" outlineLevel="1" x14ac:dyDescent="0.25">
      <c r="A393" s="189" t="s">
        <v>1087</v>
      </c>
      <c r="B393" s="252" t="s">
        <v>1088</v>
      </c>
      <c r="C393" s="190"/>
      <c r="D393" s="397"/>
      <c r="E393" s="191"/>
      <c r="F393" s="192"/>
      <c r="G393" s="192"/>
      <c r="H393" s="371"/>
      <c r="I393" s="49"/>
      <c r="J393" s="378"/>
      <c r="K393" s="346">
        <f t="shared" si="137"/>
        <v>0</v>
      </c>
      <c r="L393" s="49"/>
      <c r="M393" s="378"/>
      <c r="N393" s="356">
        <f t="shared" si="138"/>
        <v>0</v>
      </c>
      <c r="O393" s="194"/>
      <c r="P393" s="165" t="s">
        <v>1004</v>
      </c>
      <c r="Q393" s="364">
        <f t="shared" si="139"/>
        <v>0</v>
      </c>
      <c r="R393" s="364">
        <f t="shared" si="140"/>
        <v>0</v>
      </c>
      <c r="S393" s="166"/>
      <c r="T393" s="166"/>
    </row>
    <row r="394" spans="1:20" hidden="1" outlineLevel="1" x14ac:dyDescent="0.25">
      <c r="A394" s="189" t="s">
        <v>1089</v>
      </c>
      <c r="B394" s="253" t="s">
        <v>1090</v>
      </c>
      <c r="C394" s="195"/>
      <c r="D394" s="398"/>
      <c r="E394" s="196"/>
      <c r="F394" s="192"/>
      <c r="G394" s="192"/>
      <c r="H394" s="372"/>
      <c r="I394" s="49"/>
      <c r="J394" s="378"/>
      <c r="K394" s="346">
        <f t="shared" si="137"/>
        <v>0</v>
      </c>
      <c r="L394" s="49"/>
      <c r="M394" s="378"/>
      <c r="N394" s="356">
        <f t="shared" si="138"/>
        <v>0</v>
      </c>
      <c r="O394" s="197"/>
      <c r="P394" s="165" t="s">
        <v>1004</v>
      </c>
      <c r="Q394" s="364">
        <f t="shared" si="139"/>
        <v>0</v>
      </c>
      <c r="R394" s="364">
        <f t="shared" si="140"/>
        <v>0</v>
      </c>
      <c r="S394" s="166"/>
      <c r="T394" s="166"/>
    </row>
    <row r="395" spans="1:20" hidden="1" outlineLevel="1" x14ac:dyDescent="0.25">
      <c r="A395" s="189" t="s">
        <v>1091</v>
      </c>
      <c r="B395" s="252" t="s">
        <v>1092</v>
      </c>
      <c r="C395" s="190"/>
      <c r="D395" s="397"/>
      <c r="E395" s="191"/>
      <c r="F395" s="192"/>
      <c r="G395" s="192"/>
      <c r="H395" s="371"/>
      <c r="I395" s="49"/>
      <c r="J395" s="378"/>
      <c r="K395" s="346">
        <f t="shared" si="137"/>
        <v>0</v>
      </c>
      <c r="L395" s="49"/>
      <c r="M395" s="378"/>
      <c r="N395" s="356">
        <f t="shared" si="138"/>
        <v>0</v>
      </c>
      <c r="O395" s="194"/>
      <c r="P395" s="165" t="s">
        <v>1004</v>
      </c>
      <c r="Q395" s="364">
        <f t="shared" si="139"/>
        <v>0</v>
      </c>
      <c r="R395" s="364">
        <f t="shared" si="140"/>
        <v>0</v>
      </c>
      <c r="S395" s="166"/>
      <c r="T395" s="166"/>
    </row>
    <row r="396" spans="1:20" hidden="1" outlineLevel="1" x14ac:dyDescent="0.25">
      <c r="A396" s="189" t="s">
        <v>1093</v>
      </c>
      <c r="B396" s="253" t="s">
        <v>1094</v>
      </c>
      <c r="C396" s="195"/>
      <c r="D396" s="398"/>
      <c r="E396" s="196"/>
      <c r="F396" s="192"/>
      <c r="G396" s="192"/>
      <c r="H396" s="372"/>
      <c r="I396" s="49"/>
      <c r="J396" s="378"/>
      <c r="K396" s="346">
        <f t="shared" si="137"/>
        <v>0</v>
      </c>
      <c r="L396" s="49"/>
      <c r="M396" s="378"/>
      <c r="N396" s="356">
        <f t="shared" si="138"/>
        <v>0</v>
      </c>
      <c r="O396" s="197"/>
      <c r="P396" s="165" t="s">
        <v>1004</v>
      </c>
      <c r="Q396" s="364">
        <f t="shared" si="139"/>
        <v>0</v>
      </c>
      <c r="R396" s="364">
        <f t="shared" si="140"/>
        <v>0</v>
      </c>
      <c r="S396" s="166"/>
      <c r="T396" s="166"/>
    </row>
    <row r="397" spans="1:20" hidden="1" outlineLevel="1" x14ac:dyDescent="0.25">
      <c r="A397" s="189" t="s">
        <v>1095</v>
      </c>
      <c r="B397" s="252" t="s">
        <v>1096</v>
      </c>
      <c r="C397" s="190"/>
      <c r="D397" s="397"/>
      <c r="E397" s="191"/>
      <c r="F397" s="192"/>
      <c r="G397" s="192"/>
      <c r="H397" s="371"/>
      <c r="I397" s="49"/>
      <c r="J397" s="378"/>
      <c r="K397" s="346">
        <f t="shared" si="137"/>
        <v>0</v>
      </c>
      <c r="L397" s="49"/>
      <c r="M397" s="378"/>
      <c r="N397" s="356">
        <f t="shared" si="138"/>
        <v>0</v>
      </c>
      <c r="O397" s="194"/>
      <c r="P397" s="165" t="s">
        <v>1004</v>
      </c>
      <c r="Q397" s="364">
        <f t="shared" si="139"/>
        <v>0</v>
      </c>
      <c r="R397" s="364">
        <f t="shared" si="140"/>
        <v>0</v>
      </c>
      <c r="S397" s="166"/>
      <c r="T397" s="166"/>
    </row>
    <row r="398" spans="1:20" hidden="1" outlineLevel="1" x14ac:dyDescent="0.25">
      <c r="A398" s="189" t="s">
        <v>1097</v>
      </c>
      <c r="B398" s="253" t="s">
        <v>1098</v>
      </c>
      <c r="C398" s="195"/>
      <c r="D398" s="398"/>
      <c r="E398" s="196"/>
      <c r="F398" s="192"/>
      <c r="G398" s="192"/>
      <c r="H398" s="372"/>
      <c r="I398" s="49"/>
      <c r="J398" s="378"/>
      <c r="K398" s="346">
        <f t="shared" si="137"/>
        <v>0</v>
      </c>
      <c r="L398" s="49"/>
      <c r="M398" s="378"/>
      <c r="N398" s="356">
        <f t="shared" si="138"/>
        <v>0</v>
      </c>
      <c r="O398" s="197"/>
      <c r="P398" s="165" t="s">
        <v>1004</v>
      </c>
      <c r="Q398" s="364">
        <f t="shared" si="139"/>
        <v>0</v>
      </c>
      <c r="R398" s="364">
        <f t="shared" si="140"/>
        <v>0</v>
      </c>
      <c r="S398" s="166"/>
      <c r="T398" s="166"/>
    </row>
    <row r="399" spans="1:20" hidden="1" outlineLevel="1" x14ac:dyDescent="0.25">
      <c r="A399" s="189" t="s">
        <v>1099</v>
      </c>
      <c r="B399" s="252" t="s">
        <v>1100</v>
      </c>
      <c r="C399" s="190"/>
      <c r="D399" s="397"/>
      <c r="E399" s="191"/>
      <c r="F399" s="192"/>
      <c r="G399" s="192"/>
      <c r="H399" s="371"/>
      <c r="I399" s="49"/>
      <c r="J399" s="378"/>
      <c r="K399" s="346">
        <f t="shared" si="137"/>
        <v>0</v>
      </c>
      <c r="L399" s="49"/>
      <c r="M399" s="378"/>
      <c r="N399" s="356">
        <f t="shared" si="138"/>
        <v>0</v>
      </c>
      <c r="O399" s="194"/>
      <c r="P399" s="165" t="s">
        <v>1004</v>
      </c>
      <c r="Q399" s="364">
        <f t="shared" si="139"/>
        <v>0</v>
      </c>
      <c r="R399" s="364">
        <f t="shared" si="140"/>
        <v>0</v>
      </c>
      <c r="S399" s="166"/>
      <c r="T399" s="166"/>
    </row>
    <row r="400" spans="1:20" hidden="1" outlineLevel="1" x14ac:dyDescent="0.25">
      <c r="A400" s="189" t="s">
        <v>1101</v>
      </c>
      <c r="B400" s="253" t="s">
        <v>1102</v>
      </c>
      <c r="C400" s="195"/>
      <c r="D400" s="398"/>
      <c r="E400" s="196"/>
      <c r="F400" s="192"/>
      <c r="G400" s="192"/>
      <c r="H400" s="372"/>
      <c r="I400" s="49"/>
      <c r="J400" s="378"/>
      <c r="K400" s="346">
        <f t="shared" si="137"/>
        <v>0</v>
      </c>
      <c r="L400" s="49"/>
      <c r="M400" s="378"/>
      <c r="N400" s="356">
        <f t="shared" si="138"/>
        <v>0</v>
      </c>
      <c r="O400" s="197"/>
      <c r="P400" s="165" t="s">
        <v>1004</v>
      </c>
      <c r="Q400" s="364">
        <f t="shared" si="139"/>
        <v>0</v>
      </c>
      <c r="R400" s="364">
        <f t="shared" si="140"/>
        <v>0</v>
      </c>
      <c r="S400" s="166"/>
      <c r="T400" s="166"/>
    </row>
    <row r="401" spans="1:20" hidden="1" outlineLevel="1" x14ac:dyDescent="0.25">
      <c r="A401" s="189" t="s">
        <v>1103</v>
      </c>
      <c r="B401" s="252" t="s">
        <v>1104</v>
      </c>
      <c r="C401" s="190"/>
      <c r="D401" s="397"/>
      <c r="E401" s="191"/>
      <c r="F401" s="192"/>
      <c r="G401" s="192"/>
      <c r="H401" s="371"/>
      <c r="I401" s="49"/>
      <c r="J401" s="378"/>
      <c r="K401" s="346">
        <f t="shared" si="137"/>
        <v>0</v>
      </c>
      <c r="L401" s="49"/>
      <c r="M401" s="378"/>
      <c r="N401" s="356">
        <f t="shared" si="138"/>
        <v>0</v>
      </c>
      <c r="O401" s="194"/>
      <c r="P401" s="165" t="s">
        <v>1004</v>
      </c>
      <c r="Q401" s="364">
        <f t="shared" si="139"/>
        <v>0</v>
      </c>
      <c r="R401" s="364">
        <f t="shared" si="140"/>
        <v>0</v>
      </c>
      <c r="S401" s="166"/>
      <c r="T401" s="166"/>
    </row>
    <row r="402" spans="1:20" hidden="1" outlineLevel="1" x14ac:dyDescent="0.25">
      <c r="A402" s="189" t="s">
        <v>1105</v>
      </c>
      <c r="B402" s="253" t="s">
        <v>1106</v>
      </c>
      <c r="C402" s="195"/>
      <c r="D402" s="398"/>
      <c r="E402" s="196"/>
      <c r="F402" s="192"/>
      <c r="G402" s="192"/>
      <c r="H402" s="372"/>
      <c r="I402" s="49"/>
      <c r="J402" s="378"/>
      <c r="K402" s="346">
        <f t="shared" si="137"/>
        <v>0</v>
      </c>
      <c r="L402" s="49"/>
      <c r="M402" s="378"/>
      <c r="N402" s="356">
        <f t="shared" si="138"/>
        <v>0</v>
      </c>
      <c r="O402" s="197"/>
      <c r="P402" s="165" t="s">
        <v>1004</v>
      </c>
      <c r="Q402" s="364">
        <f t="shared" si="139"/>
        <v>0</v>
      </c>
      <c r="R402" s="364">
        <f t="shared" si="140"/>
        <v>0</v>
      </c>
      <c r="S402" s="166"/>
      <c r="T402" s="166"/>
    </row>
    <row r="403" spans="1:20" hidden="1" outlineLevel="1" x14ac:dyDescent="0.25">
      <c r="A403" s="189" t="s">
        <v>1107</v>
      </c>
      <c r="B403" s="252" t="s">
        <v>1108</v>
      </c>
      <c r="C403" s="190"/>
      <c r="D403" s="397"/>
      <c r="E403" s="191"/>
      <c r="F403" s="192"/>
      <c r="G403" s="192"/>
      <c r="H403" s="371"/>
      <c r="I403" s="49"/>
      <c r="J403" s="378"/>
      <c r="K403" s="346">
        <f t="shared" si="137"/>
        <v>0</v>
      </c>
      <c r="L403" s="49"/>
      <c r="M403" s="378"/>
      <c r="N403" s="356">
        <f t="shared" si="138"/>
        <v>0</v>
      </c>
      <c r="O403" s="194"/>
      <c r="P403" s="165" t="s">
        <v>1004</v>
      </c>
      <c r="Q403" s="364">
        <f t="shared" si="139"/>
        <v>0</v>
      </c>
      <c r="R403" s="364">
        <f t="shared" si="140"/>
        <v>0</v>
      </c>
      <c r="S403" s="166"/>
      <c r="T403" s="166"/>
    </row>
    <row r="404" spans="1:20" hidden="1" outlineLevel="1" x14ac:dyDescent="0.25">
      <c r="A404" s="189" t="s">
        <v>1109</v>
      </c>
      <c r="B404" s="253" t="s">
        <v>1110</v>
      </c>
      <c r="C404" s="195"/>
      <c r="D404" s="398"/>
      <c r="E404" s="196"/>
      <c r="F404" s="192"/>
      <c r="G404" s="192"/>
      <c r="H404" s="372"/>
      <c r="I404" s="49"/>
      <c r="J404" s="378"/>
      <c r="K404" s="346">
        <f t="shared" si="137"/>
        <v>0</v>
      </c>
      <c r="L404" s="49"/>
      <c r="M404" s="378"/>
      <c r="N404" s="356">
        <f t="shared" si="138"/>
        <v>0</v>
      </c>
      <c r="O404" s="197"/>
      <c r="P404" s="165" t="s">
        <v>1004</v>
      </c>
      <c r="Q404" s="364">
        <f t="shared" si="139"/>
        <v>0</v>
      </c>
      <c r="R404" s="364">
        <f t="shared" si="140"/>
        <v>0</v>
      </c>
      <c r="S404" s="166"/>
      <c r="T404" s="166"/>
    </row>
    <row r="405" spans="1:20" hidden="1" outlineLevel="1" x14ac:dyDescent="0.25">
      <c r="A405" s="189" t="s">
        <v>1111</v>
      </c>
      <c r="B405" s="252" t="s">
        <v>1112</v>
      </c>
      <c r="C405" s="190"/>
      <c r="D405" s="397"/>
      <c r="E405" s="191"/>
      <c r="F405" s="192"/>
      <c r="G405" s="192"/>
      <c r="H405" s="371"/>
      <c r="I405" s="49"/>
      <c r="J405" s="378"/>
      <c r="K405" s="346">
        <f t="shared" si="137"/>
        <v>0</v>
      </c>
      <c r="L405" s="49"/>
      <c r="M405" s="378"/>
      <c r="N405" s="356">
        <f t="shared" si="138"/>
        <v>0</v>
      </c>
      <c r="O405" s="194"/>
      <c r="P405" s="165" t="s">
        <v>1004</v>
      </c>
      <c r="Q405" s="364">
        <f t="shared" si="139"/>
        <v>0</v>
      </c>
      <c r="R405" s="364">
        <f t="shared" si="140"/>
        <v>0</v>
      </c>
      <c r="S405" s="166"/>
      <c r="T405" s="166"/>
    </row>
    <row r="406" spans="1:20" hidden="1" outlineLevel="1" x14ac:dyDescent="0.25">
      <c r="A406" s="189" t="s">
        <v>1113</v>
      </c>
      <c r="B406" s="253" t="s">
        <v>1114</v>
      </c>
      <c r="C406" s="195"/>
      <c r="D406" s="398"/>
      <c r="E406" s="196"/>
      <c r="F406" s="192"/>
      <c r="G406" s="192"/>
      <c r="H406" s="372"/>
      <c r="I406" s="49"/>
      <c r="J406" s="378"/>
      <c r="K406" s="346">
        <f t="shared" si="137"/>
        <v>0</v>
      </c>
      <c r="L406" s="49"/>
      <c r="M406" s="378"/>
      <c r="N406" s="356">
        <f t="shared" si="138"/>
        <v>0</v>
      </c>
      <c r="O406" s="197"/>
      <c r="P406" s="165" t="s">
        <v>1004</v>
      </c>
      <c r="Q406" s="364">
        <f t="shared" si="139"/>
        <v>0</v>
      </c>
      <c r="R406" s="364">
        <f t="shared" si="140"/>
        <v>0</v>
      </c>
      <c r="S406" s="166"/>
      <c r="T406" s="166"/>
    </row>
    <row r="407" spans="1:20" hidden="1" outlineLevel="1" x14ac:dyDescent="0.25">
      <c r="A407" s="189" t="s">
        <v>1115</v>
      </c>
      <c r="B407" s="252" t="s">
        <v>1116</v>
      </c>
      <c r="C407" s="190"/>
      <c r="D407" s="397"/>
      <c r="E407" s="191"/>
      <c r="F407" s="192"/>
      <c r="G407" s="192"/>
      <c r="H407" s="371"/>
      <c r="I407" s="49"/>
      <c r="J407" s="378"/>
      <c r="K407" s="346">
        <f t="shared" si="137"/>
        <v>0</v>
      </c>
      <c r="L407" s="49"/>
      <c r="M407" s="378"/>
      <c r="N407" s="356">
        <f t="shared" si="138"/>
        <v>0</v>
      </c>
      <c r="O407" s="194"/>
      <c r="P407" s="165" t="s">
        <v>1004</v>
      </c>
      <c r="Q407" s="364">
        <f t="shared" si="139"/>
        <v>0</v>
      </c>
      <c r="R407" s="364">
        <f t="shared" si="140"/>
        <v>0</v>
      </c>
      <c r="S407" s="166"/>
      <c r="T407" s="166"/>
    </row>
    <row r="408" spans="1:20" hidden="1" outlineLevel="1" x14ac:dyDescent="0.25">
      <c r="A408" s="189" t="s">
        <v>1117</v>
      </c>
      <c r="B408" s="253" t="s">
        <v>1118</v>
      </c>
      <c r="C408" s="195"/>
      <c r="D408" s="398"/>
      <c r="E408" s="196"/>
      <c r="F408" s="192"/>
      <c r="G408" s="192"/>
      <c r="H408" s="372"/>
      <c r="I408" s="49"/>
      <c r="J408" s="378"/>
      <c r="K408" s="346">
        <f t="shared" si="137"/>
        <v>0</v>
      </c>
      <c r="L408" s="49"/>
      <c r="M408" s="378"/>
      <c r="N408" s="356">
        <f t="shared" si="138"/>
        <v>0</v>
      </c>
      <c r="O408" s="197"/>
      <c r="P408" s="165" t="s">
        <v>1004</v>
      </c>
      <c r="Q408" s="364">
        <f t="shared" si="139"/>
        <v>0</v>
      </c>
      <c r="R408" s="364">
        <f t="shared" si="140"/>
        <v>0</v>
      </c>
      <c r="S408" s="166"/>
      <c r="T408" s="166"/>
    </row>
    <row r="409" spans="1:20" hidden="1" outlineLevel="1" x14ac:dyDescent="0.25">
      <c r="A409" s="189" t="s">
        <v>1119</v>
      </c>
      <c r="B409" s="252" t="s">
        <v>1120</v>
      </c>
      <c r="C409" s="190"/>
      <c r="D409" s="397"/>
      <c r="E409" s="191"/>
      <c r="F409" s="192"/>
      <c r="G409" s="192"/>
      <c r="H409" s="371"/>
      <c r="I409" s="49"/>
      <c r="J409" s="378"/>
      <c r="K409" s="346">
        <f t="shared" si="137"/>
        <v>0</v>
      </c>
      <c r="L409" s="49"/>
      <c r="M409" s="378"/>
      <c r="N409" s="356">
        <f t="shared" si="138"/>
        <v>0</v>
      </c>
      <c r="O409" s="194"/>
      <c r="P409" s="165" t="s">
        <v>1004</v>
      </c>
      <c r="Q409" s="364">
        <f t="shared" si="139"/>
        <v>0</v>
      </c>
      <c r="R409" s="364">
        <f t="shared" si="140"/>
        <v>0</v>
      </c>
      <c r="S409" s="166"/>
      <c r="T409" s="166"/>
    </row>
    <row r="410" spans="1:20" hidden="1" outlineLevel="1" x14ac:dyDescent="0.25">
      <c r="A410" s="189" t="s">
        <v>1121</v>
      </c>
      <c r="B410" s="253" t="s">
        <v>1122</v>
      </c>
      <c r="C410" s="195"/>
      <c r="D410" s="398"/>
      <c r="E410" s="196"/>
      <c r="F410" s="192"/>
      <c r="G410" s="192"/>
      <c r="H410" s="372"/>
      <c r="I410" s="49"/>
      <c r="J410" s="378"/>
      <c r="K410" s="346">
        <f t="shared" si="137"/>
        <v>0</v>
      </c>
      <c r="L410" s="49"/>
      <c r="M410" s="378"/>
      <c r="N410" s="356">
        <f t="shared" si="138"/>
        <v>0</v>
      </c>
      <c r="O410" s="197"/>
      <c r="P410" s="165" t="s">
        <v>1004</v>
      </c>
      <c r="Q410" s="364">
        <f t="shared" si="139"/>
        <v>0</v>
      </c>
      <c r="R410" s="364">
        <f t="shared" si="140"/>
        <v>0</v>
      </c>
      <c r="S410" s="166"/>
      <c r="T410" s="166"/>
    </row>
    <row r="411" spans="1:20" hidden="1" outlineLevel="1" x14ac:dyDescent="0.25">
      <c r="A411" s="189" t="s">
        <v>1123</v>
      </c>
      <c r="B411" s="252" t="s">
        <v>1124</v>
      </c>
      <c r="C411" s="190"/>
      <c r="D411" s="397"/>
      <c r="E411" s="191"/>
      <c r="F411" s="192"/>
      <c r="G411" s="192"/>
      <c r="H411" s="371"/>
      <c r="I411" s="49"/>
      <c r="J411" s="378"/>
      <c r="K411" s="346">
        <f t="shared" si="137"/>
        <v>0</v>
      </c>
      <c r="L411" s="49"/>
      <c r="M411" s="378"/>
      <c r="N411" s="356">
        <f t="shared" si="138"/>
        <v>0</v>
      </c>
      <c r="O411" s="194"/>
      <c r="P411" s="165" t="s">
        <v>1004</v>
      </c>
      <c r="Q411" s="364">
        <f t="shared" si="139"/>
        <v>0</v>
      </c>
      <c r="R411" s="364">
        <f t="shared" si="140"/>
        <v>0</v>
      </c>
      <c r="S411" s="166"/>
      <c r="T411" s="166"/>
    </row>
    <row r="412" spans="1:20" hidden="1" outlineLevel="1" x14ac:dyDescent="0.25">
      <c r="A412" s="189" t="s">
        <v>1125</v>
      </c>
      <c r="B412" s="253" t="s">
        <v>1126</v>
      </c>
      <c r="C412" s="195"/>
      <c r="D412" s="398"/>
      <c r="E412" s="196"/>
      <c r="F412" s="192"/>
      <c r="G412" s="192"/>
      <c r="H412" s="372"/>
      <c r="I412" s="49"/>
      <c r="J412" s="378"/>
      <c r="K412" s="346">
        <f t="shared" si="137"/>
        <v>0</v>
      </c>
      <c r="L412" s="49"/>
      <c r="M412" s="378"/>
      <c r="N412" s="356">
        <f t="shared" si="138"/>
        <v>0</v>
      </c>
      <c r="O412" s="197"/>
      <c r="P412" s="165" t="s">
        <v>1004</v>
      </c>
      <c r="Q412" s="364">
        <f t="shared" si="139"/>
        <v>0</v>
      </c>
      <c r="R412" s="364">
        <f t="shared" si="140"/>
        <v>0</v>
      </c>
      <c r="S412" s="166"/>
      <c r="T412" s="166"/>
    </row>
    <row r="413" spans="1:20" hidden="1" outlineLevel="1" x14ac:dyDescent="0.25">
      <c r="A413" s="189" t="s">
        <v>1127</v>
      </c>
      <c r="B413" s="252" t="s">
        <v>1128</v>
      </c>
      <c r="C413" s="190"/>
      <c r="D413" s="397"/>
      <c r="E413" s="191"/>
      <c r="F413" s="192"/>
      <c r="G413" s="192"/>
      <c r="H413" s="371"/>
      <c r="I413" s="49"/>
      <c r="J413" s="378"/>
      <c r="K413" s="346">
        <f t="shared" si="137"/>
        <v>0</v>
      </c>
      <c r="L413" s="49"/>
      <c r="M413" s="378"/>
      <c r="N413" s="356">
        <f t="shared" si="138"/>
        <v>0</v>
      </c>
      <c r="O413" s="194"/>
      <c r="P413" s="165" t="s">
        <v>1004</v>
      </c>
      <c r="Q413" s="364">
        <f t="shared" si="139"/>
        <v>0</v>
      </c>
      <c r="R413" s="364">
        <f t="shared" si="140"/>
        <v>0</v>
      </c>
      <c r="S413" s="166"/>
      <c r="T413" s="166"/>
    </row>
    <row r="414" spans="1:20" hidden="1" outlineLevel="1" x14ac:dyDescent="0.25">
      <c r="A414" s="189" t="s">
        <v>1129</v>
      </c>
      <c r="B414" s="253" t="s">
        <v>1130</v>
      </c>
      <c r="C414" s="195"/>
      <c r="D414" s="398"/>
      <c r="E414" s="196"/>
      <c r="F414" s="192"/>
      <c r="G414" s="192"/>
      <c r="H414" s="372"/>
      <c r="I414" s="49"/>
      <c r="J414" s="378"/>
      <c r="K414" s="346">
        <f t="shared" si="137"/>
        <v>0</v>
      </c>
      <c r="L414" s="49"/>
      <c r="M414" s="378"/>
      <c r="N414" s="356">
        <f t="shared" si="138"/>
        <v>0</v>
      </c>
      <c r="O414" s="197"/>
      <c r="P414" s="165" t="s">
        <v>1004</v>
      </c>
      <c r="Q414" s="364">
        <f t="shared" si="139"/>
        <v>0</v>
      </c>
      <c r="R414" s="364">
        <f t="shared" si="140"/>
        <v>0</v>
      </c>
      <c r="S414" s="166"/>
      <c r="T414" s="166"/>
    </row>
    <row r="415" spans="1:20" hidden="1" outlineLevel="1" x14ac:dyDescent="0.25">
      <c r="A415" s="189" t="s">
        <v>1131</v>
      </c>
      <c r="B415" s="252" t="s">
        <v>1132</v>
      </c>
      <c r="C415" s="190"/>
      <c r="D415" s="397"/>
      <c r="E415" s="191"/>
      <c r="F415" s="192"/>
      <c r="G415" s="192"/>
      <c r="H415" s="371"/>
      <c r="I415" s="49"/>
      <c r="J415" s="378"/>
      <c r="K415" s="346">
        <f t="shared" ref="K415:K446" si="141">SUMIF($A$8:$A$378,A415,$K$8:$K$378)</f>
        <v>0</v>
      </c>
      <c r="L415" s="49"/>
      <c r="M415" s="378"/>
      <c r="N415" s="356">
        <f t="shared" ref="N415:N446" si="142">SUMIF($A$8:$A$378,A415,$N$8:$N$378)</f>
        <v>0</v>
      </c>
      <c r="O415" s="194"/>
      <c r="P415" s="165" t="s">
        <v>1004</v>
      </c>
      <c r="Q415" s="364">
        <f t="shared" ref="Q415:Q446" si="143">+ROUND((K415+N415)*(1+SUMIF($Q$2:$Q$4,P415,$R$2:$R$4)),0)</f>
        <v>0</v>
      </c>
      <c r="R415" s="364">
        <f t="shared" ref="R415:R446" si="144">+ROUND((L415+O415)*(1+SUMIF($Q$2:$Q$4,Q415,$R$2:$R$4)),0)</f>
        <v>0</v>
      </c>
      <c r="S415" s="166"/>
      <c r="T415" s="166"/>
    </row>
    <row r="416" spans="1:20" hidden="1" outlineLevel="1" x14ac:dyDescent="0.25">
      <c r="A416" s="189" t="s">
        <v>1133</v>
      </c>
      <c r="B416" s="253" t="s">
        <v>1134</v>
      </c>
      <c r="C416" s="195"/>
      <c r="D416" s="398"/>
      <c r="E416" s="196"/>
      <c r="F416" s="192"/>
      <c r="G416" s="192"/>
      <c r="H416" s="372"/>
      <c r="I416" s="49"/>
      <c r="J416" s="378"/>
      <c r="K416" s="346">
        <f t="shared" si="141"/>
        <v>0</v>
      </c>
      <c r="L416" s="49"/>
      <c r="M416" s="378"/>
      <c r="N416" s="356">
        <f t="shared" si="142"/>
        <v>0</v>
      </c>
      <c r="O416" s="197"/>
      <c r="P416" s="165" t="s">
        <v>1004</v>
      </c>
      <c r="Q416" s="364">
        <f t="shared" si="143"/>
        <v>0</v>
      </c>
      <c r="R416" s="364">
        <f t="shared" si="144"/>
        <v>0</v>
      </c>
      <c r="S416" s="166"/>
      <c r="T416" s="166"/>
    </row>
    <row r="417" spans="1:20" hidden="1" outlineLevel="1" x14ac:dyDescent="0.25">
      <c r="A417" s="189" t="s">
        <v>1135</v>
      </c>
      <c r="B417" s="252" t="s">
        <v>1136</v>
      </c>
      <c r="C417" s="190"/>
      <c r="D417" s="397"/>
      <c r="E417" s="191"/>
      <c r="F417" s="192"/>
      <c r="G417" s="192"/>
      <c r="H417" s="371"/>
      <c r="I417" s="49"/>
      <c r="J417" s="378"/>
      <c r="K417" s="346">
        <f t="shared" si="141"/>
        <v>0</v>
      </c>
      <c r="L417" s="49"/>
      <c r="M417" s="378"/>
      <c r="N417" s="356">
        <f t="shared" si="142"/>
        <v>0</v>
      </c>
      <c r="O417" s="194"/>
      <c r="P417" s="165" t="s">
        <v>1004</v>
      </c>
      <c r="Q417" s="364">
        <f t="shared" si="143"/>
        <v>0</v>
      </c>
      <c r="R417" s="364">
        <f t="shared" si="144"/>
        <v>0</v>
      </c>
      <c r="S417" s="166"/>
      <c r="T417" s="166"/>
    </row>
    <row r="418" spans="1:20" hidden="1" outlineLevel="1" x14ac:dyDescent="0.25">
      <c r="A418" s="189" t="s">
        <v>1137</v>
      </c>
      <c r="B418" s="253" t="s">
        <v>1138</v>
      </c>
      <c r="C418" s="195"/>
      <c r="D418" s="398"/>
      <c r="E418" s="196"/>
      <c r="F418" s="192"/>
      <c r="G418" s="192"/>
      <c r="H418" s="372"/>
      <c r="I418" s="49"/>
      <c r="J418" s="378"/>
      <c r="K418" s="346">
        <f t="shared" si="141"/>
        <v>0</v>
      </c>
      <c r="L418" s="49"/>
      <c r="M418" s="378"/>
      <c r="N418" s="356">
        <f t="shared" si="142"/>
        <v>0</v>
      </c>
      <c r="O418" s="197"/>
      <c r="P418" s="165" t="s">
        <v>1004</v>
      </c>
      <c r="Q418" s="364">
        <f t="shared" si="143"/>
        <v>0</v>
      </c>
      <c r="R418" s="364">
        <f t="shared" si="144"/>
        <v>0</v>
      </c>
      <c r="S418" s="166"/>
      <c r="T418" s="166"/>
    </row>
    <row r="419" spans="1:20" hidden="1" outlineLevel="1" x14ac:dyDescent="0.25">
      <c r="A419" s="189" t="s">
        <v>1139</v>
      </c>
      <c r="B419" s="252" t="s">
        <v>1140</v>
      </c>
      <c r="C419" s="190"/>
      <c r="D419" s="397"/>
      <c r="E419" s="191"/>
      <c r="F419" s="192"/>
      <c r="G419" s="192"/>
      <c r="H419" s="371"/>
      <c r="I419" s="49"/>
      <c r="J419" s="378"/>
      <c r="K419" s="346">
        <f t="shared" si="141"/>
        <v>0</v>
      </c>
      <c r="L419" s="49"/>
      <c r="M419" s="378"/>
      <c r="N419" s="356">
        <f t="shared" si="142"/>
        <v>0</v>
      </c>
      <c r="O419" s="194"/>
      <c r="P419" s="165" t="s">
        <v>1004</v>
      </c>
      <c r="Q419" s="364">
        <f t="shared" si="143"/>
        <v>0</v>
      </c>
      <c r="R419" s="364">
        <f t="shared" si="144"/>
        <v>0</v>
      </c>
      <c r="S419" s="166"/>
      <c r="T419" s="166"/>
    </row>
    <row r="420" spans="1:20" hidden="1" outlineLevel="1" x14ac:dyDescent="0.25">
      <c r="A420" s="189" t="s">
        <v>1141</v>
      </c>
      <c r="B420" s="253" t="s">
        <v>1142</v>
      </c>
      <c r="C420" s="195"/>
      <c r="D420" s="398"/>
      <c r="E420" s="196"/>
      <c r="F420" s="192"/>
      <c r="G420" s="192"/>
      <c r="H420" s="372"/>
      <c r="I420" s="49"/>
      <c r="J420" s="378"/>
      <c r="K420" s="346">
        <f t="shared" si="141"/>
        <v>0</v>
      </c>
      <c r="L420" s="49"/>
      <c r="M420" s="378"/>
      <c r="N420" s="356">
        <f t="shared" si="142"/>
        <v>0</v>
      </c>
      <c r="O420" s="197"/>
      <c r="P420" s="165" t="s">
        <v>1004</v>
      </c>
      <c r="Q420" s="364">
        <f t="shared" si="143"/>
        <v>0</v>
      </c>
      <c r="R420" s="364">
        <f t="shared" si="144"/>
        <v>0</v>
      </c>
      <c r="S420" s="166"/>
      <c r="T420" s="166"/>
    </row>
    <row r="421" spans="1:20" hidden="1" outlineLevel="1" x14ac:dyDescent="0.25">
      <c r="A421" s="189" t="s">
        <v>1143</v>
      </c>
      <c r="B421" s="252" t="s">
        <v>1144</v>
      </c>
      <c r="C421" s="190"/>
      <c r="D421" s="397"/>
      <c r="E421" s="191"/>
      <c r="F421" s="192"/>
      <c r="G421" s="192"/>
      <c r="H421" s="371"/>
      <c r="I421" s="49"/>
      <c r="J421" s="378"/>
      <c r="K421" s="346">
        <f t="shared" si="141"/>
        <v>0</v>
      </c>
      <c r="L421" s="49"/>
      <c r="M421" s="378"/>
      <c r="N421" s="356">
        <f t="shared" si="142"/>
        <v>0</v>
      </c>
      <c r="O421" s="194"/>
      <c r="P421" s="165" t="s">
        <v>1004</v>
      </c>
      <c r="Q421" s="364">
        <f t="shared" si="143"/>
        <v>0</v>
      </c>
      <c r="R421" s="364">
        <f t="shared" si="144"/>
        <v>0</v>
      </c>
      <c r="S421" s="166"/>
      <c r="T421" s="166"/>
    </row>
    <row r="422" spans="1:20" hidden="1" outlineLevel="1" x14ac:dyDescent="0.25">
      <c r="A422" s="189" t="s">
        <v>1145</v>
      </c>
      <c r="B422" s="253" t="s">
        <v>1146</v>
      </c>
      <c r="C422" s="195"/>
      <c r="D422" s="398"/>
      <c r="E422" s="196"/>
      <c r="F422" s="192"/>
      <c r="G422" s="192"/>
      <c r="H422" s="372"/>
      <c r="I422" s="49"/>
      <c r="J422" s="378"/>
      <c r="K422" s="346">
        <f t="shared" si="141"/>
        <v>0</v>
      </c>
      <c r="L422" s="49"/>
      <c r="M422" s="378"/>
      <c r="N422" s="356">
        <f t="shared" si="142"/>
        <v>0</v>
      </c>
      <c r="O422" s="197"/>
      <c r="P422" s="165" t="s">
        <v>1004</v>
      </c>
      <c r="Q422" s="364">
        <f t="shared" si="143"/>
        <v>0</v>
      </c>
      <c r="R422" s="364">
        <f t="shared" si="144"/>
        <v>0</v>
      </c>
      <c r="S422" s="166"/>
      <c r="T422" s="166"/>
    </row>
    <row r="423" spans="1:20" hidden="1" outlineLevel="1" x14ac:dyDescent="0.25">
      <c r="A423" s="189" t="s">
        <v>1147</v>
      </c>
      <c r="B423" s="252" t="s">
        <v>1148</v>
      </c>
      <c r="C423" s="190"/>
      <c r="D423" s="397"/>
      <c r="E423" s="191"/>
      <c r="F423" s="192"/>
      <c r="G423" s="192"/>
      <c r="H423" s="371"/>
      <c r="I423" s="49"/>
      <c r="J423" s="378"/>
      <c r="K423" s="346">
        <f t="shared" si="141"/>
        <v>0</v>
      </c>
      <c r="L423" s="49"/>
      <c r="M423" s="378"/>
      <c r="N423" s="356">
        <f t="shared" si="142"/>
        <v>0</v>
      </c>
      <c r="O423" s="194"/>
      <c r="P423" s="165" t="s">
        <v>1004</v>
      </c>
      <c r="Q423" s="364">
        <f t="shared" si="143"/>
        <v>0</v>
      </c>
      <c r="R423" s="364">
        <f t="shared" si="144"/>
        <v>0</v>
      </c>
      <c r="S423" s="166"/>
      <c r="T423" s="166"/>
    </row>
    <row r="424" spans="1:20" hidden="1" outlineLevel="1" x14ac:dyDescent="0.25">
      <c r="A424" s="189" t="s">
        <v>1149</v>
      </c>
      <c r="B424" s="253" t="s">
        <v>1150</v>
      </c>
      <c r="C424" s="195"/>
      <c r="D424" s="398"/>
      <c r="E424" s="196"/>
      <c r="F424" s="192"/>
      <c r="G424" s="192"/>
      <c r="H424" s="372"/>
      <c r="I424" s="49"/>
      <c r="J424" s="378"/>
      <c r="K424" s="346">
        <f t="shared" si="141"/>
        <v>0</v>
      </c>
      <c r="L424" s="49"/>
      <c r="M424" s="378"/>
      <c r="N424" s="356">
        <f t="shared" si="142"/>
        <v>0</v>
      </c>
      <c r="O424" s="197"/>
      <c r="P424" s="165" t="s">
        <v>1004</v>
      </c>
      <c r="Q424" s="364">
        <f t="shared" si="143"/>
        <v>0</v>
      </c>
      <c r="R424" s="364">
        <f t="shared" si="144"/>
        <v>0</v>
      </c>
      <c r="S424" s="166"/>
      <c r="T424" s="166"/>
    </row>
    <row r="425" spans="1:20" hidden="1" outlineLevel="1" x14ac:dyDescent="0.25">
      <c r="A425" s="189" t="s">
        <v>1151</v>
      </c>
      <c r="B425" s="252" t="s">
        <v>1152</v>
      </c>
      <c r="C425" s="190"/>
      <c r="D425" s="397"/>
      <c r="E425" s="191"/>
      <c r="F425" s="192"/>
      <c r="G425" s="192"/>
      <c r="H425" s="371"/>
      <c r="I425" s="49"/>
      <c r="J425" s="378"/>
      <c r="K425" s="346">
        <f t="shared" si="141"/>
        <v>0</v>
      </c>
      <c r="L425" s="49"/>
      <c r="M425" s="378"/>
      <c r="N425" s="356">
        <f t="shared" si="142"/>
        <v>0</v>
      </c>
      <c r="O425" s="194"/>
      <c r="P425" s="165" t="s">
        <v>1004</v>
      </c>
      <c r="Q425" s="364">
        <f t="shared" si="143"/>
        <v>0</v>
      </c>
      <c r="R425" s="364">
        <f t="shared" si="144"/>
        <v>0</v>
      </c>
      <c r="S425" s="166"/>
      <c r="T425" s="166"/>
    </row>
    <row r="426" spans="1:20" hidden="1" outlineLevel="1" x14ac:dyDescent="0.25">
      <c r="A426" s="189" t="s">
        <v>1153</v>
      </c>
      <c r="B426" s="253" t="s">
        <v>1154</v>
      </c>
      <c r="C426" s="195"/>
      <c r="D426" s="398"/>
      <c r="E426" s="196"/>
      <c r="F426" s="192"/>
      <c r="G426" s="192"/>
      <c r="H426" s="372"/>
      <c r="I426" s="49"/>
      <c r="J426" s="378"/>
      <c r="K426" s="346">
        <f t="shared" si="141"/>
        <v>0</v>
      </c>
      <c r="L426" s="49"/>
      <c r="M426" s="378"/>
      <c r="N426" s="356">
        <f t="shared" si="142"/>
        <v>0</v>
      </c>
      <c r="O426" s="197"/>
      <c r="P426" s="165" t="s">
        <v>1004</v>
      </c>
      <c r="Q426" s="364">
        <f t="shared" si="143"/>
        <v>0</v>
      </c>
      <c r="R426" s="364">
        <f t="shared" si="144"/>
        <v>0</v>
      </c>
      <c r="S426" s="166"/>
      <c r="T426" s="166"/>
    </row>
    <row r="427" spans="1:20" hidden="1" outlineLevel="1" x14ac:dyDescent="0.25">
      <c r="A427" s="189" t="s">
        <v>1155</v>
      </c>
      <c r="B427" s="252" t="s">
        <v>1156</v>
      </c>
      <c r="C427" s="190"/>
      <c r="D427" s="397"/>
      <c r="E427" s="191"/>
      <c r="F427" s="192"/>
      <c r="G427" s="192"/>
      <c r="H427" s="371"/>
      <c r="I427" s="49"/>
      <c r="J427" s="378"/>
      <c r="K427" s="346">
        <f t="shared" si="141"/>
        <v>0</v>
      </c>
      <c r="L427" s="49"/>
      <c r="M427" s="378"/>
      <c r="N427" s="356">
        <f t="shared" si="142"/>
        <v>0</v>
      </c>
      <c r="O427" s="194"/>
      <c r="P427" s="165" t="s">
        <v>1004</v>
      </c>
      <c r="Q427" s="364">
        <f t="shared" si="143"/>
        <v>0</v>
      </c>
      <c r="R427" s="364">
        <f t="shared" si="144"/>
        <v>0</v>
      </c>
      <c r="S427" s="166"/>
      <c r="T427" s="166"/>
    </row>
    <row r="428" spans="1:20" hidden="1" outlineLevel="1" x14ac:dyDescent="0.25">
      <c r="A428" s="189" t="s">
        <v>1157</v>
      </c>
      <c r="B428" s="253" t="s">
        <v>1158</v>
      </c>
      <c r="C428" s="195"/>
      <c r="D428" s="398"/>
      <c r="E428" s="196"/>
      <c r="F428" s="192"/>
      <c r="G428" s="192"/>
      <c r="H428" s="372"/>
      <c r="I428" s="49"/>
      <c r="J428" s="378"/>
      <c r="K428" s="346">
        <f t="shared" si="141"/>
        <v>0</v>
      </c>
      <c r="L428" s="49"/>
      <c r="M428" s="378"/>
      <c r="N428" s="356">
        <f t="shared" si="142"/>
        <v>0</v>
      </c>
      <c r="O428" s="197"/>
      <c r="P428" s="165" t="s">
        <v>1004</v>
      </c>
      <c r="Q428" s="364">
        <f t="shared" si="143"/>
        <v>0</v>
      </c>
      <c r="R428" s="364">
        <f t="shared" si="144"/>
        <v>0</v>
      </c>
      <c r="S428" s="166"/>
      <c r="T428" s="166"/>
    </row>
    <row r="429" spans="1:20" hidden="1" outlineLevel="1" x14ac:dyDescent="0.25">
      <c r="A429" s="189" t="s">
        <v>1159</v>
      </c>
      <c r="B429" s="252" t="s">
        <v>1160</v>
      </c>
      <c r="C429" s="190"/>
      <c r="D429" s="397"/>
      <c r="E429" s="191"/>
      <c r="F429" s="192"/>
      <c r="G429" s="192"/>
      <c r="H429" s="371"/>
      <c r="I429" s="49"/>
      <c r="J429" s="378"/>
      <c r="K429" s="346">
        <f t="shared" si="141"/>
        <v>0</v>
      </c>
      <c r="L429" s="49"/>
      <c r="M429" s="378"/>
      <c r="N429" s="356">
        <f t="shared" si="142"/>
        <v>0</v>
      </c>
      <c r="O429" s="194"/>
      <c r="P429" s="165" t="s">
        <v>1004</v>
      </c>
      <c r="Q429" s="364">
        <f t="shared" si="143"/>
        <v>0</v>
      </c>
      <c r="R429" s="364">
        <f t="shared" si="144"/>
        <v>0</v>
      </c>
      <c r="S429" s="166"/>
      <c r="T429" s="166"/>
    </row>
    <row r="430" spans="1:20" hidden="1" outlineLevel="1" x14ac:dyDescent="0.25">
      <c r="A430" s="189" t="s">
        <v>1161</v>
      </c>
      <c r="B430" s="253" t="s">
        <v>1162</v>
      </c>
      <c r="C430" s="195"/>
      <c r="D430" s="398"/>
      <c r="E430" s="196"/>
      <c r="F430" s="192"/>
      <c r="G430" s="192"/>
      <c r="H430" s="372"/>
      <c r="I430" s="49"/>
      <c r="J430" s="378"/>
      <c r="K430" s="346">
        <f t="shared" si="141"/>
        <v>0</v>
      </c>
      <c r="L430" s="49"/>
      <c r="M430" s="378"/>
      <c r="N430" s="356">
        <f t="shared" si="142"/>
        <v>0</v>
      </c>
      <c r="O430" s="197"/>
      <c r="P430" s="165" t="s">
        <v>1004</v>
      </c>
      <c r="Q430" s="364">
        <f t="shared" si="143"/>
        <v>0</v>
      </c>
      <c r="R430" s="364">
        <f t="shared" si="144"/>
        <v>0</v>
      </c>
      <c r="S430" s="166"/>
      <c r="T430" s="166"/>
    </row>
    <row r="431" spans="1:20" hidden="1" outlineLevel="1" x14ac:dyDescent="0.25">
      <c r="A431" s="189" t="s">
        <v>1163</v>
      </c>
      <c r="B431" s="252" t="s">
        <v>1164</v>
      </c>
      <c r="C431" s="190"/>
      <c r="D431" s="397"/>
      <c r="E431" s="191"/>
      <c r="F431" s="192"/>
      <c r="G431" s="192"/>
      <c r="H431" s="371"/>
      <c r="I431" s="49"/>
      <c r="J431" s="378"/>
      <c r="K431" s="346">
        <f t="shared" si="141"/>
        <v>0</v>
      </c>
      <c r="L431" s="49"/>
      <c r="M431" s="378"/>
      <c r="N431" s="356">
        <f t="shared" si="142"/>
        <v>0</v>
      </c>
      <c r="O431" s="194"/>
      <c r="P431" s="165" t="s">
        <v>1004</v>
      </c>
      <c r="Q431" s="364">
        <f t="shared" si="143"/>
        <v>0</v>
      </c>
      <c r="R431" s="364">
        <f t="shared" si="144"/>
        <v>0</v>
      </c>
      <c r="S431" s="166"/>
      <c r="T431" s="166"/>
    </row>
    <row r="432" spans="1:20" hidden="1" outlineLevel="1" x14ac:dyDescent="0.25">
      <c r="A432" s="189" t="s">
        <v>1165</v>
      </c>
      <c r="B432" s="253" t="s">
        <v>1166</v>
      </c>
      <c r="C432" s="195"/>
      <c r="D432" s="398"/>
      <c r="E432" s="196"/>
      <c r="F432" s="192"/>
      <c r="G432" s="192"/>
      <c r="H432" s="372"/>
      <c r="I432" s="49"/>
      <c r="J432" s="378"/>
      <c r="K432" s="346">
        <f t="shared" si="141"/>
        <v>0</v>
      </c>
      <c r="L432" s="49"/>
      <c r="M432" s="378"/>
      <c r="N432" s="356">
        <f t="shared" si="142"/>
        <v>0</v>
      </c>
      <c r="O432" s="197"/>
      <c r="P432" s="165" t="s">
        <v>1004</v>
      </c>
      <c r="Q432" s="364">
        <f t="shared" si="143"/>
        <v>0</v>
      </c>
      <c r="R432" s="364">
        <f t="shared" si="144"/>
        <v>0</v>
      </c>
      <c r="S432" s="166"/>
      <c r="T432" s="166"/>
    </row>
    <row r="433" spans="1:20" hidden="1" outlineLevel="1" x14ac:dyDescent="0.25">
      <c r="A433" s="189" t="s">
        <v>1167</v>
      </c>
      <c r="B433" s="252" t="s">
        <v>1168</v>
      </c>
      <c r="C433" s="190"/>
      <c r="D433" s="397"/>
      <c r="E433" s="191"/>
      <c r="F433" s="192"/>
      <c r="G433" s="192"/>
      <c r="H433" s="371"/>
      <c r="I433" s="49"/>
      <c r="J433" s="378"/>
      <c r="K433" s="346">
        <f t="shared" si="141"/>
        <v>0</v>
      </c>
      <c r="L433" s="49"/>
      <c r="M433" s="378"/>
      <c r="N433" s="356">
        <f t="shared" si="142"/>
        <v>0</v>
      </c>
      <c r="O433" s="194"/>
      <c r="P433" s="165" t="s">
        <v>1004</v>
      </c>
      <c r="Q433" s="364">
        <f t="shared" si="143"/>
        <v>0</v>
      </c>
      <c r="R433" s="364">
        <f t="shared" si="144"/>
        <v>0</v>
      </c>
      <c r="S433" s="166"/>
      <c r="T433" s="166"/>
    </row>
    <row r="434" spans="1:20" hidden="1" outlineLevel="1" x14ac:dyDescent="0.25">
      <c r="A434" s="189" t="s">
        <v>1169</v>
      </c>
      <c r="B434" s="253" t="s">
        <v>1170</v>
      </c>
      <c r="C434" s="195"/>
      <c r="D434" s="398"/>
      <c r="E434" s="196"/>
      <c r="F434" s="192"/>
      <c r="G434" s="192"/>
      <c r="H434" s="372"/>
      <c r="I434" s="49"/>
      <c r="J434" s="378"/>
      <c r="K434" s="346">
        <f t="shared" si="141"/>
        <v>0</v>
      </c>
      <c r="L434" s="49"/>
      <c r="M434" s="378"/>
      <c r="N434" s="356">
        <f t="shared" si="142"/>
        <v>0</v>
      </c>
      <c r="O434" s="197"/>
      <c r="P434" s="165" t="s">
        <v>1004</v>
      </c>
      <c r="Q434" s="364">
        <f t="shared" si="143"/>
        <v>0</v>
      </c>
      <c r="R434" s="364">
        <f t="shared" si="144"/>
        <v>0</v>
      </c>
      <c r="S434" s="166"/>
      <c r="T434" s="166"/>
    </row>
    <row r="435" spans="1:20" hidden="1" outlineLevel="1" x14ac:dyDescent="0.25">
      <c r="A435" s="189" t="s">
        <v>1171</v>
      </c>
      <c r="B435" s="252" t="s">
        <v>1172</v>
      </c>
      <c r="C435" s="190"/>
      <c r="D435" s="397"/>
      <c r="E435" s="191"/>
      <c r="F435" s="192"/>
      <c r="G435" s="192"/>
      <c r="H435" s="371"/>
      <c r="I435" s="49"/>
      <c r="J435" s="378"/>
      <c r="K435" s="346">
        <f t="shared" si="141"/>
        <v>0</v>
      </c>
      <c r="L435" s="49"/>
      <c r="M435" s="378"/>
      <c r="N435" s="356">
        <f t="shared" si="142"/>
        <v>0</v>
      </c>
      <c r="O435" s="194"/>
      <c r="P435" s="165" t="s">
        <v>1004</v>
      </c>
      <c r="Q435" s="364">
        <f t="shared" si="143"/>
        <v>0</v>
      </c>
      <c r="R435" s="364">
        <f t="shared" si="144"/>
        <v>0</v>
      </c>
      <c r="S435" s="166"/>
      <c r="T435" s="166"/>
    </row>
    <row r="436" spans="1:20" hidden="1" outlineLevel="1" x14ac:dyDescent="0.25">
      <c r="A436" s="189" t="s">
        <v>1173</v>
      </c>
      <c r="B436" s="253" t="s">
        <v>1174</v>
      </c>
      <c r="C436" s="195"/>
      <c r="D436" s="398"/>
      <c r="E436" s="196"/>
      <c r="F436" s="192"/>
      <c r="G436" s="192"/>
      <c r="H436" s="372"/>
      <c r="I436" s="49"/>
      <c r="J436" s="378"/>
      <c r="K436" s="346">
        <f t="shared" si="141"/>
        <v>0</v>
      </c>
      <c r="L436" s="49"/>
      <c r="M436" s="378"/>
      <c r="N436" s="356">
        <f t="shared" si="142"/>
        <v>0</v>
      </c>
      <c r="O436" s="197"/>
      <c r="P436" s="165" t="s">
        <v>1004</v>
      </c>
      <c r="Q436" s="364">
        <f t="shared" si="143"/>
        <v>0</v>
      </c>
      <c r="R436" s="364">
        <f t="shared" si="144"/>
        <v>0</v>
      </c>
      <c r="S436" s="166"/>
      <c r="T436" s="166"/>
    </row>
    <row r="437" spans="1:20" hidden="1" outlineLevel="1" x14ac:dyDescent="0.25">
      <c r="A437" s="189" t="s">
        <v>1175</v>
      </c>
      <c r="B437" s="252" t="s">
        <v>157</v>
      </c>
      <c r="C437" s="190"/>
      <c r="D437" s="397"/>
      <c r="E437" s="191"/>
      <c r="F437" s="192"/>
      <c r="G437" s="192"/>
      <c r="H437" s="371"/>
      <c r="I437" s="49"/>
      <c r="J437" s="378"/>
      <c r="K437" s="346">
        <f t="shared" si="141"/>
        <v>0</v>
      </c>
      <c r="L437" s="49"/>
      <c r="M437" s="378"/>
      <c r="N437" s="356">
        <f t="shared" si="142"/>
        <v>0</v>
      </c>
      <c r="O437" s="194"/>
      <c r="P437" s="165" t="s">
        <v>1004</v>
      </c>
      <c r="Q437" s="364">
        <f t="shared" si="143"/>
        <v>0</v>
      </c>
      <c r="R437" s="364">
        <f t="shared" si="144"/>
        <v>0</v>
      </c>
      <c r="S437" s="166"/>
      <c r="T437" s="166"/>
    </row>
    <row r="438" spans="1:20" hidden="1" outlineLevel="1" x14ac:dyDescent="0.25">
      <c r="A438" s="189" t="s">
        <v>1176</v>
      </c>
      <c r="B438" s="253" t="s">
        <v>1177</v>
      </c>
      <c r="C438" s="195"/>
      <c r="D438" s="398"/>
      <c r="E438" s="196"/>
      <c r="F438" s="192"/>
      <c r="G438" s="192"/>
      <c r="H438" s="372"/>
      <c r="I438" s="49"/>
      <c r="J438" s="378"/>
      <c r="K438" s="346">
        <f t="shared" si="141"/>
        <v>0</v>
      </c>
      <c r="L438" s="49"/>
      <c r="M438" s="378"/>
      <c r="N438" s="356">
        <f t="shared" si="142"/>
        <v>0</v>
      </c>
      <c r="O438" s="197"/>
      <c r="P438" s="165" t="s">
        <v>1004</v>
      </c>
      <c r="Q438" s="364">
        <f t="shared" si="143"/>
        <v>0</v>
      </c>
      <c r="R438" s="364">
        <f t="shared" si="144"/>
        <v>0</v>
      </c>
      <c r="S438" s="166"/>
      <c r="T438" s="166"/>
    </row>
    <row r="439" spans="1:20" hidden="1" outlineLevel="1" x14ac:dyDescent="0.25">
      <c r="A439" s="189" t="s">
        <v>1178</v>
      </c>
      <c r="B439" s="252" t="s">
        <v>1179</v>
      </c>
      <c r="C439" s="190"/>
      <c r="D439" s="397"/>
      <c r="E439" s="191"/>
      <c r="F439" s="192"/>
      <c r="G439" s="192"/>
      <c r="H439" s="371"/>
      <c r="I439" s="49"/>
      <c r="J439" s="378"/>
      <c r="K439" s="346">
        <f t="shared" si="141"/>
        <v>0</v>
      </c>
      <c r="L439" s="49"/>
      <c r="M439" s="378"/>
      <c r="N439" s="356">
        <f t="shared" si="142"/>
        <v>0</v>
      </c>
      <c r="O439" s="194"/>
      <c r="P439" s="165" t="s">
        <v>1004</v>
      </c>
      <c r="Q439" s="364">
        <f t="shared" si="143"/>
        <v>0</v>
      </c>
      <c r="R439" s="364">
        <f t="shared" si="144"/>
        <v>0</v>
      </c>
      <c r="S439" s="166"/>
      <c r="T439" s="166"/>
    </row>
    <row r="440" spans="1:20" hidden="1" outlineLevel="1" x14ac:dyDescent="0.25">
      <c r="A440" s="189" t="s">
        <v>1180</v>
      </c>
      <c r="B440" s="253" t="s">
        <v>1181</v>
      </c>
      <c r="C440" s="195"/>
      <c r="D440" s="398"/>
      <c r="E440" s="196"/>
      <c r="F440" s="192"/>
      <c r="G440" s="192"/>
      <c r="H440" s="372"/>
      <c r="I440" s="49"/>
      <c r="J440" s="378"/>
      <c r="K440" s="346">
        <f t="shared" si="141"/>
        <v>0</v>
      </c>
      <c r="L440" s="49"/>
      <c r="M440" s="378"/>
      <c r="N440" s="356">
        <f t="shared" si="142"/>
        <v>0</v>
      </c>
      <c r="O440" s="197"/>
      <c r="P440" s="165" t="s">
        <v>1004</v>
      </c>
      <c r="Q440" s="364">
        <f t="shared" si="143"/>
        <v>0</v>
      </c>
      <c r="R440" s="364">
        <f t="shared" si="144"/>
        <v>0</v>
      </c>
      <c r="S440" s="166"/>
      <c r="T440" s="166"/>
    </row>
    <row r="441" spans="1:20" hidden="1" outlineLevel="1" x14ac:dyDescent="0.25">
      <c r="A441" s="189" t="s">
        <v>1182</v>
      </c>
      <c r="B441" s="252" t="s">
        <v>1183</v>
      </c>
      <c r="C441" s="190"/>
      <c r="D441" s="397"/>
      <c r="E441" s="191"/>
      <c r="F441" s="192"/>
      <c r="G441" s="192"/>
      <c r="H441" s="371"/>
      <c r="I441" s="49"/>
      <c r="J441" s="378"/>
      <c r="K441" s="346">
        <f t="shared" si="141"/>
        <v>0</v>
      </c>
      <c r="L441" s="49"/>
      <c r="M441" s="378"/>
      <c r="N441" s="356">
        <f t="shared" si="142"/>
        <v>0</v>
      </c>
      <c r="O441" s="194"/>
      <c r="P441" s="165" t="s">
        <v>1004</v>
      </c>
      <c r="Q441" s="364">
        <f t="shared" si="143"/>
        <v>0</v>
      </c>
      <c r="R441" s="364">
        <f t="shared" si="144"/>
        <v>0</v>
      </c>
      <c r="S441" s="166"/>
      <c r="T441" s="166"/>
    </row>
    <row r="442" spans="1:20" hidden="1" outlineLevel="1" x14ac:dyDescent="0.25">
      <c r="A442" s="189" t="s">
        <v>1184</v>
      </c>
      <c r="B442" s="253" t="s">
        <v>1185</v>
      </c>
      <c r="C442" s="195"/>
      <c r="D442" s="398"/>
      <c r="E442" s="196"/>
      <c r="F442" s="192"/>
      <c r="G442" s="192"/>
      <c r="H442" s="372"/>
      <c r="I442" s="49"/>
      <c r="J442" s="378"/>
      <c r="K442" s="346">
        <f t="shared" si="141"/>
        <v>0</v>
      </c>
      <c r="L442" s="49"/>
      <c r="M442" s="378"/>
      <c r="N442" s="356">
        <f t="shared" si="142"/>
        <v>0</v>
      </c>
      <c r="O442" s="197"/>
      <c r="P442" s="165" t="s">
        <v>1004</v>
      </c>
      <c r="Q442" s="364">
        <f t="shared" si="143"/>
        <v>0</v>
      </c>
      <c r="R442" s="364">
        <f t="shared" si="144"/>
        <v>0</v>
      </c>
      <c r="S442" s="166"/>
      <c r="T442" s="166"/>
    </row>
    <row r="443" spans="1:20" hidden="1" outlineLevel="1" x14ac:dyDescent="0.25">
      <c r="A443" s="189" t="s">
        <v>1186</v>
      </c>
      <c r="B443" s="252" t="s">
        <v>1187</v>
      </c>
      <c r="C443" s="190"/>
      <c r="D443" s="397"/>
      <c r="E443" s="191"/>
      <c r="F443" s="192"/>
      <c r="G443" s="192"/>
      <c r="H443" s="371"/>
      <c r="I443" s="49"/>
      <c r="J443" s="378"/>
      <c r="K443" s="346">
        <f t="shared" si="141"/>
        <v>0</v>
      </c>
      <c r="L443" s="49"/>
      <c r="M443" s="378"/>
      <c r="N443" s="356">
        <f t="shared" si="142"/>
        <v>0</v>
      </c>
      <c r="O443" s="194"/>
      <c r="P443" s="165" t="s">
        <v>1004</v>
      </c>
      <c r="Q443" s="364">
        <f t="shared" si="143"/>
        <v>0</v>
      </c>
      <c r="R443" s="364">
        <f t="shared" si="144"/>
        <v>0</v>
      </c>
      <c r="S443" s="166"/>
      <c r="T443" s="166"/>
    </row>
    <row r="444" spans="1:20" hidden="1" outlineLevel="1" x14ac:dyDescent="0.25">
      <c r="A444" s="189" t="s">
        <v>1188</v>
      </c>
      <c r="B444" s="253" t="s">
        <v>166</v>
      </c>
      <c r="C444" s="195"/>
      <c r="D444" s="398"/>
      <c r="E444" s="196"/>
      <c r="F444" s="192"/>
      <c r="G444" s="192"/>
      <c r="H444" s="372"/>
      <c r="I444" s="49"/>
      <c r="J444" s="378"/>
      <c r="K444" s="346">
        <f t="shared" si="141"/>
        <v>0</v>
      </c>
      <c r="L444" s="49"/>
      <c r="M444" s="378"/>
      <c r="N444" s="356">
        <f t="shared" si="142"/>
        <v>0</v>
      </c>
      <c r="O444" s="197"/>
      <c r="P444" s="165" t="s">
        <v>1004</v>
      </c>
      <c r="Q444" s="364">
        <f t="shared" si="143"/>
        <v>0</v>
      </c>
      <c r="R444" s="364">
        <f t="shared" si="144"/>
        <v>0</v>
      </c>
      <c r="S444" s="166"/>
      <c r="T444" s="166"/>
    </row>
    <row r="445" spans="1:20" hidden="1" outlineLevel="1" x14ac:dyDescent="0.25">
      <c r="A445" s="189" t="s">
        <v>1189</v>
      </c>
      <c r="B445" s="252" t="s">
        <v>1190</v>
      </c>
      <c r="C445" s="190"/>
      <c r="D445" s="397"/>
      <c r="E445" s="191"/>
      <c r="F445" s="192"/>
      <c r="G445" s="192"/>
      <c r="H445" s="371"/>
      <c r="I445" s="49"/>
      <c r="J445" s="378"/>
      <c r="K445" s="346">
        <f t="shared" si="141"/>
        <v>0</v>
      </c>
      <c r="L445" s="49"/>
      <c r="M445" s="378"/>
      <c r="N445" s="356">
        <f t="shared" si="142"/>
        <v>0</v>
      </c>
      <c r="O445" s="194"/>
      <c r="P445" s="165" t="s">
        <v>1004</v>
      </c>
      <c r="Q445" s="364">
        <f t="shared" si="143"/>
        <v>0</v>
      </c>
      <c r="R445" s="364">
        <f t="shared" si="144"/>
        <v>0</v>
      </c>
      <c r="S445" s="166"/>
      <c r="T445" s="166"/>
    </row>
    <row r="446" spans="1:20" hidden="1" outlineLevel="1" x14ac:dyDescent="0.25">
      <c r="A446" s="189" t="s">
        <v>1191</v>
      </c>
      <c r="B446" s="253" t="s">
        <v>1192</v>
      </c>
      <c r="C446" s="195"/>
      <c r="D446" s="398"/>
      <c r="E446" s="196"/>
      <c r="F446" s="192"/>
      <c r="G446" s="192"/>
      <c r="H446" s="372"/>
      <c r="I446" s="49"/>
      <c r="J446" s="378"/>
      <c r="K446" s="346">
        <f t="shared" si="141"/>
        <v>0</v>
      </c>
      <c r="L446" s="49"/>
      <c r="M446" s="378"/>
      <c r="N446" s="356">
        <f t="shared" si="142"/>
        <v>0</v>
      </c>
      <c r="O446" s="197"/>
      <c r="P446" s="165" t="s">
        <v>1004</v>
      </c>
      <c r="Q446" s="364">
        <f t="shared" si="143"/>
        <v>0</v>
      </c>
      <c r="R446" s="364">
        <f t="shared" si="144"/>
        <v>0</v>
      </c>
      <c r="S446" s="166"/>
      <c r="T446" s="166"/>
    </row>
    <row r="447" spans="1:20" hidden="1" outlineLevel="1" x14ac:dyDescent="0.25">
      <c r="A447" s="189" t="s">
        <v>1193</v>
      </c>
      <c r="B447" s="252" t="s">
        <v>1194</v>
      </c>
      <c r="C447" s="190"/>
      <c r="D447" s="397"/>
      <c r="E447" s="191"/>
      <c r="F447" s="192"/>
      <c r="G447" s="192"/>
      <c r="H447" s="371"/>
      <c r="I447" s="49"/>
      <c r="J447" s="378"/>
      <c r="K447" s="346">
        <f t="shared" ref="K447:K478" si="145">SUMIF($A$8:$A$378,A447,$K$8:$K$378)</f>
        <v>0</v>
      </c>
      <c r="L447" s="49"/>
      <c r="M447" s="378"/>
      <c r="N447" s="356">
        <f t="shared" ref="N447:N478" si="146">SUMIF($A$8:$A$378,A447,$N$8:$N$378)</f>
        <v>0</v>
      </c>
      <c r="O447" s="194"/>
      <c r="P447" s="165" t="s">
        <v>1004</v>
      </c>
      <c r="Q447" s="364">
        <f t="shared" ref="Q447:Q478" si="147">+ROUND((K447+N447)*(1+SUMIF($Q$2:$Q$4,P447,$R$2:$R$4)),0)</f>
        <v>0</v>
      </c>
      <c r="R447" s="364">
        <f t="shared" ref="R447:R478" si="148">+ROUND((L447+O447)*(1+SUMIF($Q$2:$Q$4,Q447,$R$2:$R$4)),0)</f>
        <v>0</v>
      </c>
      <c r="S447" s="166"/>
      <c r="T447" s="166"/>
    </row>
    <row r="448" spans="1:20" hidden="1" outlineLevel="1" x14ac:dyDescent="0.25">
      <c r="A448" s="189" t="s">
        <v>1195</v>
      </c>
      <c r="B448" s="253" t="s">
        <v>1196</v>
      </c>
      <c r="C448" s="195"/>
      <c r="D448" s="398"/>
      <c r="E448" s="196"/>
      <c r="F448" s="192"/>
      <c r="G448" s="192"/>
      <c r="H448" s="372"/>
      <c r="I448" s="49"/>
      <c r="J448" s="378"/>
      <c r="K448" s="346">
        <f t="shared" si="145"/>
        <v>0</v>
      </c>
      <c r="L448" s="49"/>
      <c r="M448" s="378"/>
      <c r="N448" s="356">
        <f t="shared" si="146"/>
        <v>0</v>
      </c>
      <c r="O448" s="197"/>
      <c r="P448" s="165" t="s">
        <v>1004</v>
      </c>
      <c r="Q448" s="364">
        <f t="shared" si="147"/>
        <v>0</v>
      </c>
      <c r="R448" s="364">
        <f t="shared" si="148"/>
        <v>0</v>
      </c>
      <c r="S448" s="166"/>
      <c r="T448" s="166"/>
    </row>
    <row r="449" spans="1:20" hidden="1" outlineLevel="1" x14ac:dyDescent="0.25">
      <c r="A449" s="189" t="s">
        <v>1197</v>
      </c>
      <c r="B449" s="252" t="s">
        <v>1198</v>
      </c>
      <c r="C449" s="190"/>
      <c r="D449" s="397"/>
      <c r="E449" s="191"/>
      <c r="F449" s="192"/>
      <c r="G449" s="192"/>
      <c r="H449" s="371"/>
      <c r="I449" s="49"/>
      <c r="J449" s="378"/>
      <c r="K449" s="346">
        <f t="shared" si="145"/>
        <v>0</v>
      </c>
      <c r="L449" s="49"/>
      <c r="M449" s="378"/>
      <c r="N449" s="356">
        <f t="shared" si="146"/>
        <v>0</v>
      </c>
      <c r="O449" s="194"/>
      <c r="P449" s="165" t="s">
        <v>1004</v>
      </c>
      <c r="Q449" s="364">
        <f t="shared" si="147"/>
        <v>0</v>
      </c>
      <c r="R449" s="364">
        <f t="shared" si="148"/>
        <v>0</v>
      </c>
      <c r="S449" s="166"/>
      <c r="T449" s="166"/>
    </row>
    <row r="450" spans="1:20" hidden="1" outlineLevel="1" x14ac:dyDescent="0.25">
      <c r="A450" s="189" t="s">
        <v>1199</v>
      </c>
      <c r="B450" s="253" t="s">
        <v>1200</v>
      </c>
      <c r="C450" s="195"/>
      <c r="D450" s="398"/>
      <c r="E450" s="196"/>
      <c r="F450" s="192"/>
      <c r="G450" s="192"/>
      <c r="H450" s="372"/>
      <c r="I450" s="49"/>
      <c r="J450" s="378"/>
      <c r="K450" s="346">
        <f t="shared" si="145"/>
        <v>0</v>
      </c>
      <c r="L450" s="49"/>
      <c r="M450" s="378"/>
      <c r="N450" s="356">
        <f t="shared" si="146"/>
        <v>0</v>
      </c>
      <c r="O450" s="197"/>
      <c r="P450" s="165" t="s">
        <v>1004</v>
      </c>
      <c r="Q450" s="364">
        <f t="shared" si="147"/>
        <v>0</v>
      </c>
      <c r="R450" s="364">
        <f t="shared" si="148"/>
        <v>0</v>
      </c>
      <c r="S450" s="166"/>
      <c r="T450" s="166"/>
    </row>
    <row r="451" spans="1:20" hidden="1" outlineLevel="1" x14ac:dyDescent="0.25">
      <c r="A451" s="189" t="s">
        <v>1201</v>
      </c>
      <c r="B451" s="252" t="s">
        <v>1202</v>
      </c>
      <c r="C451" s="190"/>
      <c r="D451" s="397"/>
      <c r="E451" s="191"/>
      <c r="F451" s="192"/>
      <c r="G451" s="192"/>
      <c r="H451" s="371"/>
      <c r="I451" s="49"/>
      <c r="J451" s="378"/>
      <c r="K451" s="346">
        <f t="shared" si="145"/>
        <v>0</v>
      </c>
      <c r="L451" s="49"/>
      <c r="M451" s="378"/>
      <c r="N451" s="356">
        <f t="shared" si="146"/>
        <v>0</v>
      </c>
      <c r="O451" s="194"/>
      <c r="P451" s="165" t="s">
        <v>1004</v>
      </c>
      <c r="Q451" s="364">
        <f t="shared" si="147"/>
        <v>0</v>
      </c>
      <c r="R451" s="364">
        <f t="shared" si="148"/>
        <v>0</v>
      </c>
      <c r="S451" s="166"/>
      <c r="T451" s="166"/>
    </row>
    <row r="452" spans="1:20" hidden="1" outlineLevel="1" x14ac:dyDescent="0.25">
      <c r="A452" s="189" t="s">
        <v>1203</v>
      </c>
      <c r="B452" s="253" t="s">
        <v>1204</v>
      </c>
      <c r="C452" s="195"/>
      <c r="D452" s="398"/>
      <c r="E452" s="196"/>
      <c r="F452" s="192"/>
      <c r="G452" s="192"/>
      <c r="H452" s="372"/>
      <c r="I452" s="49"/>
      <c r="J452" s="378"/>
      <c r="K452" s="346">
        <f t="shared" si="145"/>
        <v>0</v>
      </c>
      <c r="L452" s="49"/>
      <c r="M452" s="378"/>
      <c r="N452" s="356">
        <f t="shared" si="146"/>
        <v>0</v>
      </c>
      <c r="O452" s="197"/>
      <c r="P452" s="165" t="s">
        <v>1004</v>
      </c>
      <c r="Q452" s="364">
        <f t="shared" si="147"/>
        <v>0</v>
      </c>
      <c r="R452" s="364">
        <f t="shared" si="148"/>
        <v>0</v>
      </c>
      <c r="S452" s="166"/>
      <c r="T452" s="166"/>
    </row>
    <row r="453" spans="1:20" hidden="1" outlineLevel="1" x14ac:dyDescent="0.25">
      <c r="A453" s="189" t="s">
        <v>1205</v>
      </c>
      <c r="B453" s="252" t="s">
        <v>1206</v>
      </c>
      <c r="C453" s="190"/>
      <c r="D453" s="397"/>
      <c r="E453" s="191"/>
      <c r="F453" s="192"/>
      <c r="G453" s="192"/>
      <c r="H453" s="371"/>
      <c r="I453" s="49"/>
      <c r="J453" s="378"/>
      <c r="K453" s="346">
        <f t="shared" si="145"/>
        <v>0</v>
      </c>
      <c r="L453" s="49"/>
      <c r="M453" s="378"/>
      <c r="N453" s="356">
        <f t="shared" si="146"/>
        <v>0</v>
      </c>
      <c r="O453" s="194"/>
      <c r="P453" s="165" t="s">
        <v>1004</v>
      </c>
      <c r="Q453" s="364">
        <f t="shared" si="147"/>
        <v>0</v>
      </c>
      <c r="R453" s="364">
        <f t="shared" si="148"/>
        <v>0</v>
      </c>
      <c r="S453" s="166"/>
      <c r="T453" s="166"/>
    </row>
    <row r="454" spans="1:20" hidden="1" outlineLevel="1" x14ac:dyDescent="0.25">
      <c r="A454" s="189" t="s">
        <v>1207</v>
      </c>
      <c r="B454" s="253" t="s">
        <v>1208</v>
      </c>
      <c r="C454" s="195"/>
      <c r="D454" s="398"/>
      <c r="E454" s="196"/>
      <c r="F454" s="192"/>
      <c r="G454" s="192"/>
      <c r="H454" s="372"/>
      <c r="I454" s="49"/>
      <c r="J454" s="378"/>
      <c r="K454" s="346">
        <f t="shared" si="145"/>
        <v>0</v>
      </c>
      <c r="L454" s="49"/>
      <c r="M454" s="378"/>
      <c r="N454" s="356">
        <f t="shared" si="146"/>
        <v>0</v>
      </c>
      <c r="O454" s="197"/>
      <c r="P454" s="165" t="s">
        <v>1004</v>
      </c>
      <c r="Q454" s="364">
        <f t="shared" si="147"/>
        <v>0</v>
      </c>
      <c r="R454" s="364">
        <f t="shared" si="148"/>
        <v>0</v>
      </c>
      <c r="S454" s="166"/>
      <c r="T454" s="166"/>
    </row>
    <row r="455" spans="1:20" hidden="1" outlineLevel="1" x14ac:dyDescent="0.25">
      <c r="A455" s="189" t="s">
        <v>1209</v>
      </c>
      <c r="B455" s="252" t="s">
        <v>1210</v>
      </c>
      <c r="C455" s="190"/>
      <c r="D455" s="397"/>
      <c r="E455" s="191"/>
      <c r="F455" s="192"/>
      <c r="G455" s="192"/>
      <c r="H455" s="371"/>
      <c r="I455" s="49"/>
      <c r="J455" s="378"/>
      <c r="K455" s="346">
        <f t="shared" si="145"/>
        <v>0</v>
      </c>
      <c r="L455" s="49"/>
      <c r="M455" s="378"/>
      <c r="N455" s="356">
        <f t="shared" si="146"/>
        <v>0</v>
      </c>
      <c r="O455" s="194"/>
      <c r="P455" s="165" t="s">
        <v>1004</v>
      </c>
      <c r="Q455" s="364">
        <f t="shared" si="147"/>
        <v>0</v>
      </c>
      <c r="R455" s="364">
        <f t="shared" si="148"/>
        <v>0</v>
      </c>
      <c r="S455" s="166"/>
      <c r="T455" s="166"/>
    </row>
    <row r="456" spans="1:20" hidden="1" outlineLevel="1" x14ac:dyDescent="0.25">
      <c r="A456" s="189" t="s">
        <v>1211</v>
      </c>
      <c r="B456" s="253" t="s">
        <v>1212</v>
      </c>
      <c r="C456" s="195"/>
      <c r="D456" s="398"/>
      <c r="E456" s="196"/>
      <c r="F456" s="192"/>
      <c r="G456" s="192"/>
      <c r="H456" s="372"/>
      <c r="I456" s="49"/>
      <c r="J456" s="378"/>
      <c r="K456" s="346">
        <f t="shared" si="145"/>
        <v>0</v>
      </c>
      <c r="L456" s="49"/>
      <c r="M456" s="378"/>
      <c r="N456" s="356">
        <f t="shared" si="146"/>
        <v>0</v>
      </c>
      <c r="O456" s="197"/>
      <c r="P456" s="165" t="s">
        <v>1004</v>
      </c>
      <c r="Q456" s="364">
        <f t="shared" si="147"/>
        <v>0</v>
      </c>
      <c r="R456" s="364">
        <f t="shared" si="148"/>
        <v>0</v>
      </c>
      <c r="S456" s="166"/>
      <c r="T456" s="166"/>
    </row>
    <row r="457" spans="1:20" hidden="1" outlineLevel="1" x14ac:dyDescent="0.25">
      <c r="A457" s="189" t="s">
        <v>1213</v>
      </c>
      <c r="B457" s="252" t="s">
        <v>1214</v>
      </c>
      <c r="C457" s="190"/>
      <c r="D457" s="397"/>
      <c r="E457" s="191"/>
      <c r="F457" s="192"/>
      <c r="G457" s="192"/>
      <c r="H457" s="371"/>
      <c r="I457" s="49"/>
      <c r="J457" s="378"/>
      <c r="K457" s="346">
        <f t="shared" si="145"/>
        <v>0</v>
      </c>
      <c r="L457" s="49"/>
      <c r="M457" s="378"/>
      <c r="N457" s="356">
        <f t="shared" si="146"/>
        <v>0</v>
      </c>
      <c r="O457" s="194"/>
      <c r="P457" s="165" t="s">
        <v>1004</v>
      </c>
      <c r="Q457" s="364">
        <f t="shared" si="147"/>
        <v>0</v>
      </c>
      <c r="R457" s="364">
        <f t="shared" si="148"/>
        <v>0</v>
      </c>
      <c r="S457" s="166"/>
      <c r="T457" s="166"/>
    </row>
    <row r="458" spans="1:20" hidden="1" outlineLevel="1" x14ac:dyDescent="0.25">
      <c r="A458" s="189" t="s">
        <v>1215</v>
      </c>
      <c r="B458" s="253" t="s">
        <v>1216</v>
      </c>
      <c r="C458" s="195"/>
      <c r="D458" s="398"/>
      <c r="E458" s="196"/>
      <c r="F458" s="192"/>
      <c r="G458" s="192"/>
      <c r="H458" s="372"/>
      <c r="I458" s="49"/>
      <c r="J458" s="378"/>
      <c r="K458" s="346">
        <f t="shared" si="145"/>
        <v>0</v>
      </c>
      <c r="L458" s="49"/>
      <c r="M458" s="378"/>
      <c r="N458" s="356">
        <f t="shared" si="146"/>
        <v>0</v>
      </c>
      <c r="O458" s="197"/>
      <c r="P458" s="165" t="s">
        <v>1004</v>
      </c>
      <c r="Q458" s="364">
        <f t="shared" si="147"/>
        <v>0</v>
      </c>
      <c r="R458" s="364">
        <f t="shared" si="148"/>
        <v>0</v>
      </c>
      <c r="S458" s="166"/>
      <c r="T458" s="166"/>
    </row>
    <row r="459" spans="1:20" hidden="1" outlineLevel="1" x14ac:dyDescent="0.25">
      <c r="A459" s="189" t="s">
        <v>1217</v>
      </c>
      <c r="B459" s="252" t="s">
        <v>1218</v>
      </c>
      <c r="C459" s="190"/>
      <c r="D459" s="397"/>
      <c r="E459" s="191"/>
      <c r="F459" s="192"/>
      <c r="G459" s="192"/>
      <c r="H459" s="371"/>
      <c r="I459" s="49"/>
      <c r="J459" s="378"/>
      <c r="K459" s="346">
        <f t="shared" si="145"/>
        <v>0</v>
      </c>
      <c r="L459" s="49"/>
      <c r="M459" s="378"/>
      <c r="N459" s="356">
        <f t="shared" si="146"/>
        <v>0</v>
      </c>
      <c r="O459" s="194"/>
      <c r="P459" s="165" t="s">
        <v>1004</v>
      </c>
      <c r="Q459" s="364">
        <f t="shared" si="147"/>
        <v>0</v>
      </c>
      <c r="R459" s="364">
        <f t="shared" si="148"/>
        <v>0</v>
      </c>
      <c r="S459" s="166"/>
      <c r="T459" s="166"/>
    </row>
    <row r="460" spans="1:20" hidden="1" outlineLevel="1" x14ac:dyDescent="0.25">
      <c r="A460" s="189" t="s">
        <v>1219</v>
      </c>
      <c r="B460" s="253" t="s">
        <v>1220</v>
      </c>
      <c r="C460" s="195"/>
      <c r="D460" s="398"/>
      <c r="E460" s="196"/>
      <c r="F460" s="192"/>
      <c r="G460" s="192"/>
      <c r="H460" s="372"/>
      <c r="I460" s="49"/>
      <c r="J460" s="378"/>
      <c r="K460" s="346">
        <f t="shared" si="145"/>
        <v>0</v>
      </c>
      <c r="L460" s="49"/>
      <c r="M460" s="378"/>
      <c r="N460" s="356">
        <f t="shared" si="146"/>
        <v>0</v>
      </c>
      <c r="O460" s="197"/>
      <c r="P460" s="165" t="s">
        <v>1004</v>
      </c>
      <c r="Q460" s="364">
        <f t="shared" si="147"/>
        <v>0</v>
      </c>
      <c r="R460" s="364">
        <f t="shared" si="148"/>
        <v>0</v>
      </c>
      <c r="S460" s="166"/>
      <c r="T460" s="166"/>
    </row>
    <row r="461" spans="1:20" hidden="1" outlineLevel="1" x14ac:dyDescent="0.25">
      <c r="A461" s="189" t="s">
        <v>1221</v>
      </c>
      <c r="B461" s="252" t="s">
        <v>1222</v>
      </c>
      <c r="C461" s="190"/>
      <c r="D461" s="397"/>
      <c r="E461" s="191"/>
      <c r="F461" s="192"/>
      <c r="G461" s="192"/>
      <c r="H461" s="371"/>
      <c r="I461" s="49"/>
      <c r="J461" s="378"/>
      <c r="K461" s="346">
        <f t="shared" si="145"/>
        <v>0</v>
      </c>
      <c r="L461" s="49"/>
      <c r="M461" s="378"/>
      <c r="N461" s="356">
        <f t="shared" si="146"/>
        <v>0</v>
      </c>
      <c r="O461" s="194"/>
      <c r="P461" s="165" t="s">
        <v>1004</v>
      </c>
      <c r="Q461" s="364">
        <f t="shared" si="147"/>
        <v>0</v>
      </c>
      <c r="R461" s="364">
        <f t="shared" si="148"/>
        <v>0</v>
      </c>
      <c r="S461" s="166"/>
      <c r="T461" s="166"/>
    </row>
    <row r="462" spans="1:20" hidden="1" outlineLevel="1" x14ac:dyDescent="0.25">
      <c r="A462" s="189" t="s">
        <v>1223</v>
      </c>
      <c r="B462" s="253" t="s">
        <v>1224</v>
      </c>
      <c r="C462" s="195"/>
      <c r="D462" s="398"/>
      <c r="E462" s="196"/>
      <c r="F462" s="192"/>
      <c r="G462" s="192"/>
      <c r="H462" s="372"/>
      <c r="I462" s="49"/>
      <c r="J462" s="378"/>
      <c r="K462" s="346">
        <f t="shared" si="145"/>
        <v>0</v>
      </c>
      <c r="L462" s="49"/>
      <c r="M462" s="378"/>
      <c r="N462" s="356">
        <f t="shared" si="146"/>
        <v>0</v>
      </c>
      <c r="O462" s="197"/>
      <c r="P462" s="165" t="s">
        <v>1004</v>
      </c>
      <c r="Q462" s="364">
        <f t="shared" si="147"/>
        <v>0</v>
      </c>
      <c r="R462" s="364">
        <f t="shared" si="148"/>
        <v>0</v>
      </c>
      <c r="S462" s="166"/>
      <c r="T462" s="166"/>
    </row>
    <row r="463" spans="1:20" hidden="1" outlineLevel="1" x14ac:dyDescent="0.25">
      <c r="A463" s="189" t="s">
        <v>1225</v>
      </c>
      <c r="B463" s="252" t="s">
        <v>1225</v>
      </c>
      <c r="C463" s="190"/>
      <c r="D463" s="397"/>
      <c r="E463" s="191"/>
      <c r="F463" s="192"/>
      <c r="G463" s="192"/>
      <c r="H463" s="371"/>
      <c r="I463" s="49"/>
      <c r="J463" s="378"/>
      <c r="K463" s="346">
        <f t="shared" si="145"/>
        <v>0</v>
      </c>
      <c r="L463" s="49"/>
      <c r="M463" s="378"/>
      <c r="N463" s="356">
        <f t="shared" si="146"/>
        <v>0</v>
      </c>
      <c r="O463" s="194"/>
      <c r="P463" s="165" t="s">
        <v>1004</v>
      </c>
      <c r="Q463" s="364">
        <f t="shared" si="147"/>
        <v>0</v>
      </c>
      <c r="R463" s="364">
        <f t="shared" si="148"/>
        <v>0</v>
      </c>
      <c r="S463" s="166"/>
      <c r="T463" s="166"/>
    </row>
    <row r="464" spans="1:20" hidden="1" outlineLevel="1" x14ac:dyDescent="0.25">
      <c r="A464" s="189" t="s">
        <v>1226</v>
      </c>
      <c r="B464" s="253" t="s">
        <v>1227</v>
      </c>
      <c r="C464" s="195"/>
      <c r="D464" s="398"/>
      <c r="E464" s="196"/>
      <c r="F464" s="192"/>
      <c r="G464" s="192"/>
      <c r="H464" s="372"/>
      <c r="I464" s="49"/>
      <c r="J464" s="378"/>
      <c r="K464" s="346">
        <f t="shared" si="145"/>
        <v>0</v>
      </c>
      <c r="L464" s="49"/>
      <c r="M464" s="378"/>
      <c r="N464" s="356">
        <f t="shared" si="146"/>
        <v>0</v>
      </c>
      <c r="O464" s="197"/>
      <c r="P464" s="165" t="s">
        <v>1004</v>
      </c>
      <c r="Q464" s="364">
        <f t="shared" si="147"/>
        <v>0</v>
      </c>
      <c r="R464" s="364">
        <f t="shared" si="148"/>
        <v>0</v>
      </c>
      <c r="S464" s="166"/>
      <c r="T464" s="166"/>
    </row>
    <row r="465" spans="1:20" hidden="1" outlineLevel="1" x14ac:dyDescent="0.25">
      <c r="A465" s="189" t="s">
        <v>1228</v>
      </c>
      <c r="B465" s="252" t="s">
        <v>1229</v>
      </c>
      <c r="C465" s="190"/>
      <c r="D465" s="397"/>
      <c r="E465" s="191"/>
      <c r="F465" s="192"/>
      <c r="G465" s="192"/>
      <c r="H465" s="371"/>
      <c r="I465" s="49"/>
      <c r="J465" s="378"/>
      <c r="K465" s="346">
        <f t="shared" si="145"/>
        <v>0</v>
      </c>
      <c r="L465" s="49"/>
      <c r="M465" s="378"/>
      <c r="N465" s="356">
        <f t="shared" si="146"/>
        <v>0</v>
      </c>
      <c r="O465" s="194"/>
      <c r="P465" s="165" t="s">
        <v>1004</v>
      </c>
      <c r="Q465" s="364">
        <f t="shared" si="147"/>
        <v>0</v>
      </c>
      <c r="R465" s="364">
        <f t="shared" si="148"/>
        <v>0</v>
      </c>
      <c r="S465" s="166"/>
      <c r="T465" s="166"/>
    </row>
    <row r="466" spans="1:20" hidden="1" outlineLevel="1" x14ac:dyDescent="0.25">
      <c r="A466" s="189" t="s">
        <v>1230</v>
      </c>
      <c r="B466" s="253" t="s">
        <v>1231</v>
      </c>
      <c r="C466" s="195"/>
      <c r="D466" s="398"/>
      <c r="E466" s="196"/>
      <c r="F466" s="192"/>
      <c r="G466" s="192"/>
      <c r="H466" s="372"/>
      <c r="I466" s="49"/>
      <c r="J466" s="378"/>
      <c r="K466" s="346">
        <f t="shared" si="145"/>
        <v>0</v>
      </c>
      <c r="L466" s="49"/>
      <c r="M466" s="378"/>
      <c r="N466" s="356">
        <f t="shared" si="146"/>
        <v>0</v>
      </c>
      <c r="O466" s="197"/>
      <c r="P466" s="165" t="s">
        <v>1004</v>
      </c>
      <c r="Q466" s="364">
        <f t="shared" si="147"/>
        <v>0</v>
      </c>
      <c r="R466" s="364">
        <f t="shared" si="148"/>
        <v>0</v>
      </c>
    </row>
    <row r="467" spans="1:20" hidden="1" outlineLevel="1" x14ac:dyDescent="0.25">
      <c r="A467" s="189" t="s">
        <v>1232</v>
      </c>
      <c r="B467" s="252" t="s">
        <v>1233</v>
      </c>
      <c r="C467" s="190"/>
      <c r="D467" s="397"/>
      <c r="E467" s="191"/>
      <c r="F467" s="192"/>
      <c r="G467" s="192"/>
      <c r="H467" s="371"/>
      <c r="I467" s="49"/>
      <c r="J467" s="378"/>
      <c r="K467" s="346">
        <f t="shared" si="145"/>
        <v>0</v>
      </c>
      <c r="L467" s="49"/>
      <c r="M467" s="378"/>
      <c r="N467" s="356">
        <f t="shared" si="146"/>
        <v>0</v>
      </c>
      <c r="O467" s="194"/>
      <c r="P467" s="165" t="s">
        <v>1004</v>
      </c>
      <c r="Q467" s="364">
        <f t="shared" si="147"/>
        <v>0</v>
      </c>
      <c r="R467" s="364">
        <f t="shared" si="148"/>
        <v>0</v>
      </c>
    </row>
    <row r="468" spans="1:20" hidden="1" outlineLevel="1" x14ac:dyDescent="0.25">
      <c r="A468" s="189" t="s">
        <v>1234</v>
      </c>
      <c r="B468" s="253" t="s">
        <v>1235</v>
      </c>
      <c r="C468" s="195"/>
      <c r="D468" s="398"/>
      <c r="E468" s="196"/>
      <c r="F468" s="192"/>
      <c r="G468" s="192"/>
      <c r="H468" s="372"/>
      <c r="I468" s="49"/>
      <c r="J468" s="378"/>
      <c r="K468" s="346">
        <f t="shared" si="145"/>
        <v>0</v>
      </c>
      <c r="L468" s="49"/>
      <c r="M468" s="378"/>
      <c r="N468" s="356">
        <f t="shared" si="146"/>
        <v>0</v>
      </c>
      <c r="O468" s="197"/>
      <c r="P468" s="165" t="s">
        <v>1004</v>
      </c>
      <c r="Q468" s="364">
        <f t="shared" si="147"/>
        <v>0</v>
      </c>
      <c r="R468" s="364">
        <f t="shared" si="148"/>
        <v>0</v>
      </c>
    </row>
    <row r="469" spans="1:20" hidden="1" outlineLevel="1" x14ac:dyDescent="0.25">
      <c r="A469" s="189" t="s">
        <v>1236</v>
      </c>
      <c r="B469" s="252" t="s">
        <v>1237</v>
      </c>
      <c r="C469" s="190"/>
      <c r="D469" s="397"/>
      <c r="E469" s="191"/>
      <c r="F469" s="192"/>
      <c r="G469" s="192"/>
      <c r="H469" s="371"/>
      <c r="I469" s="49"/>
      <c r="J469" s="378"/>
      <c r="K469" s="346">
        <f t="shared" si="145"/>
        <v>0</v>
      </c>
      <c r="L469" s="49"/>
      <c r="M469" s="378"/>
      <c r="N469" s="356">
        <f t="shared" si="146"/>
        <v>0</v>
      </c>
      <c r="O469" s="194"/>
      <c r="P469" s="165" t="s">
        <v>1004</v>
      </c>
      <c r="Q469" s="364">
        <f t="shared" si="147"/>
        <v>0</v>
      </c>
      <c r="R469" s="364">
        <f t="shared" si="148"/>
        <v>0</v>
      </c>
    </row>
    <row r="470" spans="1:20" hidden="1" outlineLevel="1" x14ac:dyDescent="0.25">
      <c r="A470" s="189" t="s">
        <v>1238</v>
      </c>
      <c r="B470" s="253" t="s">
        <v>1239</v>
      </c>
      <c r="C470" s="195"/>
      <c r="D470" s="398"/>
      <c r="E470" s="196"/>
      <c r="F470" s="192"/>
      <c r="G470" s="192"/>
      <c r="H470" s="372"/>
      <c r="I470" s="49"/>
      <c r="J470" s="378"/>
      <c r="K470" s="346">
        <f t="shared" si="145"/>
        <v>0</v>
      </c>
      <c r="L470" s="49"/>
      <c r="M470" s="378"/>
      <c r="N470" s="356">
        <f t="shared" si="146"/>
        <v>0</v>
      </c>
      <c r="O470" s="197"/>
      <c r="P470" s="165" t="s">
        <v>1004</v>
      </c>
      <c r="Q470" s="364">
        <f t="shared" si="147"/>
        <v>0</v>
      </c>
      <c r="R470" s="364">
        <f t="shared" si="148"/>
        <v>0</v>
      </c>
    </row>
    <row r="471" spans="1:20" hidden="1" outlineLevel="1" x14ac:dyDescent="0.25">
      <c r="A471" s="189" t="s">
        <v>1240</v>
      </c>
      <c r="B471" s="252" t="s">
        <v>1241</v>
      </c>
      <c r="C471" s="190"/>
      <c r="D471" s="397"/>
      <c r="E471" s="191"/>
      <c r="F471" s="192"/>
      <c r="G471" s="192"/>
      <c r="H471" s="371"/>
      <c r="I471" s="49"/>
      <c r="J471" s="378"/>
      <c r="K471" s="346">
        <f t="shared" si="145"/>
        <v>0</v>
      </c>
      <c r="L471" s="49"/>
      <c r="M471" s="378"/>
      <c r="N471" s="356">
        <f t="shared" si="146"/>
        <v>0</v>
      </c>
      <c r="O471" s="194"/>
      <c r="P471" s="165" t="s">
        <v>1004</v>
      </c>
      <c r="Q471" s="364">
        <f t="shared" si="147"/>
        <v>0</v>
      </c>
      <c r="R471" s="364">
        <f t="shared" si="148"/>
        <v>0</v>
      </c>
    </row>
    <row r="472" spans="1:20" hidden="1" outlineLevel="1" x14ac:dyDescent="0.25">
      <c r="A472" s="189" t="s">
        <v>1242</v>
      </c>
      <c r="B472" s="253" t="s">
        <v>1242</v>
      </c>
      <c r="C472" s="195"/>
      <c r="D472" s="398"/>
      <c r="E472" s="196"/>
      <c r="F472" s="192"/>
      <c r="G472" s="192"/>
      <c r="H472" s="372"/>
      <c r="I472" s="49"/>
      <c r="J472" s="378"/>
      <c r="K472" s="346">
        <f t="shared" si="145"/>
        <v>0</v>
      </c>
      <c r="L472" s="49"/>
      <c r="M472" s="378"/>
      <c r="N472" s="356">
        <f t="shared" si="146"/>
        <v>0</v>
      </c>
      <c r="O472" s="197"/>
      <c r="P472" s="165" t="s">
        <v>1004</v>
      </c>
      <c r="Q472" s="364">
        <f t="shared" si="147"/>
        <v>0</v>
      </c>
      <c r="R472" s="364">
        <f t="shared" si="148"/>
        <v>0</v>
      </c>
    </row>
    <row r="473" spans="1:20" hidden="1" outlineLevel="1" x14ac:dyDescent="0.25">
      <c r="A473" s="189" t="s">
        <v>1243</v>
      </c>
      <c r="B473" s="252" t="s">
        <v>1244</v>
      </c>
      <c r="C473" s="190"/>
      <c r="D473" s="397"/>
      <c r="E473" s="191"/>
      <c r="F473" s="192"/>
      <c r="G473" s="192"/>
      <c r="H473" s="371"/>
      <c r="I473" s="49"/>
      <c r="J473" s="378"/>
      <c r="K473" s="346">
        <f t="shared" si="145"/>
        <v>0</v>
      </c>
      <c r="L473" s="49"/>
      <c r="M473" s="378"/>
      <c r="N473" s="356">
        <f t="shared" si="146"/>
        <v>0</v>
      </c>
      <c r="O473" s="194"/>
      <c r="P473" s="165" t="s">
        <v>1004</v>
      </c>
      <c r="Q473" s="364">
        <f t="shared" si="147"/>
        <v>0</v>
      </c>
      <c r="R473" s="364">
        <f t="shared" si="148"/>
        <v>0</v>
      </c>
    </row>
    <row r="474" spans="1:20" hidden="1" outlineLevel="1" x14ac:dyDescent="0.25">
      <c r="A474" s="189" t="s">
        <v>1245</v>
      </c>
      <c r="B474" s="253" t="s">
        <v>1246</v>
      </c>
      <c r="C474" s="195"/>
      <c r="D474" s="398"/>
      <c r="E474" s="196"/>
      <c r="F474" s="192"/>
      <c r="G474" s="192"/>
      <c r="H474" s="372"/>
      <c r="I474" s="49"/>
      <c r="J474" s="378"/>
      <c r="K474" s="346">
        <f t="shared" si="145"/>
        <v>0</v>
      </c>
      <c r="L474" s="49"/>
      <c r="M474" s="378"/>
      <c r="N474" s="356">
        <f t="shared" si="146"/>
        <v>0</v>
      </c>
      <c r="O474" s="197"/>
      <c r="P474" s="165" t="s">
        <v>1004</v>
      </c>
      <c r="Q474" s="364">
        <f t="shared" si="147"/>
        <v>0</v>
      </c>
      <c r="R474" s="364">
        <f t="shared" si="148"/>
        <v>0</v>
      </c>
    </row>
    <row r="475" spans="1:20" hidden="1" outlineLevel="1" x14ac:dyDescent="0.25">
      <c r="A475" s="189" t="s">
        <v>1247</v>
      </c>
      <c r="B475" s="252" t="s">
        <v>1248</v>
      </c>
      <c r="C475" s="190"/>
      <c r="D475" s="397"/>
      <c r="E475" s="191"/>
      <c r="F475" s="192"/>
      <c r="G475" s="192"/>
      <c r="H475" s="371"/>
      <c r="I475" s="49"/>
      <c r="J475" s="378"/>
      <c r="K475" s="346">
        <f t="shared" si="145"/>
        <v>0</v>
      </c>
      <c r="L475" s="49"/>
      <c r="M475" s="378"/>
      <c r="N475" s="356">
        <f t="shared" si="146"/>
        <v>0</v>
      </c>
      <c r="O475" s="194"/>
      <c r="P475" s="165" t="s">
        <v>1004</v>
      </c>
      <c r="Q475" s="364">
        <f t="shared" si="147"/>
        <v>0</v>
      </c>
      <c r="R475" s="364">
        <f t="shared" si="148"/>
        <v>0</v>
      </c>
    </row>
    <row r="476" spans="1:20" hidden="1" outlineLevel="1" x14ac:dyDescent="0.25">
      <c r="A476" s="189" t="s">
        <v>1249</v>
      </c>
      <c r="B476" s="253" t="s">
        <v>1250</v>
      </c>
      <c r="C476" s="195"/>
      <c r="D476" s="398"/>
      <c r="E476" s="196"/>
      <c r="F476" s="192"/>
      <c r="G476" s="192"/>
      <c r="H476" s="372"/>
      <c r="I476" s="49"/>
      <c r="J476" s="378"/>
      <c r="K476" s="346">
        <f t="shared" si="145"/>
        <v>0</v>
      </c>
      <c r="L476" s="49"/>
      <c r="M476" s="378"/>
      <c r="N476" s="356">
        <f t="shared" si="146"/>
        <v>0</v>
      </c>
      <c r="O476" s="197"/>
      <c r="P476" s="165" t="s">
        <v>1004</v>
      </c>
      <c r="Q476" s="364">
        <f t="shared" si="147"/>
        <v>0</v>
      </c>
      <c r="R476" s="364">
        <f t="shared" si="148"/>
        <v>0</v>
      </c>
    </row>
    <row r="477" spans="1:20" hidden="1" outlineLevel="1" x14ac:dyDescent="0.25">
      <c r="A477" s="189" t="s">
        <v>1251</v>
      </c>
      <c r="B477" s="252" t="s">
        <v>1252</v>
      </c>
      <c r="C477" s="190"/>
      <c r="D477" s="397"/>
      <c r="E477" s="191"/>
      <c r="F477" s="192"/>
      <c r="G477" s="192"/>
      <c r="H477" s="371"/>
      <c r="I477" s="49"/>
      <c r="J477" s="378"/>
      <c r="K477" s="346">
        <f t="shared" si="145"/>
        <v>0</v>
      </c>
      <c r="L477" s="49"/>
      <c r="M477" s="378"/>
      <c r="N477" s="356">
        <f t="shared" si="146"/>
        <v>0</v>
      </c>
      <c r="O477" s="194"/>
      <c r="P477" s="165" t="s">
        <v>1004</v>
      </c>
      <c r="Q477" s="364">
        <f t="shared" si="147"/>
        <v>0</v>
      </c>
      <c r="R477" s="364">
        <f t="shared" si="148"/>
        <v>0</v>
      </c>
    </row>
    <row r="478" spans="1:20" hidden="1" outlineLevel="1" x14ac:dyDescent="0.25">
      <c r="A478" s="189" t="s">
        <v>1253</v>
      </c>
      <c r="B478" s="253" t="s">
        <v>1254</v>
      </c>
      <c r="C478" s="195"/>
      <c r="D478" s="398"/>
      <c r="E478" s="196"/>
      <c r="F478" s="192"/>
      <c r="G478" s="192"/>
      <c r="H478" s="372"/>
      <c r="I478" s="49"/>
      <c r="J478" s="378"/>
      <c r="K478" s="346">
        <f t="shared" si="145"/>
        <v>0</v>
      </c>
      <c r="L478" s="49"/>
      <c r="M478" s="378"/>
      <c r="N478" s="356">
        <f t="shared" si="146"/>
        <v>0</v>
      </c>
      <c r="O478" s="197"/>
      <c r="P478" s="165" t="s">
        <v>1004</v>
      </c>
      <c r="Q478" s="364">
        <f t="shared" si="147"/>
        <v>0</v>
      </c>
      <c r="R478" s="364">
        <f t="shared" si="148"/>
        <v>0</v>
      </c>
    </row>
    <row r="479" spans="1:20" hidden="1" outlineLevel="1" x14ac:dyDescent="0.25">
      <c r="A479" s="189" t="s">
        <v>1255</v>
      </c>
      <c r="B479" s="252" t="s">
        <v>1256</v>
      </c>
      <c r="C479" s="190"/>
      <c r="D479" s="397"/>
      <c r="E479" s="191"/>
      <c r="F479" s="192"/>
      <c r="G479" s="192"/>
      <c r="H479" s="371"/>
      <c r="I479" s="49"/>
      <c r="J479" s="378"/>
      <c r="K479" s="346">
        <f t="shared" ref="K479:K510" si="149">SUMIF($A$8:$A$378,A479,$K$8:$K$378)</f>
        <v>0</v>
      </c>
      <c r="L479" s="49"/>
      <c r="M479" s="378"/>
      <c r="N479" s="356">
        <f t="shared" ref="N479:N510" si="150">SUMIF($A$8:$A$378,A479,$N$8:$N$378)</f>
        <v>0</v>
      </c>
      <c r="O479" s="194"/>
      <c r="P479" s="165" t="s">
        <v>1004</v>
      </c>
      <c r="Q479" s="364">
        <f t="shared" ref="Q479:Q510" si="151">+ROUND((K479+N479)*(1+SUMIF($Q$2:$Q$4,P479,$R$2:$R$4)),0)</f>
        <v>0</v>
      </c>
      <c r="R479" s="364">
        <f t="shared" ref="R479:R510" si="152">+ROUND((L479+O479)*(1+SUMIF($Q$2:$Q$4,Q479,$R$2:$R$4)),0)</f>
        <v>0</v>
      </c>
    </row>
    <row r="480" spans="1:20" hidden="1" outlineLevel="1" x14ac:dyDescent="0.25">
      <c r="A480" s="189" t="s">
        <v>1257</v>
      </c>
      <c r="B480" s="253" t="s">
        <v>1257</v>
      </c>
      <c r="C480" s="195"/>
      <c r="D480" s="398"/>
      <c r="E480" s="196"/>
      <c r="F480" s="192"/>
      <c r="G480" s="192"/>
      <c r="H480" s="372"/>
      <c r="I480" s="49"/>
      <c r="J480" s="378"/>
      <c r="K480" s="346">
        <f t="shared" si="149"/>
        <v>0</v>
      </c>
      <c r="L480" s="49"/>
      <c r="M480" s="378"/>
      <c r="N480" s="356">
        <f t="shared" si="150"/>
        <v>0</v>
      </c>
      <c r="O480" s="197"/>
      <c r="P480" s="165" t="s">
        <v>1004</v>
      </c>
      <c r="Q480" s="364">
        <f t="shared" si="151"/>
        <v>0</v>
      </c>
      <c r="R480" s="364">
        <f t="shared" si="152"/>
        <v>0</v>
      </c>
    </row>
    <row r="481" spans="1:18" hidden="1" outlineLevel="1" x14ac:dyDescent="0.25">
      <c r="A481" s="189" t="s">
        <v>1258</v>
      </c>
      <c r="B481" s="252" t="s">
        <v>1259</v>
      </c>
      <c r="C481" s="190"/>
      <c r="D481" s="397"/>
      <c r="E481" s="191"/>
      <c r="F481" s="192"/>
      <c r="G481" s="192"/>
      <c r="H481" s="371"/>
      <c r="I481" s="49"/>
      <c r="J481" s="378"/>
      <c r="K481" s="346">
        <f t="shared" si="149"/>
        <v>0</v>
      </c>
      <c r="L481" s="49"/>
      <c r="M481" s="378"/>
      <c r="N481" s="356">
        <f t="shared" si="150"/>
        <v>0</v>
      </c>
      <c r="O481" s="194"/>
      <c r="P481" s="165" t="s">
        <v>1004</v>
      </c>
      <c r="Q481" s="364">
        <f t="shared" si="151"/>
        <v>0</v>
      </c>
      <c r="R481" s="364">
        <f t="shared" si="152"/>
        <v>0</v>
      </c>
    </row>
    <row r="482" spans="1:18" hidden="1" outlineLevel="1" x14ac:dyDescent="0.25">
      <c r="A482" s="189" t="s">
        <v>1260</v>
      </c>
      <c r="B482" s="253" t="s">
        <v>1261</v>
      </c>
      <c r="C482" s="195"/>
      <c r="D482" s="398"/>
      <c r="E482" s="196"/>
      <c r="F482" s="192"/>
      <c r="G482" s="192"/>
      <c r="H482" s="372"/>
      <c r="I482" s="49"/>
      <c r="J482" s="378"/>
      <c r="K482" s="346">
        <f t="shared" si="149"/>
        <v>0</v>
      </c>
      <c r="L482" s="49"/>
      <c r="M482" s="378"/>
      <c r="N482" s="356">
        <f t="shared" si="150"/>
        <v>0</v>
      </c>
      <c r="O482" s="197"/>
      <c r="P482" s="165" t="s">
        <v>1004</v>
      </c>
      <c r="Q482" s="364">
        <f t="shared" si="151"/>
        <v>0</v>
      </c>
      <c r="R482" s="364">
        <f t="shared" si="152"/>
        <v>0</v>
      </c>
    </row>
    <row r="483" spans="1:18" hidden="1" outlineLevel="1" x14ac:dyDescent="0.25">
      <c r="A483" s="189" t="s">
        <v>1262</v>
      </c>
      <c r="B483" s="252" t="s">
        <v>1263</v>
      </c>
      <c r="C483" s="190"/>
      <c r="D483" s="397"/>
      <c r="E483" s="191"/>
      <c r="F483" s="192"/>
      <c r="G483" s="192"/>
      <c r="H483" s="371"/>
      <c r="I483" s="49"/>
      <c r="J483" s="378"/>
      <c r="K483" s="346">
        <f t="shared" si="149"/>
        <v>0</v>
      </c>
      <c r="L483" s="49"/>
      <c r="M483" s="378"/>
      <c r="N483" s="356">
        <f t="shared" si="150"/>
        <v>0</v>
      </c>
      <c r="O483" s="194"/>
      <c r="P483" s="165" t="s">
        <v>1004</v>
      </c>
      <c r="Q483" s="364">
        <f t="shared" si="151"/>
        <v>0</v>
      </c>
      <c r="R483" s="364">
        <f t="shared" si="152"/>
        <v>0</v>
      </c>
    </row>
    <row r="484" spans="1:18" hidden="1" outlineLevel="1" x14ac:dyDescent="0.25">
      <c r="A484" s="189" t="s">
        <v>1264</v>
      </c>
      <c r="B484" s="253" t="s">
        <v>1265</v>
      </c>
      <c r="C484" s="195"/>
      <c r="D484" s="398"/>
      <c r="E484" s="196"/>
      <c r="F484" s="192"/>
      <c r="G484" s="192"/>
      <c r="H484" s="372"/>
      <c r="I484" s="49"/>
      <c r="J484" s="378"/>
      <c r="K484" s="346">
        <f t="shared" si="149"/>
        <v>0</v>
      </c>
      <c r="L484" s="49"/>
      <c r="M484" s="378"/>
      <c r="N484" s="356">
        <f t="shared" si="150"/>
        <v>0</v>
      </c>
      <c r="O484" s="197"/>
      <c r="P484" s="165" t="s">
        <v>1004</v>
      </c>
      <c r="Q484" s="364">
        <f t="shared" si="151"/>
        <v>0</v>
      </c>
      <c r="R484" s="364">
        <f t="shared" si="152"/>
        <v>0</v>
      </c>
    </row>
    <row r="485" spans="1:18" hidden="1" outlineLevel="1" x14ac:dyDescent="0.25">
      <c r="A485" s="189" t="s">
        <v>1266</v>
      </c>
      <c r="B485" s="252" t="s">
        <v>1267</v>
      </c>
      <c r="C485" s="190"/>
      <c r="D485" s="397"/>
      <c r="E485" s="191"/>
      <c r="F485" s="192"/>
      <c r="G485" s="192"/>
      <c r="H485" s="371"/>
      <c r="I485" s="49"/>
      <c r="J485" s="378"/>
      <c r="K485" s="346">
        <f t="shared" si="149"/>
        <v>0</v>
      </c>
      <c r="L485" s="49"/>
      <c r="M485" s="378"/>
      <c r="N485" s="356">
        <f t="shared" si="150"/>
        <v>0</v>
      </c>
      <c r="O485" s="194"/>
      <c r="P485" s="165" t="s">
        <v>1004</v>
      </c>
      <c r="Q485" s="364">
        <f t="shared" si="151"/>
        <v>0</v>
      </c>
      <c r="R485" s="364">
        <f t="shared" si="152"/>
        <v>0</v>
      </c>
    </row>
    <row r="486" spans="1:18" hidden="1" outlineLevel="1" x14ac:dyDescent="0.25">
      <c r="A486" s="189" t="s">
        <v>1268</v>
      </c>
      <c r="B486" s="253" t="s">
        <v>1269</v>
      </c>
      <c r="C486" s="195"/>
      <c r="D486" s="398"/>
      <c r="E486" s="196"/>
      <c r="F486" s="192"/>
      <c r="G486" s="192"/>
      <c r="H486" s="372"/>
      <c r="I486" s="49"/>
      <c r="J486" s="378"/>
      <c r="K486" s="346">
        <f t="shared" si="149"/>
        <v>0</v>
      </c>
      <c r="L486" s="49"/>
      <c r="M486" s="378"/>
      <c r="N486" s="356">
        <f t="shared" si="150"/>
        <v>0</v>
      </c>
      <c r="O486" s="197"/>
      <c r="P486" s="165" t="s">
        <v>1004</v>
      </c>
      <c r="Q486" s="364">
        <f t="shared" si="151"/>
        <v>0</v>
      </c>
      <c r="R486" s="364">
        <f t="shared" si="152"/>
        <v>0</v>
      </c>
    </row>
    <row r="487" spans="1:18" hidden="1" outlineLevel="1" x14ac:dyDescent="0.25">
      <c r="A487" s="189" t="s">
        <v>1270</v>
      </c>
      <c r="B487" s="252" t="s">
        <v>1271</v>
      </c>
      <c r="C487" s="190"/>
      <c r="D487" s="397"/>
      <c r="E487" s="191"/>
      <c r="F487" s="192"/>
      <c r="G487" s="192"/>
      <c r="H487" s="371"/>
      <c r="I487" s="49"/>
      <c r="J487" s="378"/>
      <c r="K487" s="346">
        <f t="shared" si="149"/>
        <v>0</v>
      </c>
      <c r="L487" s="49"/>
      <c r="M487" s="378"/>
      <c r="N487" s="356">
        <f t="shared" si="150"/>
        <v>0</v>
      </c>
      <c r="O487" s="194"/>
      <c r="P487" s="165" t="s">
        <v>1004</v>
      </c>
      <c r="Q487" s="364">
        <f t="shared" si="151"/>
        <v>0</v>
      </c>
      <c r="R487" s="364">
        <f t="shared" si="152"/>
        <v>0</v>
      </c>
    </row>
    <row r="488" spans="1:18" hidden="1" outlineLevel="1" x14ac:dyDescent="0.25">
      <c r="A488" s="189" t="s">
        <v>1272</v>
      </c>
      <c r="B488" s="253" t="s">
        <v>1273</v>
      </c>
      <c r="C488" s="195"/>
      <c r="D488" s="398"/>
      <c r="E488" s="196"/>
      <c r="F488" s="192"/>
      <c r="G488" s="192"/>
      <c r="H488" s="372"/>
      <c r="I488" s="49"/>
      <c r="J488" s="378"/>
      <c r="K488" s="346">
        <f t="shared" si="149"/>
        <v>0</v>
      </c>
      <c r="L488" s="49"/>
      <c r="M488" s="378"/>
      <c r="N488" s="356">
        <f t="shared" si="150"/>
        <v>0</v>
      </c>
      <c r="O488" s="197"/>
      <c r="P488" s="165" t="s">
        <v>1004</v>
      </c>
      <c r="Q488" s="364">
        <f t="shared" si="151"/>
        <v>0</v>
      </c>
      <c r="R488" s="364">
        <f t="shared" si="152"/>
        <v>0</v>
      </c>
    </row>
    <row r="489" spans="1:18" hidden="1" outlineLevel="1" x14ac:dyDescent="0.25">
      <c r="A489" s="189" t="s">
        <v>1274</v>
      </c>
      <c r="B489" s="252" t="s">
        <v>1275</v>
      </c>
      <c r="C489" s="190"/>
      <c r="D489" s="397"/>
      <c r="E489" s="191"/>
      <c r="F489" s="192"/>
      <c r="G489" s="192"/>
      <c r="H489" s="371"/>
      <c r="I489" s="49"/>
      <c r="J489" s="378"/>
      <c r="K489" s="346">
        <f t="shared" si="149"/>
        <v>0</v>
      </c>
      <c r="L489" s="49"/>
      <c r="M489" s="378"/>
      <c r="N489" s="356">
        <f t="shared" si="150"/>
        <v>0</v>
      </c>
      <c r="O489" s="194"/>
      <c r="P489" s="165" t="s">
        <v>1004</v>
      </c>
      <c r="Q489" s="364">
        <f t="shared" si="151"/>
        <v>0</v>
      </c>
      <c r="R489" s="364">
        <f t="shared" si="152"/>
        <v>0</v>
      </c>
    </row>
    <row r="490" spans="1:18" hidden="1" outlineLevel="1" x14ac:dyDescent="0.25">
      <c r="A490" s="189" t="s">
        <v>1276</v>
      </c>
      <c r="B490" s="253" t="s">
        <v>1276</v>
      </c>
      <c r="C490" s="195"/>
      <c r="D490" s="398"/>
      <c r="E490" s="196"/>
      <c r="F490" s="192"/>
      <c r="G490" s="192"/>
      <c r="H490" s="372"/>
      <c r="I490" s="49"/>
      <c r="J490" s="378"/>
      <c r="K490" s="346">
        <f t="shared" si="149"/>
        <v>0</v>
      </c>
      <c r="L490" s="49"/>
      <c r="M490" s="378"/>
      <c r="N490" s="356">
        <f t="shared" si="150"/>
        <v>0</v>
      </c>
      <c r="O490" s="197"/>
      <c r="P490" s="165" t="s">
        <v>1004</v>
      </c>
      <c r="Q490" s="364">
        <f t="shared" si="151"/>
        <v>0</v>
      </c>
      <c r="R490" s="364">
        <f t="shared" si="152"/>
        <v>0</v>
      </c>
    </row>
    <row r="491" spans="1:18" hidden="1" outlineLevel="1" x14ac:dyDescent="0.25">
      <c r="A491" s="189" t="s">
        <v>1277</v>
      </c>
      <c r="B491" s="252" t="s">
        <v>1278</v>
      </c>
      <c r="C491" s="190"/>
      <c r="D491" s="397"/>
      <c r="E491" s="191"/>
      <c r="F491" s="192"/>
      <c r="G491" s="192"/>
      <c r="H491" s="371"/>
      <c r="I491" s="49"/>
      <c r="J491" s="378"/>
      <c r="K491" s="346">
        <f t="shared" si="149"/>
        <v>0</v>
      </c>
      <c r="L491" s="49"/>
      <c r="M491" s="378"/>
      <c r="N491" s="356">
        <f t="shared" si="150"/>
        <v>0</v>
      </c>
      <c r="O491" s="194"/>
      <c r="P491" s="165" t="s">
        <v>1004</v>
      </c>
      <c r="Q491" s="364">
        <f t="shared" si="151"/>
        <v>0</v>
      </c>
      <c r="R491" s="364">
        <f t="shared" si="152"/>
        <v>0</v>
      </c>
    </row>
    <row r="492" spans="1:18" hidden="1" outlineLevel="1" x14ac:dyDescent="0.25">
      <c r="A492" s="189" t="s">
        <v>1279</v>
      </c>
      <c r="B492" s="253" t="s">
        <v>1280</v>
      </c>
      <c r="C492" s="195"/>
      <c r="D492" s="398"/>
      <c r="E492" s="196"/>
      <c r="F492" s="192"/>
      <c r="G492" s="192"/>
      <c r="H492" s="372"/>
      <c r="I492" s="49"/>
      <c r="J492" s="378"/>
      <c r="K492" s="346">
        <f t="shared" si="149"/>
        <v>0</v>
      </c>
      <c r="L492" s="49"/>
      <c r="M492" s="378"/>
      <c r="N492" s="356">
        <f t="shared" si="150"/>
        <v>0</v>
      </c>
      <c r="O492" s="197"/>
      <c r="P492" s="165" t="s">
        <v>1004</v>
      </c>
      <c r="Q492" s="364">
        <f t="shared" si="151"/>
        <v>0</v>
      </c>
      <c r="R492" s="364">
        <f t="shared" si="152"/>
        <v>0</v>
      </c>
    </row>
    <row r="493" spans="1:18" hidden="1" outlineLevel="1" x14ac:dyDescent="0.25">
      <c r="A493" s="189" t="s">
        <v>1281</v>
      </c>
      <c r="B493" s="252" t="s">
        <v>1282</v>
      </c>
      <c r="C493" s="190"/>
      <c r="D493" s="397"/>
      <c r="E493" s="191"/>
      <c r="F493" s="192"/>
      <c r="G493" s="192"/>
      <c r="H493" s="371"/>
      <c r="I493" s="49"/>
      <c r="J493" s="378"/>
      <c r="K493" s="346">
        <f t="shared" si="149"/>
        <v>0</v>
      </c>
      <c r="L493" s="49"/>
      <c r="M493" s="378"/>
      <c r="N493" s="356">
        <f t="shared" si="150"/>
        <v>0</v>
      </c>
      <c r="O493" s="194"/>
      <c r="P493" s="165" t="s">
        <v>1004</v>
      </c>
      <c r="Q493" s="364">
        <f t="shared" si="151"/>
        <v>0</v>
      </c>
      <c r="R493" s="364">
        <f t="shared" si="152"/>
        <v>0</v>
      </c>
    </row>
    <row r="494" spans="1:18" hidden="1" outlineLevel="1" x14ac:dyDescent="0.25">
      <c r="A494" s="189" t="s">
        <v>1283</v>
      </c>
      <c r="B494" s="253" t="s">
        <v>607</v>
      </c>
      <c r="C494" s="195"/>
      <c r="D494" s="398"/>
      <c r="E494" s="196"/>
      <c r="F494" s="192"/>
      <c r="G494" s="192"/>
      <c r="H494" s="372"/>
      <c r="I494" s="49"/>
      <c r="J494" s="378"/>
      <c r="K494" s="346">
        <f t="shared" si="149"/>
        <v>0</v>
      </c>
      <c r="L494" s="49"/>
      <c r="M494" s="378"/>
      <c r="N494" s="356">
        <f t="shared" si="150"/>
        <v>0</v>
      </c>
      <c r="O494" s="197"/>
      <c r="P494" s="165" t="s">
        <v>1004</v>
      </c>
      <c r="Q494" s="364">
        <f t="shared" si="151"/>
        <v>0</v>
      </c>
      <c r="R494" s="364">
        <f t="shared" si="152"/>
        <v>0</v>
      </c>
    </row>
    <row r="495" spans="1:18" hidden="1" outlineLevel="1" x14ac:dyDescent="0.25">
      <c r="A495" s="189" t="s">
        <v>1284</v>
      </c>
      <c r="B495" s="252" t="s">
        <v>1285</v>
      </c>
      <c r="C495" s="190"/>
      <c r="D495" s="397"/>
      <c r="E495" s="191"/>
      <c r="F495" s="192"/>
      <c r="G495" s="192"/>
      <c r="H495" s="371"/>
      <c r="I495" s="49"/>
      <c r="J495" s="378"/>
      <c r="K495" s="346">
        <f t="shared" si="149"/>
        <v>0</v>
      </c>
      <c r="L495" s="49"/>
      <c r="M495" s="378"/>
      <c r="N495" s="356">
        <f t="shared" si="150"/>
        <v>0</v>
      </c>
      <c r="O495" s="194"/>
      <c r="P495" s="165" t="s">
        <v>1004</v>
      </c>
      <c r="Q495" s="364">
        <f t="shared" si="151"/>
        <v>0</v>
      </c>
      <c r="R495" s="364">
        <f t="shared" si="152"/>
        <v>0</v>
      </c>
    </row>
    <row r="496" spans="1:18" hidden="1" outlineLevel="1" x14ac:dyDescent="0.25">
      <c r="A496" s="189" t="s">
        <v>1286</v>
      </c>
      <c r="B496" s="253" t="s">
        <v>1287</v>
      </c>
      <c r="C496" s="195"/>
      <c r="D496" s="398"/>
      <c r="E496" s="196"/>
      <c r="F496" s="192"/>
      <c r="G496" s="192"/>
      <c r="H496" s="372"/>
      <c r="I496" s="49"/>
      <c r="J496" s="378"/>
      <c r="K496" s="346">
        <f t="shared" si="149"/>
        <v>0</v>
      </c>
      <c r="L496" s="49"/>
      <c r="M496" s="378"/>
      <c r="N496" s="356">
        <f t="shared" si="150"/>
        <v>0</v>
      </c>
      <c r="O496" s="197"/>
      <c r="P496" s="165" t="s">
        <v>1004</v>
      </c>
      <c r="Q496" s="364">
        <f t="shared" si="151"/>
        <v>0</v>
      </c>
      <c r="R496" s="364">
        <f t="shared" si="152"/>
        <v>0</v>
      </c>
    </row>
    <row r="497" spans="1:18" hidden="1" outlineLevel="1" x14ac:dyDescent="0.25">
      <c r="A497" s="189" t="s">
        <v>1288</v>
      </c>
      <c r="B497" s="252" t="s">
        <v>1289</v>
      </c>
      <c r="C497" s="190"/>
      <c r="D497" s="397"/>
      <c r="E497" s="191"/>
      <c r="F497" s="192"/>
      <c r="G497" s="192"/>
      <c r="H497" s="371"/>
      <c r="I497" s="49"/>
      <c r="J497" s="378"/>
      <c r="K497" s="346">
        <f t="shared" si="149"/>
        <v>0</v>
      </c>
      <c r="L497" s="49"/>
      <c r="M497" s="378"/>
      <c r="N497" s="356">
        <f t="shared" si="150"/>
        <v>0</v>
      </c>
      <c r="O497" s="194"/>
      <c r="P497" s="165" t="s">
        <v>1004</v>
      </c>
      <c r="Q497" s="364">
        <f t="shared" si="151"/>
        <v>0</v>
      </c>
      <c r="R497" s="364">
        <f t="shared" si="152"/>
        <v>0</v>
      </c>
    </row>
    <row r="498" spans="1:18" hidden="1" outlineLevel="1" x14ac:dyDescent="0.25">
      <c r="A498" s="189" t="s">
        <v>1290</v>
      </c>
      <c r="B498" s="253" t="s">
        <v>1291</v>
      </c>
      <c r="C498" s="195"/>
      <c r="D498" s="398"/>
      <c r="E498" s="196"/>
      <c r="F498" s="192"/>
      <c r="G498" s="192"/>
      <c r="H498" s="372"/>
      <c r="I498" s="49"/>
      <c r="J498" s="378"/>
      <c r="K498" s="346">
        <f t="shared" si="149"/>
        <v>0</v>
      </c>
      <c r="L498" s="49"/>
      <c r="M498" s="378"/>
      <c r="N498" s="356">
        <f t="shared" si="150"/>
        <v>0</v>
      </c>
      <c r="O498" s="197"/>
      <c r="P498" s="165" t="s">
        <v>1004</v>
      </c>
      <c r="Q498" s="364">
        <f t="shared" si="151"/>
        <v>0</v>
      </c>
      <c r="R498" s="364">
        <f t="shared" si="152"/>
        <v>0</v>
      </c>
    </row>
    <row r="499" spans="1:18" hidden="1" outlineLevel="1" x14ac:dyDescent="0.25">
      <c r="A499" s="189" t="s">
        <v>1292</v>
      </c>
      <c r="B499" s="252" t="s">
        <v>1293</v>
      </c>
      <c r="C499" s="190"/>
      <c r="D499" s="397"/>
      <c r="E499" s="191"/>
      <c r="F499" s="192"/>
      <c r="G499" s="192"/>
      <c r="H499" s="371"/>
      <c r="I499" s="49"/>
      <c r="J499" s="378"/>
      <c r="K499" s="346">
        <f t="shared" si="149"/>
        <v>0</v>
      </c>
      <c r="L499" s="49"/>
      <c r="M499" s="378"/>
      <c r="N499" s="356">
        <f t="shared" si="150"/>
        <v>0</v>
      </c>
      <c r="O499" s="194"/>
      <c r="P499" s="165" t="s">
        <v>1004</v>
      </c>
      <c r="Q499" s="364">
        <f t="shared" si="151"/>
        <v>0</v>
      </c>
      <c r="R499" s="364">
        <f t="shared" si="152"/>
        <v>0</v>
      </c>
    </row>
    <row r="500" spans="1:18" hidden="1" outlineLevel="1" x14ac:dyDescent="0.25">
      <c r="A500" s="189" t="s">
        <v>1294</v>
      </c>
      <c r="B500" s="253" t="s">
        <v>1295</v>
      </c>
      <c r="C500" s="195"/>
      <c r="D500" s="398"/>
      <c r="E500" s="196"/>
      <c r="F500" s="192"/>
      <c r="G500" s="192"/>
      <c r="H500" s="372"/>
      <c r="I500" s="49"/>
      <c r="J500" s="378"/>
      <c r="K500" s="346">
        <f t="shared" si="149"/>
        <v>0</v>
      </c>
      <c r="L500" s="49"/>
      <c r="M500" s="378"/>
      <c r="N500" s="356">
        <f t="shared" si="150"/>
        <v>0</v>
      </c>
      <c r="O500" s="197"/>
      <c r="P500" s="165" t="s">
        <v>1004</v>
      </c>
      <c r="Q500" s="364">
        <f t="shared" si="151"/>
        <v>0</v>
      </c>
      <c r="R500" s="364">
        <f t="shared" si="152"/>
        <v>0</v>
      </c>
    </row>
    <row r="501" spans="1:18" hidden="1" outlineLevel="1" x14ac:dyDescent="0.25">
      <c r="A501" s="189" t="s">
        <v>1296</v>
      </c>
      <c r="B501" s="252" t="s">
        <v>1297</v>
      </c>
      <c r="C501" s="190"/>
      <c r="D501" s="397"/>
      <c r="E501" s="191"/>
      <c r="F501" s="192"/>
      <c r="G501" s="192"/>
      <c r="H501" s="371"/>
      <c r="I501" s="49"/>
      <c r="J501" s="378"/>
      <c r="K501" s="346">
        <f t="shared" si="149"/>
        <v>0</v>
      </c>
      <c r="L501" s="49"/>
      <c r="M501" s="378"/>
      <c r="N501" s="356">
        <f t="shared" si="150"/>
        <v>0</v>
      </c>
      <c r="O501" s="194"/>
      <c r="P501" s="165" t="s">
        <v>1004</v>
      </c>
      <c r="Q501" s="364">
        <f t="shared" si="151"/>
        <v>0</v>
      </c>
      <c r="R501" s="364">
        <f t="shared" si="152"/>
        <v>0</v>
      </c>
    </row>
    <row r="502" spans="1:18" hidden="1" outlineLevel="1" x14ac:dyDescent="0.25">
      <c r="A502" s="189" t="s">
        <v>1298</v>
      </c>
      <c r="B502" s="253" t="s">
        <v>1299</v>
      </c>
      <c r="C502" s="195"/>
      <c r="D502" s="398"/>
      <c r="E502" s="196"/>
      <c r="F502" s="192"/>
      <c r="G502" s="192"/>
      <c r="H502" s="372"/>
      <c r="I502" s="49"/>
      <c r="J502" s="378"/>
      <c r="K502" s="346">
        <f t="shared" si="149"/>
        <v>0</v>
      </c>
      <c r="L502" s="49"/>
      <c r="M502" s="378"/>
      <c r="N502" s="356">
        <f t="shared" si="150"/>
        <v>0</v>
      </c>
      <c r="O502" s="197"/>
      <c r="P502" s="165" t="s">
        <v>1004</v>
      </c>
      <c r="Q502" s="364">
        <f t="shared" si="151"/>
        <v>0</v>
      </c>
      <c r="R502" s="364">
        <f t="shared" si="152"/>
        <v>0</v>
      </c>
    </row>
    <row r="503" spans="1:18" hidden="1" outlineLevel="1" x14ac:dyDescent="0.25">
      <c r="A503" s="189" t="s">
        <v>1300</v>
      </c>
      <c r="B503" s="252" t="s">
        <v>1301</v>
      </c>
      <c r="C503" s="190"/>
      <c r="D503" s="397"/>
      <c r="E503" s="191"/>
      <c r="F503" s="192"/>
      <c r="G503" s="192"/>
      <c r="H503" s="371"/>
      <c r="I503" s="49"/>
      <c r="J503" s="378"/>
      <c r="K503" s="346">
        <f t="shared" si="149"/>
        <v>0</v>
      </c>
      <c r="L503" s="49"/>
      <c r="M503" s="378"/>
      <c r="N503" s="356">
        <f t="shared" si="150"/>
        <v>0</v>
      </c>
      <c r="O503" s="194"/>
      <c r="P503" s="165" t="s">
        <v>1004</v>
      </c>
      <c r="Q503" s="364">
        <f t="shared" si="151"/>
        <v>0</v>
      </c>
      <c r="R503" s="364">
        <f t="shared" si="152"/>
        <v>0</v>
      </c>
    </row>
    <row r="504" spans="1:18" hidden="1" outlineLevel="1" x14ac:dyDescent="0.25">
      <c r="A504" s="189" t="s">
        <v>1302</v>
      </c>
      <c r="B504" s="253" t="s">
        <v>1303</v>
      </c>
      <c r="C504" s="195"/>
      <c r="D504" s="398"/>
      <c r="E504" s="196"/>
      <c r="F504" s="192"/>
      <c r="G504" s="192"/>
      <c r="H504" s="372"/>
      <c r="I504" s="49"/>
      <c r="J504" s="378"/>
      <c r="K504" s="346">
        <f t="shared" si="149"/>
        <v>0</v>
      </c>
      <c r="L504" s="49"/>
      <c r="M504" s="378"/>
      <c r="N504" s="356">
        <f t="shared" si="150"/>
        <v>0</v>
      </c>
      <c r="O504" s="197"/>
      <c r="P504" s="165" t="s">
        <v>1004</v>
      </c>
      <c r="Q504" s="364">
        <f t="shared" si="151"/>
        <v>0</v>
      </c>
      <c r="R504" s="364">
        <f t="shared" si="152"/>
        <v>0</v>
      </c>
    </row>
    <row r="505" spans="1:18" hidden="1" outlineLevel="1" x14ac:dyDescent="0.25">
      <c r="A505" s="189" t="s">
        <v>1304</v>
      </c>
      <c r="B505" s="252" t="s">
        <v>1305</v>
      </c>
      <c r="C505" s="190"/>
      <c r="D505" s="397"/>
      <c r="E505" s="191"/>
      <c r="F505" s="192"/>
      <c r="G505" s="192"/>
      <c r="H505" s="371"/>
      <c r="I505" s="49"/>
      <c r="J505" s="378"/>
      <c r="K505" s="346">
        <f t="shared" si="149"/>
        <v>0</v>
      </c>
      <c r="L505" s="49"/>
      <c r="M505" s="378"/>
      <c r="N505" s="356">
        <f t="shared" si="150"/>
        <v>0</v>
      </c>
      <c r="O505" s="194"/>
      <c r="P505" s="165" t="s">
        <v>1004</v>
      </c>
      <c r="Q505" s="364">
        <f t="shared" si="151"/>
        <v>0</v>
      </c>
      <c r="R505" s="364">
        <f t="shared" si="152"/>
        <v>0</v>
      </c>
    </row>
    <row r="506" spans="1:18" hidden="1" outlineLevel="1" x14ac:dyDescent="0.25">
      <c r="A506" s="189" t="s">
        <v>1306</v>
      </c>
      <c r="B506" s="253" t="s">
        <v>1307</v>
      </c>
      <c r="C506" s="195"/>
      <c r="D506" s="398"/>
      <c r="E506" s="196"/>
      <c r="F506" s="192"/>
      <c r="G506" s="192"/>
      <c r="H506" s="372"/>
      <c r="I506" s="49"/>
      <c r="J506" s="378"/>
      <c r="K506" s="346">
        <f t="shared" si="149"/>
        <v>0</v>
      </c>
      <c r="L506" s="49"/>
      <c r="M506" s="378"/>
      <c r="N506" s="356">
        <f t="shared" si="150"/>
        <v>0</v>
      </c>
      <c r="O506" s="197"/>
      <c r="P506" s="165" t="s">
        <v>1004</v>
      </c>
      <c r="Q506" s="364">
        <f t="shared" si="151"/>
        <v>0</v>
      </c>
      <c r="R506" s="364">
        <f t="shared" si="152"/>
        <v>0</v>
      </c>
    </row>
    <row r="507" spans="1:18" hidden="1" outlineLevel="1" x14ac:dyDescent="0.25">
      <c r="A507" s="189" t="s">
        <v>1308</v>
      </c>
      <c r="B507" s="252" t="s">
        <v>1309</v>
      </c>
      <c r="C507" s="190"/>
      <c r="D507" s="397"/>
      <c r="E507" s="191"/>
      <c r="F507" s="192"/>
      <c r="G507" s="192"/>
      <c r="H507" s="371"/>
      <c r="I507" s="49"/>
      <c r="J507" s="378"/>
      <c r="K507" s="346">
        <f t="shared" si="149"/>
        <v>0</v>
      </c>
      <c r="L507" s="49"/>
      <c r="M507" s="378"/>
      <c r="N507" s="356">
        <f t="shared" si="150"/>
        <v>0</v>
      </c>
      <c r="O507" s="194"/>
      <c r="P507" s="165" t="s">
        <v>1004</v>
      </c>
      <c r="Q507" s="364">
        <f t="shared" si="151"/>
        <v>0</v>
      </c>
      <c r="R507" s="364">
        <f t="shared" si="152"/>
        <v>0</v>
      </c>
    </row>
    <row r="508" spans="1:18" hidden="1" outlineLevel="1" x14ac:dyDescent="0.25">
      <c r="A508" s="189" t="s">
        <v>1310</v>
      </c>
      <c r="B508" s="253" t="s">
        <v>1311</v>
      </c>
      <c r="C508" s="195"/>
      <c r="D508" s="398"/>
      <c r="E508" s="196"/>
      <c r="F508" s="192"/>
      <c r="G508" s="192"/>
      <c r="H508" s="372"/>
      <c r="I508" s="49"/>
      <c r="J508" s="378"/>
      <c r="K508" s="346">
        <f t="shared" si="149"/>
        <v>0</v>
      </c>
      <c r="L508" s="49"/>
      <c r="M508" s="378"/>
      <c r="N508" s="356">
        <f t="shared" si="150"/>
        <v>0</v>
      </c>
      <c r="O508" s="197"/>
      <c r="P508" s="165" t="s">
        <v>1004</v>
      </c>
      <c r="Q508" s="364">
        <f t="shared" si="151"/>
        <v>0</v>
      </c>
      <c r="R508" s="364">
        <f t="shared" si="152"/>
        <v>0</v>
      </c>
    </row>
    <row r="509" spans="1:18" hidden="1" outlineLevel="1" x14ac:dyDescent="0.25">
      <c r="A509" s="189" t="s">
        <v>1312</v>
      </c>
      <c r="B509" s="252" t="s">
        <v>1313</v>
      </c>
      <c r="C509" s="190"/>
      <c r="D509" s="397"/>
      <c r="E509" s="191"/>
      <c r="F509" s="192"/>
      <c r="G509" s="192"/>
      <c r="H509" s="371"/>
      <c r="I509" s="49"/>
      <c r="J509" s="378"/>
      <c r="K509" s="346">
        <f t="shared" si="149"/>
        <v>0</v>
      </c>
      <c r="L509" s="49"/>
      <c r="M509" s="378"/>
      <c r="N509" s="356">
        <f t="shared" si="150"/>
        <v>0</v>
      </c>
      <c r="O509" s="194"/>
      <c r="P509" s="165" t="s">
        <v>1004</v>
      </c>
      <c r="Q509" s="364">
        <f t="shared" si="151"/>
        <v>0</v>
      </c>
      <c r="R509" s="364">
        <f t="shared" si="152"/>
        <v>0</v>
      </c>
    </row>
    <row r="510" spans="1:18" hidden="1" outlineLevel="1" x14ac:dyDescent="0.25">
      <c r="A510" s="189" t="s">
        <v>1314</v>
      </c>
      <c r="B510" s="253" t="s">
        <v>1315</v>
      </c>
      <c r="C510" s="195"/>
      <c r="D510" s="398"/>
      <c r="E510" s="196"/>
      <c r="F510" s="192"/>
      <c r="G510" s="192"/>
      <c r="H510" s="372"/>
      <c r="I510" s="49"/>
      <c r="J510" s="378"/>
      <c r="K510" s="346">
        <f t="shared" si="149"/>
        <v>0</v>
      </c>
      <c r="L510" s="49"/>
      <c r="M510" s="378"/>
      <c r="N510" s="356">
        <f t="shared" si="150"/>
        <v>0</v>
      </c>
      <c r="O510" s="197"/>
      <c r="P510" s="165" t="s">
        <v>1004</v>
      </c>
      <c r="Q510" s="364">
        <f t="shared" si="151"/>
        <v>0</v>
      </c>
      <c r="R510" s="364">
        <f t="shared" si="152"/>
        <v>0</v>
      </c>
    </row>
    <row r="511" spans="1:18" hidden="1" outlineLevel="1" x14ac:dyDescent="0.25">
      <c r="A511" s="189" t="s">
        <v>1316</v>
      </c>
      <c r="B511" s="252" t="s">
        <v>1317</v>
      </c>
      <c r="C511" s="190"/>
      <c r="D511" s="397"/>
      <c r="E511" s="191"/>
      <c r="F511" s="192"/>
      <c r="G511" s="192"/>
      <c r="H511" s="371"/>
      <c r="I511" s="49"/>
      <c r="J511" s="378"/>
      <c r="K511" s="346">
        <f t="shared" ref="K511:K541" si="153">SUMIF($A$8:$A$378,A511,$K$8:$K$378)</f>
        <v>0</v>
      </c>
      <c r="L511" s="49"/>
      <c r="M511" s="378"/>
      <c r="N511" s="356">
        <f t="shared" ref="N511:N541" si="154">SUMIF($A$8:$A$378,A511,$N$8:$N$378)</f>
        <v>0</v>
      </c>
      <c r="O511" s="194"/>
      <c r="P511" s="165" t="s">
        <v>1004</v>
      </c>
      <c r="Q511" s="364">
        <f t="shared" ref="Q511:Q542" si="155">+ROUND((K511+N511)*(1+SUMIF($Q$2:$Q$4,P511,$R$2:$R$4)),0)</f>
        <v>0</v>
      </c>
      <c r="R511" s="364">
        <f t="shared" ref="R511:R542" si="156">+ROUND((L511+O511)*(1+SUMIF($Q$2:$Q$4,Q511,$R$2:$R$4)),0)</f>
        <v>0</v>
      </c>
    </row>
    <row r="512" spans="1:18" hidden="1" outlineLevel="1" x14ac:dyDescent="0.25">
      <c r="A512" s="189" t="s">
        <v>1019</v>
      </c>
      <c r="B512" s="253" t="s">
        <v>1318</v>
      </c>
      <c r="C512" s="195"/>
      <c r="D512" s="398"/>
      <c r="E512" s="196"/>
      <c r="F512" s="192"/>
      <c r="G512" s="192"/>
      <c r="H512" s="372"/>
      <c r="I512" s="49"/>
      <c r="J512" s="378"/>
      <c r="K512" s="346">
        <f t="shared" si="153"/>
        <v>0</v>
      </c>
      <c r="L512" s="49"/>
      <c r="M512" s="378"/>
      <c r="N512" s="356">
        <f t="shared" si="154"/>
        <v>0</v>
      </c>
      <c r="O512" s="197"/>
      <c r="P512" s="165" t="s">
        <v>1004</v>
      </c>
      <c r="Q512" s="364">
        <f t="shared" si="155"/>
        <v>0</v>
      </c>
      <c r="R512" s="364">
        <f t="shared" si="156"/>
        <v>0</v>
      </c>
    </row>
    <row r="513" spans="1:18" hidden="1" outlineLevel="1" x14ac:dyDescent="0.25">
      <c r="A513" s="189" t="s">
        <v>1319</v>
      </c>
      <c r="B513" s="252" t="s">
        <v>1320</v>
      </c>
      <c r="C513" s="190"/>
      <c r="D513" s="397"/>
      <c r="E513" s="191"/>
      <c r="F513" s="192"/>
      <c r="G513" s="192"/>
      <c r="H513" s="371"/>
      <c r="I513" s="49"/>
      <c r="J513" s="378"/>
      <c r="K513" s="346">
        <f t="shared" si="153"/>
        <v>0</v>
      </c>
      <c r="L513" s="49"/>
      <c r="M513" s="378"/>
      <c r="N513" s="356">
        <f t="shared" si="154"/>
        <v>0</v>
      </c>
      <c r="O513" s="194"/>
      <c r="P513" s="165" t="s">
        <v>1004</v>
      </c>
      <c r="Q513" s="364">
        <f t="shared" si="155"/>
        <v>0</v>
      </c>
      <c r="R513" s="364">
        <f t="shared" si="156"/>
        <v>0</v>
      </c>
    </row>
    <row r="514" spans="1:18" hidden="1" outlineLevel="1" x14ac:dyDescent="0.25">
      <c r="A514" s="189" t="s">
        <v>1321</v>
      </c>
      <c r="B514" s="253" t="s">
        <v>1322</v>
      </c>
      <c r="C514" s="195"/>
      <c r="D514" s="398"/>
      <c r="E514" s="196"/>
      <c r="F514" s="192"/>
      <c r="G514" s="192"/>
      <c r="H514" s="372"/>
      <c r="I514" s="49"/>
      <c r="J514" s="378"/>
      <c r="K514" s="346">
        <f t="shared" si="153"/>
        <v>0</v>
      </c>
      <c r="L514" s="49"/>
      <c r="M514" s="378"/>
      <c r="N514" s="356">
        <f t="shared" si="154"/>
        <v>0</v>
      </c>
      <c r="O514" s="197"/>
      <c r="P514" s="165" t="s">
        <v>1004</v>
      </c>
      <c r="Q514" s="364">
        <f t="shared" si="155"/>
        <v>0</v>
      </c>
      <c r="R514" s="364">
        <f t="shared" si="156"/>
        <v>0</v>
      </c>
    </row>
    <row r="515" spans="1:18" hidden="1" outlineLevel="1" x14ac:dyDescent="0.25">
      <c r="A515" s="189" t="s">
        <v>1323</v>
      </c>
      <c r="B515" s="252" t="s">
        <v>1324</v>
      </c>
      <c r="C515" s="190"/>
      <c r="D515" s="397"/>
      <c r="E515" s="191"/>
      <c r="F515" s="192"/>
      <c r="G515" s="192"/>
      <c r="H515" s="371"/>
      <c r="I515" s="49"/>
      <c r="J515" s="378"/>
      <c r="K515" s="346">
        <f t="shared" si="153"/>
        <v>0</v>
      </c>
      <c r="L515" s="49"/>
      <c r="M515" s="378"/>
      <c r="N515" s="356">
        <f t="shared" si="154"/>
        <v>0</v>
      </c>
      <c r="O515" s="194"/>
      <c r="P515" s="165" t="s">
        <v>1004</v>
      </c>
      <c r="Q515" s="364">
        <f t="shared" si="155"/>
        <v>0</v>
      </c>
      <c r="R515" s="364">
        <f t="shared" si="156"/>
        <v>0</v>
      </c>
    </row>
    <row r="516" spans="1:18" hidden="1" outlineLevel="1" x14ac:dyDescent="0.25">
      <c r="A516" s="189" t="s">
        <v>1325</v>
      </c>
      <c r="B516" s="253" t="s">
        <v>1325</v>
      </c>
      <c r="C516" s="195"/>
      <c r="D516" s="398"/>
      <c r="E516" s="196"/>
      <c r="F516" s="192"/>
      <c r="G516" s="192"/>
      <c r="H516" s="372"/>
      <c r="I516" s="49"/>
      <c r="J516" s="378"/>
      <c r="K516" s="346">
        <f t="shared" si="153"/>
        <v>0</v>
      </c>
      <c r="L516" s="49"/>
      <c r="M516" s="378"/>
      <c r="N516" s="356">
        <f t="shared" si="154"/>
        <v>0</v>
      </c>
      <c r="O516" s="197"/>
      <c r="P516" s="165" t="s">
        <v>1004</v>
      </c>
      <c r="Q516" s="364">
        <f t="shared" si="155"/>
        <v>0</v>
      </c>
      <c r="R516" s="364">
        <f t="shared" si="156"/>
        <v>0</v>
      </c>
    </row>
    <row r="517" spans="1:18" hidden="1" outlineLevel="1" x14ac:dyDescent="0.25">
      <c r="A517" s="189" t="s">
        <v>1326</v>
      </c>
      <c r="B517" s="252" t="s">
        <v>1327</v>
      </c>
      <c r="C517" s="190"/>
      <c r="D517" s="397"/>
      <c r="E517" s="191"/>
      <c r="F517" s="192"/>
      <c r="G517" s="192"/>
      <c r="H517" s="371"/>
      <c r="I517" s="49"/>
      <c r="J517" s="378"/>
      <c r="K517" s="346">
        <f t="shared" si="153"/>
        <v>0</v>
      </c>
      <c r="L517" s="49"/>
      <c r="M517" s="378"/>
      <c r="N517" s="356">
        <f t="shared" si="154"/>
        <v>0</v>
      </c>
      <c r="O517" s="194"/>
      <c r="P517" s="165" t="s">
        <v>1004</v>
      </c>
      <c r="Q517" s="364">
        <f t="shared" si="155"/>
        <v>0</v>
      </c>
      <c r="R517" s="364">
        <f t="shared" si="156"/>
        <v>0</v>
      </c>
    </row>
    <row r="518" spans="1:18" hidden="1" outlineLevel="1" x14ac:dyDescent="0.25">
      <c r="A518" s="189" t="s">
        <v>1328</v>
      </c>
      <c r="B518" s="253" t="s">
        <v>1329</v>
      </c>
      <c r="C518" s="195"/>
      <c r="D518" s="398"/>
      <c r="E518" s="196"/>
      <c r="F518" s="192"/>
      <c r="G518" s="192"/>
      <c r="H518" s="372"/>
      <c r="I518" s="49"/>
      <c r="J518" s="378"/>
      <c r="K518" s="346">
        <f t="shared" si="153"/>
        <v>0</v>
      </c>
      <c r="L518" s="49"/>
      <c r="M518" s="378"/>
      <c r="N518" s="356">
        <f t="shared" si="154"/>
        <v>0</v>
      </c>
      <c r="O518" s="197"/>
      <c r="P518" s="165" t="s">
        <v>1004</v>
      </c>
      <c r="Q518" s="364">
        <f t="shared" si="155"/>
        <v>0</v>
      </c>
      <c r="R518" s="364">
        <f t="shared" si="156"/>
        <v>0</v>
      </c>
    </row>
    <row r="519" spans="1:18" hidden="1" outlineLevel="1" x14ac:dyDescent="0.25">
      <c r="A519" s="189" t="s">
        <v>1330</v>
      </c>
      <c r="B519" s="252" t="s">
        <v>1331</v>
      </c>
      <c r="C519" s="190"/>
      <c r="D519" s="397"/>
      <c r="E519" s="191"/>
      <c r="F519" s="192"/>
      <c r="G519" s="192"/>
      <c r="H519" s="371"/>
      <c r="I519" s="49"/>
      <c r="J519" s="378"/>
      <c r="K519" s="346">
        <f t="shared" si="153"/>
        <v>0</v>
      </c>
      <c r="L519" s="49"/>
      <c r="M519" s="378"/>
      <c r="N519" s="356">
        <f t="shared" si="154"/>
        <v>0</v>
      </c>
      <c r="O519" s="194"/>
      <c r="P519" s="165" t="s">
        <v>1004</v>
      </c>
      <c r="Q519" s="364">
        <f t="shared" si="155"/>
        <v>0</v>
      </c>
      <c r="R519" s="364">
        <f t="shared" si="156"/>
        <v>0</v>
      </c>
    </row>
    <row r="520" spans="1:18" hidden="1" outlineLevel="1" x14ac:dyDescent="0.25">
      <c r="A520" s="189" t="s">
        <v>1332</v>
      </c>
      <c r="B520" s="253" t="s">
        <v>1333</v>
      </c>
      <c r="C520" s="195"/>
      <c r="D520" s="398"/>
      <c r="E520" s="196"/>
      <c r="F520" s="192"/>
      <c r="G520" s="192"/>
      <c r="H520" s="372"/>
      <c r="I520" s="49"/>
      <c r="J520" s="378"/>
      <c r="K520" s="346">
        <f t="shared" si="153"/>
        <v>0</v>
      </c>
      <c r="L520" s="49"/>
      <c r="M520" s="378"/>
      <c r="N520" s="356">
        <f t="shared" si="154"/>
        <v>0</v>
      </c>
      <c r="O520" s="197"/>
      <c r="P520" s="165" t="s">
        <v>1004</v>
      </c>
      <c r="Q520" s="364">
        <f t="shared" si="155"/>
        <v>0</v>
      </c>
      <c r="R520" s="364">
        <f t="shared" si="156"/>
        <v>0</v>
      </c>
    </row>
    <row r="521" spans="1:18" hidden="1" outlineLevel="1" x14ac:dyDescent="0.25">
      <c r="A521" s="189" t="s">
        <v>1334</v>
      </c>
      <c r="B521" s="252" t="s">
        <v>1335</v>
      </c>
      <c r="C521" s="190"/>
      <c r="D521" s="397"/>
      <c r="E521" s="191"/>
      <c r="F521" s="192"/>
      <c r="G521" s="192"/>
      <c r="H521" s="371"/>
      <c r="I521" s="49"/>
      <c r="J521" s="378"/>
      <c r="K521" s="346">
        <f t="shared" si="153"/>
        <v>0</v>
      </c>
      <c r="L521" s="49"/>
      <c r="M521" s="378"/>
      <c r="N521" s="356">
        <f t="shared" si="154"/>
        <v>0</v>
      </c>
      <c r="O521" s="194"/>
      <c r="P521" s="165" t="s">
        <v>1004</v>
      </c>
      <c r="Q521" s="364">
        <f t="shared" si="155"/>
        <v>0</v>
      </c>
      <c r="R521" s="364">
        <f t="shared" si="156"/>
        <v>0</v>
      </c>
    </row>
    <row r="522" spans="1:18" hidden="1" outlineLevel="1" x14ac:dyDescent="0.25">
      <c r="A522" s="189" t="s">
        <v>1336</v>
      </c>
      <c r="B522" s="253" t="s">
        <v>1337</v>
      </c>
      <c r="C522" s="195"/>
      <c r="D522" s="398"/>
      <c r="E522" s="196"/>
      <c r="F522" s="192"/>
      <c r="G522" s="192"/>
      <c r="H522" s="372"/>
      <c r="I522" s="49"/>
      <c r="J522" s="378"/>
      <c r="K522" s="346">
        <f t="shared" si="153"/>
        <v>0</v>
      </c>
      <c r="L522" s="49"/>
      <c r="M522" s="378"/>
      <c r="N522" s="356">
        <f t="shared" si="154"/>
        <v>0</v>
      </c>
      <c r="O522" s="197"/>
      <c r="P522" s="165" t="s">
        <v>1004</v>
      </c>
      <c r="Q522" s="364">
        <f t="shared" si="155"/>
        <v>0</v>
      </c>
      <c r="R522" s="364">
        <f t="shared" si="156"/>
        <v>0</v>
      </c>
    </row>
    <row r="523" spans="1:18" hidden="1" outlineLevel="1" x14ac:dyDescent="0.25">
      <c r="A523" s="189" t="s">
        <v>1338</v>
      </c>
      <c r="B523" s="252" t="s">
        <v>1339</v>
      </c>
      <c r="C523" s="190"/>
      <c r="D523" s="397"/>
      <c r="E523" s="191"/>
      <c r="F523" s="192"/>
      <c r="G523" s="192"/>
      <c r="H523" s="371"/>
      <c r="I523" s="49"/>
      <c r="J523" s="378"/>
      <c r="K523" s="346">
        <f t="shared" si="153"/>
        <v>0</v>
      </c>
      <c r="L523" s="49"/>
      <c r="M523" s="378"/>
      <c r="N523" s="356">
        <f t="shared" si="154"/>
        <v>0</v>
      </c>
      <c r="O523" s="194"/>
      <c r="P523" s="165" t="s">
        <v>1004</v>
      </c>
      <c r="Q523" s="364">
        <f t="shared" si="155"/>
        <v>0</v>
      </c>
      <c r="R523" s="364">
        <f t="shared" si="156"/>
        <v>0</v>
      </c>
    </row>
    <row r="524" spans="1:18" hidden="1" outlineLevel="1" x14ac:dyDescent="0.25">
      <c r="A524" s="189" t="s">
        <v>1340</v>
      </c>
      <c r="B524" s="253" t="s">
        <v>1341</v>
      </c>
      <c r="C524" s="195"/>
      <c r="D524" s="398"/>
      <c r="E524" s="196"/>
      <c r="F524" s="192"/>
      <c r="G524" s="192"/>
      <c r="H524" s="372"/>
      <c r="I524" s="49"/>
      <c r="J524" s="378"/>
      <c r="K524" s="346">
        <f t="shared" si="153"/>
        <v>0</v>
      </c>
      <c r="L524" s="49"/>
      <c r="M524" s="378"/>
      <c r="N524" s="356">
        <f t="shared" si="154"/>
        <v>0</v>
      </c>
      <c r="O524" s="197"/>
      <c r="P524" s="165" t="s">
        <v>1004</v>
      </c>
      <c r="Q524" s="364">
        <f t="shared" si="155"/>
        <v>0</v>
      </c>
      <c r="R524" s="364">
        <f t="shared" si="156"/>
        <v>0</v>
      </c>
    </row>
    <row r="525" spans="1:18" hidden="1" outlineLevel="1" x14ac:dyDescent="0.25">
      <c r="A525" s="189" t="s">
        <v>1342</v>
      </c>
      <c r="B525" s="252" t="s">
        <v>1343</v>
      </c>
      <c r="C525" s="190"/>
      <c r="D525" s="397"/>
      <c r="E525" s="191"/>
      <c r="F525" s="192"/>
      <c r="G525" s="192"/>
      <c r="H525" s="371"/>
      <c r="I525" s="49"/>
      <c r="J525" s="378"/>
      <c r="K525" s="346">
        <f t="shared" si="153"/>
        <v>0</v>
      </c>
      <c r="L525" s="49"/>
      <c r="M525" s="378"/>
      <c r="N525" s="356">
        <f t="shared" si="154"/>
        <v>0</v>
      </c>
      <c r="O525" s="194"/>
      <c r="P525" s="165" t="s">
        <v>1004</v>
      </c>
      <c r="Q525" s="364">
        <f t="shared" si="155"/>
        <v>0</v>
      </c>
      <c r="R525" s="364">
        <f t="shared" si="156"/>
        <v>0</v>
      </c>
    </row>
    <row r="526" spans="1:18" hidden="1" outlineLevel="1" x14ac:dyDescent="0.25">
      <c r="A526" s="189" t="s">
        <v>1344</v>
      </c>
      <c r="B526" s="253" t="s">
        <v>1345</v>
      </c>
      <c r="C526" s="195"/>
      <c r="D526" s="398"/>
      <c r="E526" s="196"/>
      <c r="F526" s="192"/>
      <c r="G526" s="192"/>
      <c r="H526" s="372"/>
      <c r="I526" s="49"/>
      <c r="J526" s="378"/>
      <c r="K526" s="346">
        <f t="shared" si="153"/>
        <v>0</v>
      </c>
      <c r="L526" s="49"/>
      <c r="M526" s="378"/>
      <c r="N526" s="356">
        <f t="shared" si="154"/>
        <v>0</v>
      </c>
      <c r="O526" s="197"/>
      <c r="P526" s="165" t="s">
        <v>1004</v>
      </c>
      <c r="Q526" s="364">
        <f t="shared" si="155"/>
        <v>0</v>
      </c>
      <c r="R526" s="364">
        <f t="shared" si="156"/>
        <v>0</v>
      </c>
    </row>
    <row r="527" spans="1:18" hidden="1" outlineLevel="1" x14ac:dyDescent="0.25">
      <c r="A527" s="189" t="s">
        <v>1346</v>
      </c>
      <c r="B527" s="252" t="s">
        <v>1347</v>
      </c>
      <c r="C527" s="190"/>
      <c r="D527" s="397"/>
      <c r="E527" s="191"/>
      <c r="F527" s="192"/>
      <c r="G527" s="192"/>
      <c r="H527" s="371"/>
      <c r="I527" s="49"/>
      <c r="J527" s="378"/>
      <c r="K527" s="346">
        <f t="shared" si="153"/>
        <v>0</v>
      </c>
      <c r="L527" s="49"/>
      <c r="M527" s="378"/>
      <c r="N527" s="356">
        <f t="shared" si="154"/>
        <v>0</v>
      </c>
      <c r="O527" s="194"/>
      <c r="P527" s="165" t="s">
        <v>1004</v>
      </c>
      <c r="Q527" s="364">
        <f t="shared" si="155"/>
        <v>0</v>
      </c>
      <c r="R527" s="364">
        <f t="shared" si="156"/>
        <v>0</v>
      </c>
    </row>
    <row r="528" spans="1:18" hidden="1" outlineLevel="1" x14ac:dyDescent="0.25">
      <c r="A528" s="189" t="s">
        <v>1348</v>
      </c>
      <c r="B528" s="253" t="s">
        <v>1349</v>
      </c>
      <c r="C528" s="195"/>
      <c r="D528" s="398"/>
      <c r="E528" s="196"/>
      <c r="F528" s="192"/>
      <c r="G528" s="192"/>
      <c r="H528" s="372"/>
      <c r="I528" s="49"/>
      <c r="J528" s="378"/>
      <c r="K528" s="346">
        <f t="shared" si="153"/>
        <v>0</v>
      </c>
      <c r="L528" s="49"/>
      <c r="M528" s="378"/>
      <c r="N528" s="356">
        <f t="shared" si="154"/>
        <v>0</v>
      </c>
      <c r="O528" s="197"/>
      <c r="P528" s="165" t="s">
        <v>1004</v>
      </c>
      <c r="Q528" s="364">
        <f t="shared" si="155"/>
        <v>0</v>
      </c>
      <c r="R528" s="364">
        <f t="shared" si="156"/>
        <v>0</v>
      </c>
    </row>
    <row r="529" spans="1:18" hidden="1" outlineLevel="1" x14ac:dyDescent="0.25">
      <c r="A529" s="189" t="s">
        <v>1350</v>
      </c>
      <c r="B529" s="252" t="s">
        <v>1351</v>
      </c>
      <c r="C529" s="190"/>
      <c r="D529" s="397"/>
      <c r="E529" s="191"/>
      <c r="F529" s="192"/>
      <c r="G529" s="192"/>
      <c r="H529" s="371"/>
      <c r="I529" s="49"/>
      <c r="J529" s="378"/>
      <c r="K529" s="346">
        <f t="shared" si="153"/>
        <v>0</v>
      </c>
      <c r="L529" s="49"/>
      <c r="M529" s="378"/>
      <c r="N529" s="356">
        <f t="shared" si="154"/>
        <v>0</v>
      </c>
      <c r="O529" s="194"/>
      <c r="P529" s="165" t="s">
        <v>1004</v>
      </c>
      <c r="Q529" s="364">
        <f t="shared" si="155"/>
        <v>0</v>
      </c>
      <c r="R529" s="364">
        <f t="shared" si="156"/>
        <v>0</v>
      </c>
    </row>
    <row r="530" spans="1:18" hidden="1" outlineLevel="1" x14ac:dyDescent="0.25">
      <c r="A530" s="189" t="s">
        <v>1352</v>
      </c>
      <c r="B530" s="253" t="s">
        <v>1353</v>
      </c>
      <c r="C530" s="195"/>
      <c r="D530" s="398"/>
      <c r="E530" s="196"/>
      <c r="F530" s="192"/>
      <c r="G530" s="192"/>
      <c r="H530" s="372"/>
      <c r="I530" s="49"/>
      <c r="J530" s="378"/>
      <c r="K530" s="346">
        <f t="shared" si="153"/>
        <v>0</v>
      </c>
      <c r="L530" s="49"/>
      <c r="M530" s="378"/>
      <c r="N530" s="356">
        <f t="shared" si="154"/>
        <v>0</v>
      </c>
      <c r="O530" s="197"/>
      <c r="P530" s="165" t="s">
        <v>1004</v>
      </c>
      <c r="Q530" s="364">
        <f t="shared" si="155"/>
        <v>0</v>
      </c>
      <c r="R530" s="364">
        <f t="shared" si="156"/>
        <v>0</v>
      </c>
    </row>
    <row r="531" spans="1:18" hidden="1" outlineLevel="1" x14ac:dyDescent="0.25">
      <c r="A531" s="189" t="s">
        <v>1354</v>
      </c>
      <c r="B531" s="252" t="s">
        <v>1355</v>
      </c>
      <c r="C531" s="190"/>
      <c r="D531" s="397"/>
      <c r="E531" s="191"/>
      <c r="F531" s="192"/>
      <c r="G531" s="192"/>
      <c r="H531" s="371"/>
      <c r="I531" s="49"/>
      <c r="J531" s="378"/>
      <c r="K531" s="346">
        <f t="shared" si="153"/>
        <v>0</v>
      </c>
      <c r="L531" s="49"/>
      <c r="M531" s="378"/>
      <c r="N531" s="356">
        <f t="shared" si="154"/>
        <v>0</v>
      </c>
      <c r="O531" s="194"/>
      <c r="P531" s="165" t="s">
        <v>1004</v>
      </c>
      <c r="Q531" s="364">
        <f t="shared" si="155"/>
        <v>0</v>
      </c>
      <c r="R531" s="364">
        <f t="shared" si="156"/>
        <v>0</v>
      </c>
    </row>
    <row r="532" spans="1:18" hidden="1" outlineLevel="1" x14ac:dyDescent="0.25">
      <c r="A532" s="189" t="s">
        <v>1356</v>
      </c>
      <c r="B532" s="253" t="s">
        <v>1357</v>
      </c>
      <c r="C532" s="195"/>
      <c r="D532" s="398"/>
      <c r="E532" s="196"/>
      <c r="F532" s="192"/>
      <c r="G532" s="192"/>
      <c r="H532" s="372"/>
      <c r="I532" s="49"/>
      <c r="J532" s="378"/>
      <c r="K532" s="346">
        <f t="shared" si="153"/>
        <v>0</v>
      </c>
      <c r="L532" s="49"/>
      <c r="M532" s="378"/>
      <c r="N532" s="356">
        <f t="shared" si="154"/>
        <v>0</v>
      </c>
      <c r="O532" s="197"/>
      <c r="P532" s="165" t="s">
        <v>1004</v>
      </c>
      <c r="Q532" s="364">
        <f t="shared" si="155"/>
        <v>0</v>
      </c>
      <c r="R532" s="364">
        <f t="shared" si="156"/>
        <v>0</v>
      </c>
    </row>
    <row r="533" spans="1:18" hidden="1" outlineLevel="1" x14ac:dyDescent="0.25">
      <c r="A533" s="189" t="s">
        <v>1358</v>
      </c>
      <c r="B533" s="252" t="s">
        <v>1359</v>
      </c>
      <c r="C533" s="190"/>
      <c r="D533" s="397"/>
      <c r="E533" s="191"/>
      <c r="F533" s="192"/>
      <c r="G533" s="192"/>
      <c r="H533" s="371"/>
      <c r="I533" s="49"/>
      <c r="J533" s="378"/>
      <c r="K533" s="346">
        <f t="shared" si="153"/>
        <v>0</v>
      </c>
      <c r="L533" s="49"/>
      <c r="M533" s="378"/>
      <c r="N533" s="356">
        <f t="shared" si="154"/>
        <v>0</v>
      </c>
      <c r="O533" s="194"/>
      <c r="P533" s="165" t="s">
        <v>1004</v>
      </c>
      <c r="Q533" s="364">
        <f t="shared" si="155"/>
        <v>0</v>
      </c>
      <c r="R533" s="364">
        <f t="shared" si="156"/>
        <v>0</v>
      </c>
    </row>
    <row r="534" spans="1:18" hidden="1" outlineLevel="1" x14ac:dyDescent="0.25">
      <c r="A534" s="189" t="s">
        <v>1360</v>
      </c>
      <c r="B534" s="253" t="s">
        <v>1361</v>
      </c>
      <c r="C534" s="195"/>
      <c r="D534" s="398"/>
      <c r="E534" s="196"/>
      <c r="F534" s="192"/>
      <c r="G534" s="192"/>
      <c r="H534" s="372"/>
      <c r="I534" s="49"/>
      <c r="J534" s="378"/>
      <c r="K534" s="346">
        <f t="shared" si="153"/>
        <v>0</v>
      </c>
      <c r="L534" s="49"/>
      <c r="M534" s="378"/>
      <c r="N534" s="356">
        <f t="shared" si="154"/>
        <v>0</v>
      </c>
      <c r="O534" s="197"/>
      <c r="P534" s="165" t="s">
        <v>1004</v>
      </c>
      <c r="Q534" s="364">
        <f t="shared" si="155"/>
        <v>0</v>
      </c>
      <c r="R534" s="364">
        <f t="shared" si="156"/>
        <v>0</v>
      </c>
    </row>
    <row r="535" spans="1:18" hidden="1" outlineLevel="1" x14ac:dyDescent="0.25">
      <c r="A535" s="189" t="s">
        <v>1362</v>
      </c>
      <c r="B535" s="252" t="s">
        <v>1363</v>
      </c>
      <c r="C535" s="190"/>
      <c r="D535" s="397"/>
      <c r="E535" s="191"/>
      <c r="F535" s="192"/>
      <c r="G535" s="192"/>
      <c r="H535" s="371"/>
      <c r="I535" s="49"/>
      <c r="J535" s="378"/>
      <c r="K535" s="346">
        <f t="shared" si="153"/>
        <v>0</v>
      </c>
      <c r="L535" s="49"/>
      <c r="M535" s="378"/>
      <c r="N535" s="356">
        <f t="shared" si="154"/>
        <v>0</v>
      </c>
      <c r="O535" s="194"/>
      <c r="P535" s="165" t="s">
        <v>1004</v>
      </c>
      <c r="Q535" s="364">
        <f t="shared" si="155"/>
        <v>0</v>
      </c>
      <c r="R535" s="364">
        <f t="shared" si="156"/>
        <v>0</v>
      </c>
    </row>
    <row r="536" spans="1:18" hidden="1" outlineLevel="1" x14ac:dyDescent="0.25">
      <c r="A536" s="189" t="s">
        <v>1364</v>
      </c>
      <c r="B536" s="253" t="s">
        <v>1365</v>
      </c>
      <c r="C536" s="195"/>
      <c r="D536" s="398"/>
      <c r="E536" s="196"/>
      <c r="F536" s="192"/>
      <c r="G536" s="192"/>
      <c r="H536" s="372"/>
      <c r="I536" s="49"/>
      <c r="J536" s="378"/>
      <c r="K536" s="346">
        <f t="shared" si="153"/>
        <v>0</v>
      </c>
      <c r="L536" s="49"/>
      <c r="M536" s="378"/>
      <c r="N536" s="356">
        <f t="shared" si="154"/>
        <v>0</v>
      </c>
      <c r="O536" s="197"/>
      <c r="P536" s="165" t="s">
        <v>1004</v>
      </c>
      <c r="Q536" s="364">
        <f t="shared" si="155"/>
        <v>0</v>
      </c>
      <c r="R536" s="364">
        <f t="shared" si="156"/>
        <v>0</v>
      </c>
    </row>
    <row r="537" spans="1:18" hidden="1" outlineLevel="1" x14ac:dyDescent="0.25">
      <c r="A537" s="189" t="s">
        <v>1025</v>
      </c>
      <c r="B537" s="252" t="s">
        <v>1025</v>
      </c>
      <c r="C537" s="190"/>
      <c r="D537" s="397"/>
      <c r="E537" s="191"/>
      <c r="F537" s="192"/>
      <c r="G537" s="192"/>
      <c r="H537" s="371"/>
      <c r="I537" s="49"/>
      <c r="J537" s="378"/>
      <c r="K537" s="346">
        <f t="shared" si="153"/>
        <v>0</v>
      </c>
      <c r="L537" s="49"/>
      <c r="M537" s="378"/>
      <c r="N537" s="356">
        <f t="shared" si="154"/>
        <v>0</v>
      </c>
      <c r="O537" s="194"/>
      <c r="P537" s="165" t="s">
        <v>1004</v>
      </c>
      <c r="Q537" s="364">
        <f t="shared" si="155"/>
        <v>0</v>
      </c>
      <c r="R537" s="364">
        <f t="shared" si="156"/>
        <v>0</v>
      </c>
    </row>
    <row r="538" spans="1:18" hidden="1" outlineLevel="1" x14ac:dyDescent="0.25">
      <c r="A538" s="189" t="s">
        <v>1037</v>
      </c>
      <c r="B538" s="253" t="s">
        <v>1366</v>
      </c>
      <c r="C538" s="195"/>
      <c r="D538" s="398"/>
      <c r="E538" s="196"/>
      <c r="F538" s="192"/>
      <c r="G538" s="192"/>
      <c r="H538" s="372"/>
      <c r="I538" s="49"/>
      <c r="J538" s="378"/>
      <c r="K538" s="346">
        <f t="shared" si="153"/>
        <v>0</v>
      </c>
      <c r="L538" s="49"/>
      <c r="M538" s="378"/>
      <c r="N538" s="356">
        <f t="shared" si="154"/>
        <v>0</v>
      </c>
      <c r="O538" s="197"/>
      <c r="P538" s="165" t="s">
        <v>1004</v>
      </c>
      <c r="Q538" s="364">
        <f t="shared" si="155"/>
        <v>0</v>
      </c>
      <c r="R538" s="364">
        <f t="shared" si="156"/>
        <v>0</v>
      </c>
    </row>
    <row r="539" spans="1:18" hidden="1" outlineLevel="1" x14ac:dyDescent="0.25">
      <c r="A539" s="189" t="s">
        <v>1044</v>
      </c>
      <c r="B539" s="252" t="s">
        <v>1367</v>
      </c>
      <c r="C539" s="190"/>
      <c r="D539" s="397"/>
      <c r="E539" s="191"/>
      <c r="F539" s="192"/>
      <c r="G539" s="192"/>
      <c r="H539" s="371"/>
      <c r="I539" s="49"/>
      <c r="J539" s="378"/>
      <c r="K539" s="346">
        <f t="shared" si="153"/>
        <v>0</v>
      </c>
      <c r="L539" s="49"/>
      <c r="M539" s="378"/>
      <c r="N539" s="356">
        <f t="shared" si="154"/>
        <v>0</v>
      </c>
      <c r="O539" s="194"/>
      <c r="P539" s="165" t="s">
        <v>1004</v>
      </c>
      <c r="Q539" s="364">
        <f t="shared" si="155"/>
        <v>0</v>
      </c>
      <c r="R539" s="364">
        <f t="shared" si="156"/>
        <v>0</v>
      </c>
    </row>
    <row r="540" spans="1:18" hidden="1" outlineLevel="1" x14ac:dyDescent="0.25">
      <c r="A540" s="189" t="s">
        <v>1368</v>
      </c>
      <c r="B540" s="253" t="s">
        <v>1369</v>
      </c>
      <c r="C540" s="195"/>
      <c r="D540" s="398"/>
      <c r="E540" s="196"/>
      <c r="F540" s="192"/>
      <c r="G540" s="192"/>
      <c r="H540" s="372"/>
      <c r="I540" s="49"/>
      <c r="J540" s="378"/>
      <c r="K540" s="346">
        <f t="shared" si="153"/>
        <v>0</v>
      </c>
      <c r="L540" s="49"/>
      <c r="M540" s="378"/>
      <c r="N540" s="356">
        <f t="shared" si="154"/>
        <v>0</v>
      </c>
      <c r="O540" s="197"/>
      <c r="P540" s="165" t="s">
        <v>1004</v>
      </c>
      <c r="Q540" s="364">
        <f t="shared" si="155"/>
        <v>0</v>
      </c>
      <c r="R540" s="364">
        <f t="shared" si="156"/>
        <v>0</v>
      </c>
    </row>
    <row r="541" spans="1:18" ht="15.75" hidden="1" outlineLevel="1" thickBot="1" x14ac:dyDescent="0.3">
      <c r="A541" s="189" t="s">
        <v>1370</v>
      </c>
      <c r="B541" s="252" t="s">
        <v>1371</v>
      </c>
      <c r="C541" s="190"/>
      <c r="D541" s="397"/>
      <c r="E541" s="191"/>
      <c r="F541" s="192"/>
      <c r="G541" s="192"/>
      <c r="H541" s="371"/>
      <c r="I541" s="49"/>
      <c r="J541" s="378"/>
      <c r="K541" s="346">
        <f t="shared" si="153"/>
        <v>0</v>
      </c>
      <c r="L541" s="49"/>
      <c r="M541" s="378"/>
      <c r="N541" s="356">
        <f t="shared" si="154"/>
        <v>0</v>
      </c>
      <c r="O541" s="194"/>
      <c r="P541" s="165" t="s">
        <v>1004</v>
      </c>
      <c r="Q541" s="364">
        <f t="shared" si="155"/>
        <v>0</v>
      </c>
      <c r="R541" s="364">
        <f t="shared" si="156"/>
        <v>0</v>
      </c>
    </row>
    <row r="542" spans="1:18" ht="15.75" collapsed="1" thickBot="1" x14ac:dyDescent="0.25">
      <c r="A542" s="198" t="s">
        <v>1372</v>
      </c>
      <c r="B542" s="198" t="s">
        <v>1373</v>
      </c>
      <c r="C542" s="199"/>
      <c r="D542" s="399"/>
      <c r="E542" s="200"/>
      <c r="F542" s="201"/>
      <c r="G542" s="201"/>
      <c r="H542" s="373"/>
      <c r="I542" s="52"/>
      <c r="J542" s="379"/>
      <c r="K542" s="347">
        <f>SUM(K381:K541)</f>
        <v>0</v>
      </c>
      <c r="L542" s="52"/>
      <c r="M542" s="379"/>
      <c r="N542" s="347">
        <f>SUM(N381:N541)</f>
        <v>0</v>
      </c>
      <c r="O542" s="203"/>
      <c r="P542" s="203"/>
      <c r="Q542" s="347">
        <f>SUM(Q381:Q541)</f>
        <v>0</v>
      </c>
      <c r="R542" s="347">
        <f>SUM(R381:R541)</f>
        <v>0</v>
      </c>
    </row>
  </sheetData>
  <conditionalFormatting sqref="P7:P371 Q381">
    <cfRule type="containsText" dxfId="2" priority="4" operator="containsText" text="C">
      <formula>NOT(ISERROR(SEARCH("C",P7)))</formula>
    </cfRule>
    <cfRule type="containsText" dxfId="1" priority="5" operator="containsText" text="B">
      <formula>NOT(ISERROR(SEARCH("B",P7)))</formula>
    </cfRule>
    <cfRule type="containsText" dxfId="0" priority="6" operator="containsText" text="A">
      <formula>NOT(ISERROR(SEARCH("A",P7)))</formula>
    </cfRule>
  </conditionalFormatting>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98b2d29-77c2-4bf8-a04b-58d9629e43a9" xsi:nil="true"/>
    <lcf76f155ced4ddcb4097134ff3c332f xmlns="5a1ebc85-e587-489e-802d-7aa9b202b3b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DCD454E288C24BBDEB87E5B17BC599" ma:contentTypeVersion="12" ma:contentTypeDescription="Create a new document." ma:contentTypeScope="" ma:versionID="d592436a4425aaaaf5c024a540c79e15">
  <xsd:schema xmlns:xsd="http://www.w3.org/2001/XMLSchema" xmlns:xs="http://www.w3.org/2001/XMLSchema" xmlns:p="http://schemas.microsoft.com/office/2006/metadata/properties" xmlns:ns2="5a1ebc85-e587-489e-802d-7aa9b202b3b1" xmlns:ns3="198b2d29-77c2-4bf8-a04b-58d9629e43a9" targetNamespace="http://schemas.microsoft.com/office/2006/metadata/properties" ma:root="true" ma:fieldsID="c2d77abd4d51868006cc28621e44b0c2" ns2:_="" ns3:_="">
    <xsd:import namespace="5a1ebc85-e587-489e-802d-7aa9b202b3b1"/>
    <xsd:import namespace="198b2d29-77c2-4bf8-a04b-58d9629e43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1ebc85-e587-489e-802d-7aa9b202b3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db6cbf1-934e-41bb-b6a2-f7ab040d841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98b2d29-77c2-4bf8-a04b-58d9629e43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a08db3-1617-4bdf-a68f-9d3f6968e857}" ma:internalName="TaxCatchAll" ma:showField="CatchAllData" ma:web="198b2d29-77c2-4bf8-a04b-58d9629e43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BF8189-7A8A-4AD7-9B2C-01A8EEE0361D}">
  <ds:schemaRefs>
    <ds:schemaRef ds:uri="http://schemas.microsoft.com/office/2006/metadata/properties"/>
    <ds:schemaRef ds:uri="http://schemas.microsoft.com/office/infopath/2007/PartnerControls"/>
    <ds:schemaRef ds:uri="198b2d29-77c2-4bf8-a04b-58d9629e43a9"/>
    <ds:schemaRef ds:uri="5a1ebc85-e587-489e-802d-7aa9b202b3b1"/>
  </ds:schemaRefs>
</ds:datastoreItem>
</file>

<file path=customXml/itemProps2.xml><?xml version="1.0" encoding="utf-8"?>
<ds:datastoreItem xmlns:ds="http://schemas.openxmlformats.org/officeDocument/2006/customXml" ds:itemID="{DE3598ED-7C5F-4FF0-95AF-81FCBF198837}">
  <ds:schemaRefs>
    <ds:schemaRef ds:uri="http://schemas.microsoft.com/sharepoint/v3/contenttype/forms"/>
  </ds:schemaRefs>
</ds:datastoreItem>
</file>

<file path=customXml/itemProps3.xml><?xml version="1.0" encoding="utf-8"?>
<ds:datastoreItem xmlns:ds="http://schemas.openxmlformats.org/officeDocument/2006/customXml" ds:itemID="{241D7659-553B-482A-A011-29E31692E8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1ebc85-e587-489e-802d-7aa9b202b3b1"/>
    <ds:schemaRef ds:uri="198b2d29-77c2-4bf8-a04b-58d9629e43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Cost Build-up</vt:lpstr>
      <vt:lpstr>FS</vt:lpstr>
      <vt:lpstr>1_Prelim</vt:lpstr>
      <vt:lpstr>2_Professional Fees</vt:lpstr>
      <vt:lpstr>Sec 3 - Building Works</vt:lpstr>
      <vt:lpstr>Sec 4 - External Works</vt:lpstr>
      <vt:lpstr>Sec 5 - M&amp;E Works</vt:lpstr>
      <vt:lpstr>FS!Print_Area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Pon Mei Shuet</dc:creator>
  <dc:description/>
  <cp:lastModifiedBy>Michelle Pon Mei Shuet</cp:lastModifiedBy>
  <cp:revision>0</cp:revision>
  <dcterms:created xsi:type="dcterms:W3CDTF">2026-05-25T08:00:02Z</dcterms:created>
  <dcterms:modified xsi:type="dcterms:W3CDTF">2026-06-03T07:34:08Z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0x0101005FDCD454E288C24BBDEB87E5B17BC599</vt:lpwstr>
  </property>
  <property fmtid="{D5CDD505-2E9C-101B-9397-08002B2CF9AE}" pid="3" name="MediaServiceImageTags">
    <vt:lpwstr/>
  </property>
</Properties>
</file>